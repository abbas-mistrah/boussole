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chartsheet+xml" PartName="/xl/chartsheets/sheet1.xml"/>
  <Override ContentType="application/vnd.openxmlformats-officedocument.spreadsheetml.pivotTable+xml" PartName="/xl/pivotTables/pivotTable1.xml"/>
  <Override ContentType="application/vnd.ms-excel.documenttasks+xml" PartName="/xl/documenttasks/documenttask2.xml"/>
  <Override ContentType="application/vnd.ms-excel.documenttasks+xml" PartName="/xl/documenttasks/documenttask1.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 cases" sheetId="1" r:id="rId5"/>
    <sheet state="visible" name="Data" sheetId="2" r:id="rId6"/>
    <sheet state="visible" name="Sheet16" sheetId="3" r:id="rId7"/>
    <sheet state="visible" name="Sheet14" sheetId="4" r:id="rId8"/>
    <sheet state="visible" name="Sheet14_conflict175465274" sheetId="5" r:id="rId9"/>
    <sheet state="visible" name="Chart1" sheetId="6" r:id="rId10"/>
    <sheet state="visible" name="Detail13-Terminé - Live" sheetId="7" r:id="rId11"/>
    <sheet state="visible" name="Cas abandonnés" sheetId="8" r:id="rId12"/>
    <sheet state="visible" name="Catégories" sheetId="9" r:id="rId13"/>
    <sheet state="visible" name="Sheet15" sheetId="10" r:id="rId14"/>
  </sheets>
  <definedNames>
    <definedName hidden="1" localSheetId="0" name="_xlnm._FilterDatabase">'Use cases'!$A$1:$AJ$2205</definedName>
    <definedName hidden="1" localSheetId="2" name="_xlnm._FilterDatabase">Sheet16!$A$1:$F$13</definedName>
    <definedName hidden="1" localSheetId="3" name="_xlnm._FilterDatabase">Sheet14!$A$1:$D$1000</definedName>
    <definedName hidden="1" localSheetId="0" name="Z_4E79925A_6E25_4652_8DE7_48900B6BEFC9_.wvu.FilterData">'Use cases'!$A$1:$AJ$374</definedName>
    <definedName hidden="1" localSheetId="0" name="Z_2E8EFA90_7E7B_4C69_B61B_88B01EA04FF2_.wvu.FilterData">'Use cases'!$A$1:$T$374</definedName>
    <definedName hidden="1" localSheetId="0" name="Z_E458BEEB_4898_4FC3_AD91_A259015CC21E_.wvu.FilterData">'Use cases'!$A$1:$AI$574</definedName>
    <definedName hidden="1" localSheetId="0" name="Z_CB24BAE5_B84B_47C5_8C25_7348C2BC4F5A_.wvu.FilterData">'Use cases'!$A$1:$T$374</definedName>
    <definedName hidden="1" localSheetId="0" name="Z_74CDA689_A193_475C_A2D1_E9D8AD60117A_.wvu.FilterData">'Use cases'!$A$1:$T$415</definedName>
    <definedName hidden="1" localSheetId="0" name="Z_FD29778D_D718_4863_ADC0_4BF7EF2A3280_.wvu.FilterData">'Use cases'!$A$1:$AI$233</definedName>
    <definedName hidden="1" localSheetId="0" name="Z_31C5C76E_2BC3_4A33_A1BB_57B93A0FECAF_.wvu.FilterData">'Use cases'!$A$1:$R$233</definedName>
    <definedName hidden="1" localSheetId="0" name="Z_18801E70_E16B_4F14_8177_02F8E0372331_.wvu.FilterData">'Use cases'!$A$1:$T$374</definedName>
    <definedName hidden="1" localSheetId="0" name="Z_B5740A73_6718_4982_BAB8_0A4FE25E2CEF_.wvu.FilterData">'Use cases'!$A$1:$R$233</definedName>
    <definedName hidden="1" localSheetId="0" name="Z_DE6DDB10_B168_486E_B31D_0BA58CDD7742_.wvu.FilterData">'Use cases'!$A$1:$T$319</definedName>
    <definedName hidden="1" localSheetId="0" name="Z_571A195B_F106_42FB_8D79_35C47D6A576A_.wvu.FilterData">'Use cases'!$A$1:$R$233</definedName>
    <definedName hidden="1" localSheetId="0" name="Z_76305EC1_86FD_4B64_9286_BEBC70394257_.wvu.FilterData">'Use cases'!$A$1:$T$329</definedName>
    <definedName hidden="1" localSheetId="0" name="Z_87EEF50E_472E_4BE6_AAA2_A8C4041273B5_.wvu.FilterData">'Use cases'!$A$1:$T$267</definedName>
    <definedName hidden="1" localSheetId="0" name="Z_C49F5C4C_085A_4B9F_9A28_0981896F91BA_.wvu.FilterData">'Use cases'!$A$1:$R$233</definedName>
    <definedName hidden="1" localSheetId="0" name="Z_F987C906_14BD_4072_A9D9_C37AE3079634_.wvu.FilterData">'Use cases'!$A$1:$S$574</definedName>
    <definedName hidden="1" localSheetId="0" name="Z_45CD8B79_EFE4_4A30_B4C0_3F0F68ADB52E_.wvu.FilterData">'Use cases'!$A$1:$AI$574</definedName>
    <definedName hidden="1" localSheetId="0" name="Z_E82B783D_A69D_4E46_8311_0ED1B74BD96E_.wvu.FilterData">'Use cases'!$A$1:$AI$233</definedName>
  </definedNames>
  <calcPr/>
  <customWorkbookViews>
    <customWorkbookView activeSheetId="0" maximized="1" windowHeight="0" windowWidth="0" guid="{4E79925A-6E25-4652-8DE7-48900B6BEFC9}" name="Sabrina "/>
    <customWorkbookView activeSheetId="0" maximized="1" windowHeight="0" windowWidth="0" guid="{2E8EFA90-7E7B-4C69-B61B-88B01EA04FF2}" name="Marcom in progress"/>
    <customWorkbookView activeSheetId="0" maximized="1" windowHeight="0" windowWidth="0" guid="{E458BEEB-4898-4FC3-AD91-A259015CC21E}" name="Laetitia 3"/>
    <customWorkbookView activeSheetId="0" maximized="1" windowHeight="0" windowWidth="0" guid="{CB24BAE5-B84B-47C5-8C25-7348C2BC4F5A}" name="Merce"/>
    <customWorkbookView activeSheetId="0" maximized="1" windowHeight="0" windowWidth="0" guid="{74CDA689-A193-475C-A2D1-E9D8AD60117A}" name="Jérémy S."/>
    <customWorkbookView activeSheetId="0" maximized="1" windowHeight="0" windowWidth="0" guid="{FD29778D-D718-4863-ADC0-4BF7EF2A3280}" name="Laetitia"/>
    <customWorkbookView activeSheetId="0" maximized="1" windowHeight="0" windowWidth="0" guid="{31C5C76E-2BC3-4A33-A1BB-57B93A0FECAF}" name="Produit/UX"/>
    <customWorkbookView activeSheetId="0" maximized="1" windowHeight="0" windowWidth="0" guid="{18801E70-E16B-4F14-8177-02F8E0372331}" name="Patrice's"/>
    <customWorkbookView activeSheetId="0" maximized="1" windowHeight="0" windowWidth="0" guid="{B5740A73-6718-4982-BAB8-0A4FE25E2CEF}" name="A qualifier"/>
    <customWorkbookView activeSheetId="0" maximized="1" windowHeight="0" windowWidth="0" guid="{DE6DDB10-B168-486E-B31D-0BA58CDD7742}" name="n8n use cases"/>
    <customWorkbookView activeSheetId="0" maximized="1" windowHeight="0" windowWidth="0" guid="{571A195B-F106-42FB-8D79-35C47D6A576A}" name="Non commencé"/>
    <customWorkbookView activeSheetId="0" maximized="1" windowHeight="0" windowWidth="0" guid="{76305EC1-86FD-4B64-9286-BEBC70394257}" name="Aline"/>
    <customWorkbookView activeSheetId="0" maximized="1" windowHeight="0" windowWidth="0" guid="{87EEF50E-472E-4BE6-AAA2-A8C4041273B5}" name="CD"/>
    <customWorkbookView activeSheetId="0" maximized="1" windowHeight="0" windowWidth="0" guid="{C49F5C4C-085A-4B9F-9A28-0981896F91BA}" name="Terminé"/>
    <customWorkbookView activeSheetId="0" maximized="1" windowHeight="0" windowWidth="0" guid="{F987C906-14BD-4072-A9D9-C37AE3079634}" name="Oliver"/>
    <customWorkbookView activeSheetId="0" maximized="1" windowHeight="0" windowWidth="0" guid="{45CD8B79-EFE4-4A30-B4C0-3F0F68ADB52E}" name="Laetitia 2"/>
    <customWorkbookView activeSheetId="0" maximized="1" windowHeight="0" windowWidth="0" guid="{E82B783D-A69D-4E46-8311-0ED1B74BD96E}" name="RH"/>
  </customWorkbookViews>
  <pivotCaches>
    <pivotCache cacheId="0" r:id="rId15"/>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tc={030a849b-130b-46b7-a2ae-97402d3789a2}</author>
    <author>tc={04594844-c02e-4908-b509-958a44d20847}</author>
    <author>tc={086d9cab-b1cb-4ecb-9a31-ab20fd630ce7}</author>
    <author>tc={0b480fc4-2552-444f-98fc-cdfb3304f163}</author>
    <author>tc={18262f90-8fc8-4a7d-8e95-eb5946e4ede5}</author>
    <author>tc={1f193a00-3470-4f98-8bef-56dc1687f194}</author>
    <author>tc={1fa91338-08d7-4d28-90a8-a4aecbbc5555}</author>
    <author>tc={1ff78f60-ce18-4eed-b0a3-1a4b4f5c471c}</author>
    <author>tc={21b4fcd9-cedd-4da9-b416-107386e9775a}</author>
    <author>tc={25208d63-7706-418b-9a6f-73cb338f59e4}</author>
    <author>tc={28454d11-eab9-4165-a748-f94cc161a598}</author>
    <author>tc={29c6b019-3338-4f82-a404-9be6d75d32ca}</author>
    <author>tc={2ae7b809-3913-4012-84bc-fd976b8dacea}</author>
    <author>tc={2af0c785-2631-417d-8fcf-5bd953a700a4}</author>
    <author>tc={306ad423-92e8-4a89-a772-78dc836226e9}</author>
    <author>tc={33da891e-8a98-413f-a404-ae9bc3772cb6}</author>
    <author>tc={37977d54-e424-4815-a32c-87eab04a6497}</author>
    <author>tc={3871decc-c874-40e7-b21d-5d26be8f5288}</author>
    <author>tc={3aa0665d-124c-4850-8c52-394cb0c85ead}</author>
    <author>tc={3aabb3b7-6f29-4e7b-bb5e-4e16ea52eeab}</author>
    <author>tc={3b7f53e9-0615-4510-b67b-64b3f4555a8e}</author>
    <author>tc={3c7ecf92-4dc4-4ab9-89a0-36cd8de31f63}</author>
    <author>tc={40fc7e3c-c727-45b5-8ad1-b5959c23f3fe}</author>
    <author>tc={41650bcb-b361-4f52-906e-af410cce525b}</author>
    <author>tc={47fe337f-58f9-4319-ac69-17e078ddc217}</author>
    <author>tc={48337cd5-134d-4b47-aef8-863b41ddaf49}</author>
    <author>tc={48e56563-72c3-46f7-8118-685d06484dd6}</author>
    <author>tc={49961c29-eeb9-4e4c-963b-94eecd70119e}</author>
    <author>tc={4b281a05-0eea-468b-90f8-979bb54185a1}</author>
    <author>tc={4c0be20f-82e3-47f7-bc39-8f4341a83f2b}</author>
    <author>tc={4ea26ef3-a42b-4624-9094-499fe804882b}</author>
    <author>tc={4f096262-0323-4cd6-984c-2b6815faccfc}</author>
    <author>tc={517244f4-ae77-41ea-8985-0e60e4970f96}</author>
    <author>tc={570076fa-70e9-4518-b5d2-73e44810d9e4}</author>
    <author>tc={5887ce0a-42cf-480e-ab04-712682a4af2f}</author>
    <author>tc={58fb2288-0245-4f2f-b546-70a4a3461b88}</author>
    <author>tc={5ad55646-938b-4325-8e6c-9102a35c2417}</author>
    <author>tc={5cbad4dd-cb0d-464c-a3d5-6106bbe46fd6}</author>
    <author>tc={61646381-0e3f-484c-803a-a55d2772d12c}</author>
    <author>tc={61c1a25c-1938-44e2-9a46-8d1153d23db2}</author>
    <author>tc={6389a1a5-6a4d-4ee2-8fa3-649a4f68a8f5}</author>
    <author>tc={6512c817-720c-4089-b21a-2aece5e55b6e}</author>
    <author>tc={65c899e9-5752-4f3d-8847-2c253f817cf0}</author>
    <author>tc={6add0ddb-c0f3-4a07-9a53-b00aeb27a13f}</author>
    <author>tc={6c091b04-9df1-414a-9be6-035fdc7c89e7}</author>
    <author>tc={6c25e680-56f6-4ff2-83fa-69f77c26d1d1}</author>
    <author>tc={714ff0d4-6f33-4c22-8b7a-899539e8f1f7}</author>
    <author>tc={72730499-1e1c-4b43-ac65-5d2c6b8551a2}</author>
    <author>tc={76718ae1-a166-461d-8c5f-2280943af6b2}</author>
    <author>tc={7af98e20-74ec-4a23-884b-186708aa353b}</author>
    <author>tc={7f062803-9264-4414-aa81-d188c39edfac}</author>
    <author>tc={807e870a-6946-46bc-9bd9-87ecb6e670ad}</author>
    <author>tc={81b3f86e-7bb5-41f8-b9f0-27534e484758}</author>
    <author>tc={829c6472-410a-487a-a598-7f88fe6bff59}</author>
    <author>tc={8708e29f-c210-4447-91b2-ce5ad872fa50}</author>
    <author>tc={8a562417-324f-4d67-bab5-c65e2ad3ca63}</author>
    <author>tc={8abc004c-ed30-4412-82d5-90a3a3520028}</author>
    <author>tc={8b1f695d-d89b-4a7a-a994-d78eb6323148}</author>
    <author>tc={94e36615-f948-47cd-be16-d8f8c45c2d88}</author>
    <author>tc={96857288-1a1f-409d-b5b8-003d98b208f3}</author>
    <author>tc={9a8a5b9c-3c30-40bd-957b-81a249e83741}</author>
    <author>tc={9e16c568-219c-4d2a-ab39-ed304bf7badf}</author>
    <author>tc={a6133f72-f25d-4f7b-a64f-4b0a92f703ee}</author>
    <author>tc={a756f34f-7e7b-47c3-a082-e672b9892f08}</author>
    <author>tc={a8079830-9937-4585-a07c-2fcf90fd1ad6}</author>
    <author>tc={a9bd692a-40cc-4405-ae41-c299e2cb612b}</author>
    <author>tc={abcf71ec-a8b9-40a5-b6de-df202077a3ac}</author>
    <author>tc={ac86541d-5e15-499e-a345-dc1399dc8a09}</author>
    <author>tc={ad4a468e-061a-4779-9676-7b252ac86eb7}</author>
    <author>tc={b1247729-3ce2-433f-bcd5-6454d667cae5}</author>
    <author>tc={b1979269-e2ff-4132-8aec-c479a0bd0207}</author>
    <author>tc={b775f580-dd81-417a-a2fe-c552d3be1950}</author>
    <author>tc={b888b48e-e42c-4833-b776-f61ddaedf7a5}</author>
    <author>tc={bff8876b-d02b-4ee0-ab42-126ae46546c4}</author>
    <author>tc={c219d125-39d7-45dc-93ba-fe3c91423fe5}</author>
    <author>tc={c221fc31-8a78-4955-887f-c74870a69874}</author>
    <author>tc={c7029c6d-2a5a-4547-ba7e-131b917231ee}</author>
    <author>tc={c824dcf3-7f7d-4a96-8b34-61797f95a65c}</author>
    <author>tc={cab1bcbc-c95d-4005-9836-977302c6e001}</author>
    <author>tc={cb934eae-92ce-42ed-a331-62d154b1ef5d}</author>
    <author>tc={cc492ad4-b1bc-4623-96ca-b9d9b5a93478}</author>
    <author>tc={cfe2584b-9af2-4988-82f1-0958ee7ea7ef}</author>
    <author>tc={d2fbaa67-32ce-40e5-a746-c11c8ec770e9}</author>
    <author>tc={d3b9a6f9-3d4e-4866-a476-3b88ed410bcf}</author>
    <author>tc={de2e7ebb-ad1c-4f2f-aea6-4e180505accf}</author>
    <author>tc={de38a3ef-1d93-428e-ae08-5231271fcc9e}</author>
    <author>tc={e00b76fd-0191-4c58-97f8-378b5514a92a}</author>
    <author>tc={e0a7a095-fc64-4acf-9162-b2d6454964c7}</author>
    <author>tc={e1d78a47-64d6-4ec7-abca-cc46a8c44830}</author>
    <author>tc={e3e40d50-9eb6-4f52-af6b-df7c51990c0d}</author>
    <author>tc={e4703b35-464b-417f-bba4-9f1ab48c01e7}</author>
    <author>tc={eab6a661-7b81-4099-8b22-503cdf70a9ab}</author>
    <author>tc={ef33af26-2821-4733-a6b5-7247efd7d24b}</author>
    <author>tc={ef9f3895-ad76-4704-a4d5-10462575185a}</author>
    <author>tc={f0bbf1bf-9530-4624-ab93-8b3c4ef00472}</author>
    <author>tc={f2e9967a-28f4-4dc3-ba82-d412830d947b}</author>
    <author>tc={f366d48c-b6d7-4db4-a553-0383a6cd3453}</author>
    <author>tc={f518c577-7ded-482f-8f58-a0e1fef02671}</author>
    <author>tc={f60d34ff-efa3-40e6-a52e-e8b4ea8fe07c}</author>
    <author>tc={fc22fe43-5739-49b5-af37-15e551e488fd}</author>
  </authors>
  <commentList>
    <comment authorId="0" xr:uid="{030a849b-130b-46b7-a2ae-97402d3789a2}" ref="D155">
      <text>
        <t xml:space="preserve">[Threaded comment]
 Your version of Excel allows you to read this threaded comment; however, any edits to it will get removed if the file is opened in a newer version of Excel. Learn more: https://go.microsoft.com/fwlink/?linkid=870924
Comment:
	@antoine.delpech@adevinta.com je te laisse détailler
</t>
      </text>
    </comment>
    <comment authorId="1" xr:uid="{04594844-c02e-4908-b509-958a44d20847}" ref="A1">
      <text>
        <t xml:space="preserve">[Threaded comment]
 Your version of Excel allows you to read this threaded comment; however, any edits to it will get removed if the file is opened in a newer version of Excel. Learn more: https://go.microsoft.com/fwlink/?linkid=870924
Comment:
	@jonathan.bensadoun@adevinta.com mayday ?
Assigned to jonathan.bensadoun@adevinta.com
Attribué à jonathan.bensadoun@adevinta.com
</t>
      </text>
    </comment>
    <comment authorId="2" xr:uid="{086d9cab-b1cb-4ecb-9a31-ab20fd630ce7}" ref="A1">
      <text>
        <t xml:space="preserve">[Threaded comment]
 Your version of Excel allows you to read this threaded comment; however, any edits to it will get removed if the file is opened in a newer version of Excel. Learn more: https://go.microsoft.com/fwlink/?linkid=870924
Comment:
	@florian.girard@adevinta.com Je ne suis pas sure que celui-ci ait été évoqué lors du call avec Franck, si? J'ai ajouté une colonne "Legal" en P pour que chacun puisse indiquer les cas revus ou non et les éventuels points de vigilance - tu pourras compléter pour la pub?
</t>
      </text>
    </comment>
    <comment authorId="3" xr:uid="{0b480fc4-2552-444f-98fc-cdfb3304f163}" ref="D250">
      <text>
        <t xml:space="preserve">[Threaded comment]
 Your version of Excel allows you to read this threaded comment; however, any edits to it will get removed if the file is opened in a newer version of Excel. Learn more: https://go.microsoft.com/fwlink/?linkid=870924
Comment:
	@cecile.polard@adevinta.com à discuter
Assigned to cecile.polard@adevinta.com
Attribué à cecile.polard@adevinta.com
</t>
      </text>
    </comment>
    <comment authorId="4" xr:uid="{18262f90-8fc8-4a7d-8e95-eb5946e4ede5}" ref="D247">
      <text>
        <t xml:space="preserve">[Threaded comment]
 Your version of Excel allows you to read this threaded comment; however, any edits to it will get removed if the file is opened in a newer version of Excel. Learn more: https://go.microsoft.com/fwlink/?linkid=870924
Comment:
	@cecile.polard@adevinta.com à discuter
Assigned to cecile.polard@adevinta.com
Attribué à cecile.polard@adevinta.com
</t>
      </text>
    </comment>
    <comment authorId="5" xr:uid="{1f193a00-3470-4f98-8bef-56dc1687f194}" ref="D197">
      <text>
        <t xml:space="preserve">[Threaded comment]
 Your version of Excel allows you to read this threaded comment; however, any edits to it will get removed if the file is opened in a newer version of Excel. Learn more: https://go.microsoft.com/fwlink/?linkid=870924
Comment:
	Développé sur android @laetitia.ferrando@adevinta.com
</t>
      </text>
    </comment>
    <comment authorId="6" xr:uid="{1fa91338-08d7-4d28-90a8-a4aecbbc5555}" ref="J202">
      <text>
        <t xml:space="preserve">[Threaded comment]
 Your version of Excel allows you to read this threaded comment; however, any edits to it will get removed if the file is opened in a newer version of Excel. Learn more: https://go.microsoft.com/fwlink/?linkid=870924
Comment:
	@gilles.lalyre.ext@adevinta.com @abderrahmane.abdallahoum@adevinta.com Hello pourriez-vous ajouter la population concernée, si c'est un métier spécifique dans l'UX (ex. research) ou si tout l'UX ? Thanks !
Assigned to 
Reply:
	ce sera utile pour les user researcher
Reply:
	*Tous les UX car ils font tous du research a différents niveaux (stratégique vs tactique)
</t>
      </text>
    </comment>
    <comment authorId="7" xr:uid="{1ff78f60-ce18-4eed-b0a3-1a4b4f5c471c}" ref="A1">
      <text>
        <t xml:space="preserve">[Threaded comment]
 Your version of Excel allows you to read this threaded comment; however, any edits to it will get removed if the file is opened in a newer version of Excel. Learn more: https://go.microsoft.com/fwlink/?linkid=870924
Comment:
	on a une version POC déployé côté data. A reprendre ou pas..
Reply:
	cc @jeremy.smadja@adevinta.com
</t>
      </text>
    </comment>
    <comment authorId="8" xr:uid="{21b4fcd9-cedd-4da9-b416-107386e9775a}" ref="A1">
      <text>
        <t xml:space="preserve">[Threaded comment]
 Your version of Excel allows you to read this threaded comment; however, any edits to it will get removed if the file is opened in a newer version of Excel. Learn more: https://go.microsoft.com/fwlink/?linkid=870924
Comment:
	@laetitia.ferrando@adevinta.com tu peux virer ce use case je pense
Assigned to laetitia.ferrando@adevinta.com
Attribué à laetitia.ferrando@adevinta.com
</t>
      </text>
    </comment>
    <comment authorId="9" xr:uid="{25208d63-7706-418b-9a6f-73cb338f59e4}" ref="A1">
      <text>
        <t xml:space="preserve">[Threaded comment]
 Your version of Excel allows you to read this threaded comment; however, any edits to it will get removed if the file is opened in a newer version of Excel. Learn more: https://go.microsoft.com/fwlink/?linkid=870924
Comment:
	@laurent.dimatera@adevinta.com de quel type de suivi il s'agit ?
Assigned to laurent.dimatera@adevinta.com
Attribué à laurent.dimatera@adevinta.com
Reply:
	analyse des BL
</t>
      </text>
    </comment>
    <comment authorId="10" xr:uid="{28454d11-eab9-4165-a748-f94cc161a598}" ref="G147">
      <text>
        <t xml:space="preserve">[Threaded comment]
 Your version of Excel allows you to read this threaded comment; however, any edits to it will get removed if the file is opened in a newer version of Excel. Learn more: https://go.microsoft.com/fwlink/?linkid=870924
Comment:
	@anaise.blanchet@adevinta.com @laetitia.sebaoun@adevinta.com est ce que ce cas est pris directement au juridique?
Reply:
	Idem que la ligne 63
Reply:
	ok idem du coup sur l'état d'avancement
Marquée comme fermée
</t>
      </text>
    </comment>
    <comment authorId="11" xr:uid="{29c6b019-3338-4f82-a404-9be6d75d32ca}" ref="D344">
      <text>
        <t xml:space="preserve">[Threaded comment]
 Your version of Excel allows you to read this threaded comment; however, any edits to it will get removed if the file is opened in a newer version of Excel. Learn more: https://go.microsoft.com/fwlink/?linkid=870924
Comment:
	à retester @juliette.patry@adevinta.com @fabrice.barbe@adevinta.com
Assigned to juliette.patry@adevinta.com
Reply:
	@jonathan.bensadoun@adevinta.com à tester sur un des scopes SC
Reassigned to jonathan.bensadoun@adevinta.com
</t>
      </text>
    </comment>
    <comment authorId="12" xr:uid="{2ae7b809-3913-4012-84bc-fd976b8dacea}" ref="E177">
      <text>
        <t xml:space="preserve">[Threaded comment]
 Your version of Excel allows you to read this threaded comment; however, any edits to it will get removed if the file is opened in a newer version of Excel. Learn more: https://go.microsoft.com/fwlink/?linkid=870924
Comment:
	En cours avec Claude code
</t>
      </text>
    </comment>
    <comment authorId="13" xr:uid="{2af0c785-2631-417d-8fcf-5bd953a700a4}" ref="D343">
      <text>
        <t xml:space="preserve">[Threaded comment]
 Your version of Excel allows you to read this threaded comment; however, any edits to it will get removed if the file is opened in a newer version of Excel. Learn more: https://go.microsoft.com/fwlink/?linkid=870924
Comment:
	@jonathan.bensadoun@adevinta.com c'est mayday qui fait ca maintenant ?
cc @cecile.polard@adevinta.com
Assigned to jonathan.bensadoun@adevinta.com
Attribué à jonathan.bensadoun@adevinta.com
Reply:
	non,  nous avons mis un c pilote sans résumé
Reply:
	à discuter
Reply:
	c'est un besoin remonté par les équipes  internes et les partenaires. C'était une des fonctionnalités appréciées de zendesk AI.
</t>
      </text>
    </comment>
    <comment authorId="14" xr:uid="{306ad423-92e8-4a89-a772-78dc836226e9}" ref="D172">
      <text>
        <t xml:space="preserve">[Threaded comment]
 Your version of Excel allows you to read this threaded comment; however, any edits to it will get removed if the file is opened in a newer version of Excel. Learn more: https://go.microsoft.com/fwlink/?linkid=870924
Comment:
	Live on a le GPT release note de Ludo
</t>
      </text>
    </comment>
    <comment authorId="15" xr:uid="{33da891e-8a98-413f-a404-ae9bc3772cb6}" ref="N1">
      <text>
        <t xml:space="preserve">[Threaded comment]
 Your version of Excel allows you to read this threaded comment; however, any edits to it will get removed if the file is opened in a newer version of Excel. Learn more: https://go.microsoft.com/fwlink/?linkid=870924
Comment:
	@elsa.cadoux@adevinta.com non commencé ou en cours en vrai si vous pouvez pas finaliser le cas par ex. a cause de qq chose c'est pas mal de l'avoir en tête de notre côté
Assigned to elsa.cadoux@adevinta.com
Attribué à elsa.cadoux@adevinta.com
</t>
      </text>
    </comment>
    <comment authorId="16" xr:uid="{37977d54-e424-4815-a32c-87eab04a6497}" ref="C350">
      <text>
        <t xml:space="preserve">[Threaded comment]
 Your version of Excel allows you to read this threaded comment; however, any edits to it will get removed if the file is opened in a newer version of Excel. Learn more: https://go.microsoft.com/fwlink/?linkid=870924
Comment:
	@juliette.patry@adevinta.com mémo à compléter
Assigned to juliette.patry@adevinta.com
Attribué à juliette.patry@adevinta.com
</t>
      </text>
    </comment>
    <comment authorId="17" xr:uid="{3871decc-c874-40e7-b21d-5d26be8f5288}" ref="A1">
      <text>
        <t xml:space="preserve">[Threaded comment]
 Your version of Excel allows you to read this threaded comment; however, any edits to it will get removed if the file is opened in a newer version of Excel. Learn more: https://go.microsoft.com/fwlink/?linkid=870924
Comment:
	@cecile.polard@adevinta.com est ce que c'est ce que tu as prévu de ton coté?
cc @laurent.dimatera@adevinta.com
Assigned to cecile.polard@adevinta.com
Reply:
	hello je ne comprends pas ce use case puisque ZDQA fait le job @laurent.dimatera@adevinta.com peux tu m'en dire plus ?
Reassigned to laurent.dimatera@adevinta.com
Reply:
	justement, l'idée était de comprendre si c'était déjà couvert par ZDQA :) du coup je supprime le besoin
merci !
Reply:
	oki :)
</t>
      </text>
    </comment>
    <comment authorId="18" xr:uid="{3aa0665d-124c-4850-8c52-394cb0c85ead}" ref="E188">
      <text>
        <t xml:space="preserve">[Threaded comment]
 Your version of Excel allows you to read this threaded comment; however, any edits to it will get removed if the file is opened in a newer version of Excel. Learn more: https://go.microsoft.com/fwlink/?linkid=870924
Comment:
	A supprimer @laetitia.ferrando@adevinta.com
</t>
      </text>
    </comment>
    <comment authorId="19" xr:uid="{3aabb3b7-6f29-4e7b-bb5e-4e16ea52eeab}" ref="A1">
      <text>
        <t xml:space="preserve">[Threaded comment]
 Your version of Excel allows you to read this threaded comment; however, any edits to it will get removed if the file is opened in a newer version of Excel. Learn more: https://go.microsoft.com/fwlink/?linkid=870924
Comment:
	pas besoin d'ia je pense, on a deja des moulinettes fournis par Tableau pour faire ça, c'est de la gouvernance
</t>
      </text>
    </comment>
    <comment authorId="20" xr:uid="{3b7f53e9-0615-4510-b67b-64b3f4555a8e}" ref="C235">
      <text>
        <t xml:space="preserve">[Threaded comment]
 Your version of Excel allows you to read this threaded comment; however, any edits to it will get removed if the file is opened in a newer version of Excel. Learn more: https://go.microsoft.com/fwlink/?linkid=870924
Comment:
	@cecile.polard@adevinta.com ligne créée et à compléter pour le sujet Mayday. J'ai rempli ce que je pouvais, je te laisse compléter / amender
</t>
      </text>
    </comment>
    <comment authorId="21" xr:uid="{3c7ecf92-4dc4-4ab9-89a0-36cd8de31f63}" ref="G140">
      <text>
        <t xml:space="preserve">[Threaded comment]
 Your version of Excel allows you to read this threaded comment; however, any edits to it will get removed if the file is opened in a newer version of Excel. Learn more: https://go.microsoft.com/fwlink/?linkid=870924
Comment:
	@anaise.blanchet@adevinta.com @laetitia.sebaoun@adevinta.com pourrez vous mettre un owner, vous ou quelqu'un d'autre côté juridique qui peut porter ce cas et en être responsable plz? Thanks
</t>
      </text>
    </comment>
    <comment authorId="22" xr:uid="{40fc7e3c-c727-45b5-8ad1-b5959c23f3fe}" ref="D168">
      <text>
        <t xml:space="preserve">[Threaded comment]
 Your version of Excel allows you to read this threaded comment; however, any edits to it will get removed if the file is opened in a newer version of Excel. Learn more: https://go.microsoft.com/fwlink/?linkid=870924
Comment:
	@ludovic.hazart@adevinta.com toujours d'actu ça?
Assigned to ludovic.hazart@adevinta.com
Attribué à ludovic.hazart@adevinta.com
Reply:
	Oui alors c'était en cours chez des HoP mais un peu mis en pause je vais réactivier (et aider probablement) :)
Reply:
	Doublon de ligne 175 il me semble
</t>
      </text>
    </comment>
    <comment authorId="23" xr:uid="{41650bcb-b361-4f52-906e-af410cce525b}" ref="J207">
      <text>
        <t xml:space="preserve">[Threaded comment]
 Your version of Excel allows you to read this threaded comment; however, any edits to it will get removed if the file is opened in a newer version of Excel. Learn more: https://go.microsoft.com/fwlink/?linkid=870924
Comment:
	@gilles.lalyre.ext@adevinta.com @abderrahmane.abdallahoum@adevinta.com Hello pourriez-vous ajouter la population concernée, si c'est un métier spécifique dans l'UX (ex. research) ou si tout l'UX ? Thanks !
Assigned to 
</t>
      </text>
    </comment>
    <comment authorId="24" xr:uid="{47fe337f-58f9-4319-ac69-17e078ddc217}" ref="D295">
      <text>
        <t xml:space="preserve">[Threaded comment]
 Your version of Excel allows you to read this threaded comment; however, any edits to it will get removed if the file is opened in a newer version of Excel. Learn more: https://go.microsoft.com/fwlink/?linkid=870924
Comment:
	Il faudrait plus de détail sur le besoin
</t>
      </text>
    </comment>
    <comment authorId="25" xr:uid="{48337cd5-134d-4b47-aef8-863b41ddaf49}" ref="A1">
      <text>
        <t xml:space="preserve">[Threaded comment]
 Your version of Excel allows you to read this threaded comment; however, any edits to it will get removed if the file is opened in a newer version of Excel. Learn more: https://go.microsoft.com/fwlink/?linkid=870924
Comment:
	@juliette.patry@adevinta.com @sabrina.amiri@adevinta.com @juliette.patry@adevinta.com @sabrina.amiri@adevinta.com pourrez vous mettre choisir un état d'avancement sur ce cas plz
</t>
      </text>
    </comment>
    <comment authorId="26" xr:uid="{48e56563-72c3-46f7-8118-685d06484dd6}" ref="E199">
      <text>
        <t xml:space="preserve">[Threaded comment]
 Your version of Excel allows you to read this threaded comment; however, any edits to it will get removed if the file is opened in a newer version of Excel. Learn more: https://go.microsoft.com/fwlink/?linkid=870924
Comment:
	Revue des maquettes et wireframe : done @laetitia.ferrando@adevinta.com
Reply:
	ok
Marquée comme fermée
</t>
      </text>
    </comment>
    <comment authorId="27" xr:uid="{49961c29-eeb9-4e4c-963b-94eecd70119e}" ref="G256">
      <text>
        <t xml:space="preserve">[Threaded comment]
 Your version of Excel allows you to read this threaded comment; however, any edits to it will get removed if the file is opened in a newer version of Excel. Learn more: https://go.microsoft.com/fwlink/?linkid=870924
Comment:
	@pauletienne.bauchet@adevinta.com @elisa.ronchi@adevinta.com pourrez vous mettre un owner pour ce cas, vous ou qq à la RH
Assigned to pauletienne.bauchet@adevinta.com
Attribué à pauletienne.bauchet@adevinta.com
</t>
      </text>
    </comment>
    <comment authorId="28" xr:uid="{4b281a05-0eea-468b-90f8-979bb54185a1}" ref="E164">
      <text>
        <t xml:space="preserve">[Threaded comment]
 Your version of Excel allows you to read this threaded comment; however, any edits to it will get removed if the file is opened in a newer version of Excel. Learn more: https://go.microsoft.com/fwlink/?linkid=870924
Comment:
	@abderrahmane.abdallahoum@adevinta.com est ce que c'est live ça? Thanks
Assigned to abderrahmane.abdallahoum@adevinta.com
Attribué à abderrahmane.abdallahoum@adevinta.com
</t>
      </text>
    </comment>
    <comment authorId="29" xr:uid="{4c0be20f-82e3-47f7-bc39-8f4341a83f2b}" ref="D171">
      <text>
        <t xml:space="preserve">[Threaded comment]
 Your version of Excel allows you to read this threaded comment; however, any edits to it will get removed if the file is opened in a newer version of Excel. Learn more: https://go.microsoft.com/fwlink/?linkid=870924
Comment:
	doublon ?
</t>
      </text>
    </comment>
    <comment authorId="30" xr:uid="{4ea26ef3-a42b-4624-9094-499fe804882b}" ref="E194">
      <text>
        <t xml:space="preserve">[Threaded comment]
 Your version of Excel allows you to read this threaded comment; however, any edits to it will get removed if the file is opened in a newer version of Excel. Learn more: https://go.microsoft.com/fwlink/?linkid=870924
Comment:
	C'est on track @laetitia.ferrando@adevinta.com
Reply:
	modifié
Marquée comme fermée
</t>
      </text>
    </comment>
    <comment authorId="31" xr:uid="{4f096262-0323-4cd6-984c-2b6815faccfc}" ref="D175">
      <text>
        <t xml:space="preserve">[Threaded comment]
 Your version of Excel allows you to read this threaded comment; however, any edits to it will get removed if the file is opened in a newer version of Excel. Learn more: https://go.microsoft.com/fwlink/?linkid=870924
Comment:
	@laurent.borel@adevinta.com quel est le status?
Assigned to laurent.borel@adevinta.com
Attribué à laurent.borel@adevinta.com
</t>
      </text>
    </comment>
    <comment authorId="32" xr:uid="{517244f4-ae77-41ea-8985-0e60e4970f96}" ref="D177">
      <text>
        <t xml:space="preserve">[Threaded comment]
 Your version of Excel allows you to read this threaded comment; however, any edits to it will get removed if the file is opened in a newer version of Excel. Learn more: https://go.microsoft.com/fwlink/?linkid=870924
Comment:
	@anais.langlet@adevinta.com est ce que c'est toujours d'actu ?
</t>
      </text>
    </comment>
    <comment authorId="33" xr:uid="{570076fa-70e9-4518-b5d2-73e44810d9e4}" ref="C236">
      <text>
        <t xml:space="preserve">[Threaded comment]
 Your version of Excel allows you to read this threaded comment; however, any edits to it will get removed if the file is opened in a newer version of Excel. Learn more: https://go.microsoft.com/fwlink/?linkid=870924
Comment:
	Pour info @jonathan.bensadoun@adevinta.com, ligne ajoutée pour QA. J'ai complété ce que je pouvais. Je te laisse voir avec Carine pour compléter ce qui manque ?
Reply:
	@cecile.polard@adevinta.com peux tu prendre le relai
Marquée comme fermée
</t>
      </text>
    </comment>
    <comment authorId="34" xr:uid="{5887ce0a-42cf-480e-ab04-712682a4af2f}" ref="D230">
      <text>
        <t xml:space="preserve">[Threaded comment]
 Your version of Excel allows you to read this threaded comment; however, any edits to it will get removed if the file is opened in a newer version of Excel. Learn more: https://go.microsoft.com/fwlink/?linkid=870924
Comment:
	@anaise.blanchet@adevinta.com c'est proche de ton Use case je crois?
Reply:
	Oui tout à fait, j'ai transmis Lydie le Gpt créé par Yohan, elle va le rester en rentrant de congés
1 total reaction
Laetitia Ferrando reacted with 👍 at 2025-09-26 13:06 PM
Reply:
	@jonathan.bensadoun@adevinta.com tu peux checker avec Lydie ?
Reply:
	l'assistant juridique est à 50 % de bonnes réponses. Il a également "maitre coin". c'est en cours de test côté lydie.
Reply:
	Si on se parle de maitre coin je pense qu'il est compté 2 fois au juridique et à la relations clients @anaise.blanchet@adevinta.com @jonathan.bensadoun@adevinta.com
Reply:
	Hello je reviens vers vous sur cette question :) Thx !
Reply:
	Hello, je pense effet que ce usecase doit rester côté légal et doit ête supprimé des usecases RC.
</t>
      </text>
    </comment>
    <comment authorId="35" xr:uid="{58fb2288-0245-4f2f-b546-70a4a3461b88}" ref="O69">
      <text>
        <t xml:space="preserve">[Threaded comment]
 Your version of Excel allows you to read this threaded comment; however, any edits to it will get removed if the file is opened in a newer version of Excel. Learn more: https://go.microsoft.com/fwlink/?linkid=870924
Comment:
	@andreas.cayla@adevinta.com , tu peux remplir les colonnes K, L, et M ?
Assigned to andreas.cayla@adevinta.com
Attribué à andreas.cayla@adevinta.com
</t>
      </text>
    </comment>
    <comment authorId="36" xr:uid="{5ad55646-938b-4325-8e6c-9102a35c2417}" ref="C249">
      <text>
        <t xml:space="preserve">[Threaded comment]
 Your version of Excel allows you to read this threaded comment; however, any edits to it will get removed if the file is opened in a newer version of Excel. Learn more: https://go.microsoft.com/fwlink/?linkid=870924
Comment:
	@jonathan.bensadoun@adevinta.com idem j'ai rajouté et pré-rempli une ligne pour Chattermill. Je te laisse voir avec Carine pour compléter ce qui manque
Reply:
	@carine.rinaldi@adevinta.com
Marquée comme fermée
</t>
      </text>
    </comment>
    <comment authorId="37" xr:uid="{5cbad4dd-cb0d-464c-a3d5-6106bbe46fd6}" ref="D183">
      <text>
        <t xml:space="preserve">[Threaded comment]
 Your version of Excel allows you to read this threaded comment; however, any edits to it will get removed if the file is opened in a newer version of Excel. Learn more: https://go.microsoft.com/fwlink/?linkid=870924
Comment:
	@patrice.chaperon@adevinta.com  tu sais si c'est en cours ?
Assigned to patrice.chaperon@adevinta.com
Attribué à patrice.chaperon@adevinta.com
Reply:
	ce sont des choses oui que l'on va pouvoir faire avec databricks dans le cadre de la transfo data
Marqué comme terminé
</t>
      </text>
    </comment>
    <comment authorId="38" xr:uid="{61646381-0e3f-484c-803a-a55d2772d12c}" ref="D185">
      <text>
        <t xml:space="preserve">[Threaded comment]
 Your version of Excel allows you to read this threaded comment; however, any edits to it will get removed if the file is opened in a newer version of Excel. Learn more: https://go.microsoft.com/fwlink/?linkid=870924
Comment:
	@chloe.lasserre@adevinta.com @robin.leboeuf@adevinta.com c'est ce qu'on dev deja ça non?
Assigned to chloe.lasserre@adevinta.com
Attribué à 
Reply:
	Initialement je pense que c'était l'idée d'avoir un petit outil interne qui puisse reconnaître automatiquement les composants utilisés sur le site et les apps comme un plugin intelligent qu'on pourrait activer sur les pages), avec un score d'adoption visible, un jeu de couleurs (vert &gt; jaune&gt; rouge).
Reply:
	merci Chloé, je pense on peut renommer le description et le status du coup ;) tu peux changer rapidement la desc et on le passe en en cours non?
Marqué comme terminé
</t>
      </text>
    </comment>
    <comment authorId="39" xr:uid="{61c1a25c-1938-44e2-9a46-8d1153d23db2}" ref="E179">
      <text>
        <t xml:space="preserve">[Threaded comment]
 Your version of Excel allows you to read this threaded comment; however, any edits to it will get removed if the file is opened in a newer version of Excel. Learn more: https://go.microsoft.com/fwlink/?linkid=870924
Comment:
	C'est done donc
</t>
      </text>
    </comment>
    <comment authorId="40" xr:uid="{6389a1a5-6a4d-4ee2-8fa3-649a4f68a8f5}" ref="G202">
      <text>
        <t xml:space="preserve">[Threaded comment]
 Your version of Excel allows you to read this threaded comment; however, any edits to it will get removed if the file is opened in a newer version of Excel. Learn more: https://go.microsoft.com/fwlink/?linkid=870924
Comment:
	@abderrahmane.abdallahoum@adevinta.com @gilles.lalyre.ext@adevinta.com : N'hésitez pas à m'envoyer une invitation pour la revue juridique de vos use cases
Reply:
	Hello à tous @abderrahmane.abdallahoum@adevinta.com @gilles.lalyre.ext@adevinta.com est ce que cela a eu lieu please?
Reply:
	Je t'envoie une invit, mais entre temps on a décidé de passer sur ChatGPT, est-ce quand même nécessaire ?
Reply:
	oui!
</t>
      </text>
    </comment>
    <comment authorId="41" xr:uid="{6512c817-720c-4089-b21a-2aece5e55b6e}" ref="K6">
      <text>
        <t xml:space="preserve">[Threaded comment]
 Your version of Excel allows you to read this threaded comment; however, any edits to it will get removed if the file is opened in a newer version of Excel. Learn more: https://go.microsoft.com/fwlink/?linkid=870924
Comment:
	@valentin.lemarec@adevinta.com on n'a pas évoqué celui-ci pendant le call mais il me semble un peu sensible
Reply:
	Je ne suis pas sûr de comprendre exactement ce qu'il en est de celui-ci. C'est quoi "concurrence" / "plans de tournée FS" ?
Reply:
	Hello @valentin.lemarec@adevinta.com n'hésite pas à prendre contact directement avec les référents IA qui sont là pour porter ces cas dans l'ensemble des départements. Côté Auto c'est @elsa.cadoux@adevinta.com et @marc.chaperon@adevinta.com ou directement avec les owners qui sont dans la colonne F, ça sera plus simple si vous souhaitez comprendre ce qu'il y a derrière les lignes pour les cadrer au mieux. Thanks !
Reply:
	@thibaut.prat@adevinta.com quand tu auras une minute, si tu veux bien aider Valentin sur le sujet. Si je me rappelle bien ce que vous voulez c'est un agent IA plugé sur Salesforce pour pouvoir faire des requêtes, c'est ça?
</t>
      </text>
    </comment>
    <comment authorId="42" xr:uid="{65c899e9-5752-4f3d-8847-2c253f817cf0}" ref="O77">
      <text>
        <t xml:space="preserve">[Threaded comment]
 Your version of Excel allows you to read this threaded comment; however, any edits to it will get removed if the file is opened in a newer version of Excel. Learn more: https://go.microsoft.com/fwlink/?linkid=870924
Comment:
	@zineb.clauzel@adevinta.com tu peux remplir les colonnes K, L, et M ?
</t>
      </text>
    </comment>
    <comment authorId="43" xr:uid="{6add0ddb-c0f3-4a07-9a53-b00aeb27a13f}" ref="A1">
      <text>
        <t xml:space="preserve">[Threaded comment]
 Your version of Excel allows you to read this threaded comment; however, any edits to it will get removed if the file is opened in a newer version of Excel. Learn more: https://go.microsoft.com/fwlink/?linkid=870924
Comment:
	@juliette.patry@adevinta.com @sabrina.amiri@adevinta.com pourrez vous mettre choisir un état d'avancement sur ce cas plz
</t>
      </text>
    </comment>
    <comment authorId="44" xr:uid="{6c091b04-9df1-414a-9be6-035fdc7c89e7}" ref="G29">
      <text>
        <t xml:space="preserve">[Threaded comment]
 Your version of Excel allows you to read this threaded comment; however, any edits to it will get removed if the file is opened in a newer version of Excel. Learn more: https://go.microsoft.com/fwlink/?linkid=870924
Comment:
	@elsa.cadoux@adevinta.com @marc.chaperon@adevinta.com vous pourriez ajouter un owner plz?
</t>
      </text>
    </comment>
    <comment authorId="45" xr:uid="{6c25e680-56f6-4ff2-83fa-69f77c26d1d1}" ref="D209">
      <text>
        <t xml:space="preserve">[Threaded comment]
 Your version of Excel allows you to read this threaded comment; however, any edits to it will get removed if the file is opened in a newer version of Excel. Learn more: https://go.microsoft.com/fwlink/?linkid=870924
Comment:
	@eliott.lujan@adevinta.com @melanie.meng@adevinta.com @abderrahmane.abdallahoum@adevinta.com le sujet a été fait avec lebonwording non https://adevinta.slack.com/archives/C08K2NUBVKM/p1775827887110919 ? et c'est même dispo sur Backstage.
1 total reaction
Eliott Lujan reacted with 👍 at 2026-04-24 15:42 PM
Assigned to eliott.lujan@adevinta.com
Attribué à eliott.lujan@adevinta.com
</t>
      </text>
    </comment>
    <comment authorId="46" xr:uid="{714ff0d4-6f33-4c22-8b7a-899539e8f1f7}" ref="O80">
      <text>
        <t xml:space="preserve">[Threaded comment]
 Your version of Excel allows you to read this threaded comment; however, any edits to it will get removed if the file is opened in a newer version of Excel. Learn more: https://go.microsoft.com/fwlink/?linkid=870924
Comment:
	@stephane.boucher@adevinta.com tu peux remplir les colonnes K, L, et M ?
Assigned to stephane.boucher@adevinta.com
Attribué à stephane.boucher@adevinta.com
</t>
      </text>
    </comment>
    <comment authorId="47" xr:uid="{72730499-1e1c-4b43-ac65-5d2c6b8551a2}" ref="D184">
      <text>
        <t xml:space="preserve">[Threaded comment]
 Your version of Excel allows you to read this threaded comment; however, any edits to it will get removed if the file is opened in a newer version of Excel. Learn more: https://go.microsoft.com/fwlink/?linkid=870924
Comment:
	@chloe.lasserre@adevinta.com est ce que c'est toujours d'actualité ?
Reply:
	Oui, techniquement l'IA pourrait nous aider. Je ne sais pas encore (car je n'ai pas creusé le sujet, et je n'ai pas d'EM) si ca pourrait nous aider à développer plus vite des composants en interne dans la team Spark ou même nous aider à créer des évolutions rapides qu'on aurait plus qu'à review dans le code (ex : un intent à supprimer pour un composant, qui pourrait se déclencher dès que la suppression est faite dans le fichier de base Design) OU ALORS si ca pourrait aider les Fts à utiliser plus facilement les composants (ex : conseiller sur l'usage d'un composant au lieu d'un autre en partie Design, ou en partie Dev pouvoir proposer automatiquement dans le code des propriétés en fonction du composant appelé et du contexte métier d'implémentation.)
Reply:
	C est plut^to un sujet tech &gt; à retirer de produit @laetitia.ferrando@adevinta.com
</t>
      </text>
    </comment>
    <comment authorId="48" xr:uid="{76718ae1-a166-461d-8c5f-2280943af6b2}" ref="A1">
      <text>
        <t xml:space="preserve">[Threaded comment]
 Your version of Excel allows you to read this threaded comment; however, any edits to it will get removed if the file is opened in a newer version of Excel. Learn more: https://go.microsoft.com/fwlink/?linkid=870924
Comment:
	@jonathan.bensadoun@adevinta.com mayday ?
Assigned to jonathan.bensadoun@adevinta.com
Attribué à jonathan.bensadoun@adevinta.com
</t>
      </text>
    </comment>
    <comment authorId="49" xr:uid="{7af98e20-74ec-4a23-884b-186708aa353b}" ref="A1">
      <text>
        <t xml:space="preserve">[Threaded comment]
 Your version of Excel allows you to read this threaded comment; however, any edits to it will get removed if the file is opened in a newer version of Excel. Learn more: https://go.microsoft.com/fwlink/?linkid=870924
Comment:
	@carine.rinaldi@adevinta.com
Assigned to carine.rinaldi@adevinta.com
Attribué à carine.rinaldi@adevinta.com
</t>
      </text>
    </comment>
    <comment authorId="50" xr:uid="{7f062803-9264-4414-aa81-d188c39edfac}" ref="E178">
      <text>
        <t xml:space="preserve">[Threaded comment]
 Your version of Excel allows you to read this threaded comment; however, any edits to it will get removed if the file is opened in a newer version of Excel. Learn more: https://go.microsoft.com/fwlink/?linkid=870924
Comment:
	En cours coté Mel @laetitia.ferrando@adevinta.com
</t>
      </text>
    </comment>
    <comment authorId="51" xr:uid="{807e870a-6946-46bc-9bd9-87ecb6e670ad}" ref="D166">
      <text>
        <t xml:space="preserve">[Threaded comment]
 Your version of Excel allows you to read this threaded comment; however, any edits to it will get removed if the file is opened in a newer version of Excel. Learn more: https://go.microsoft.com/fwlink/?linkid=870924
Comment:
	en cours @laurent.borel@adevinta.com ?
Assigned to laurent.borel@adevinta.com
Attribué à laurent.borel@adevinta.com
Reply:
	Hello,
Yes je l'ai partagé aux collègues manager DA, et @marie.favre@adevinta.com devrait faire un test avec Search qui a des AB tests de prévus.
Pour rappel le lien vers le custom GPT : https://chatgpt.com/g/g-68e90791ddd081a4a2337c8b27a8054a-confidence-helper
2 total reactions
Patrice Chaperon reacted with 👍 at 2025-10-16 16:15 PM
Utilisateur supprimé reacted with 👍 at 2025-10-29 15:03 PM
Marqué comme terminé
</t>
      </text>
    </comment>
    <comment authorId="52" xr:uid="{81b3f86e-7bb5-41f8-b9f0-27534e484758}" ref="C302">
      <text>
        <t xml:space="preserve">[Threaded comment]
 Your version of Excel allows you to read this threaded comment; however, any edits to it will get removed if the file is opened in a newer version of Excel. Learn more: https://go.microsoft.com/fwlink/?linkid=870924
Comment:
	est ce que l'assistant officiel des QA
</t>
      </text>
    </comment>
    <comment authorId="53" xr:uid="{829c6472-410a-487a-a598-7f88fe6bff59}" ref="E149">
      <text>
        <t xml:space="preserve">[Threaded comment]
 Your version of Excel allows you to read this threaded comment; however, any edits to it will get removed if the file is opened in a newer version of Excel. Learn more: https://go.microsoft.com/fwlink/?linkid=870924
Comment:
	@anaise.blanchet@adevinta.com est ce qu'on peut mettre live ce cas? Thanks
Assigned to anaise.blanchet@adevinta.com
Attribué à anaise.blanchet@adevinta.com
Reply:
	Même si ce n'est pas utilisé par les équipes concernées (TLV) ?
Reply:
	du coup je veux bien qu'on voit les personnes qui doivent avoir accès genre ceux qui vous sollicitent le plus RC par exemple. Ensuite on leur donne accès et vous le mettez en place avec eux pour qu'ils l'utilisent. Marie-Laure est ok pour donner accès à certains qui vont l'utiliser.
Marqué comme terminé
</t>
      </text>
    </comment>
    <comment authorId="54" xr:uid="{8708e29f-c210-4447-91b2-ce5ad872fa50}" ref="G149">
      <text>
        <t xml:space="preserve">[Threaded comment]
 Your version of Excel allows you to read this threaded comment; however, any edits to it will get removed if the file is opened in a newer version of Excel. Learn more: https://go.microsoft.com/fwlink/?linkid=870924
Comment:
	@anaise.blanchet@adevinta.com @laetitia.sebaoun@adevinta.com pourrez vous mettre un owner, vous ou quelqu'un d'autre côté juridique qui peut porter ce cas et en être responsable plz? Thanks
</t>
      </text>
    </comment>
    <comment authorId="55" xr:uid="{8a562417-324f-4d67-bab5-c65e2ad3ca63}" ref="G141">
      <text>
        <t xml:space="preserve">[Threaded comment]
 Your version of Excel allows you to read this threaded comment; however, any edits to it will get removed if the file is opened in a newer version of Excel. Learn more: https://go.microsoft.com/fwlink/?linkid=870924
Comment:
	@anaise.blanchet@adevinta.com @laetitia.sebaoun@adevinta.com pourrez vous mettre un owner, vous ou quelqu'un d'autre côté juridique qui peut porter ce cas et en être responsable plz? Thanks
</t>
      </text>
    </comment>
    <comment authorId="56" xr:uid="{8abc004c-ed30-4412-82d5-90a3a3520028}" ref="A1">
      <text>
        <t xml:space="preserve">[Threaded comment]
 Your version of Excel allows you to read this threaded comment; however, any edits to it will get removed if the file is opened in a newer version of Excel. Learn more: https://go.microsoft.com/fwlink/?linkid=870924
Comment:
	on teste Tableau Pulse; le plugin qui rep à ce use case sur Q4, contact @saadi.kaci@adevinta.com
</t>
      </text>
    </comment>
    <comment authorId="57" xr:uid="{8b1f695d-d89b-4a7a-a994-d78eb6323148}" ref="D179">
      <text>
        <t xml:space="preserve">[Threaded comment]
 Your version of Excel allows you to read this threaded comment; however, any edits to it will get removed if the file is opened in a newer version of Excel. Learn more: https://go.microsoft.com/fwlink/?linkid=870924
Comment:
	@julia.langlois@adevinta.com est ce que c'est toujours d'actualité ?
1 total reaction
Julia Langlois reacted with 👍 at 2026-02-16 13:48 PM
Reply:
	On a le keydate - c'est une regle chat gpt @laetitia.ferrando@adevinta.com
Reply:
	j'ai mal formulé, en effet les dates de MEP sont dans les keydates mais il nous manque une cartographie avec l'ownership des parcours/feature. Souvent lorsqu'on a des bugs ou questions, les mêmes questions reviennent (ex: qui est owner de la page pro? encore remonté cette semaine)
</t>
      </text>
    </comment>
    <comment authorId="58" xr:uid="{94e36615-f948-47cd-be16-d8f8c45c2d88}" ref="C237">
      <text>
        <t xml:space="preserve">[Threaded comment]
 Your version of Excel allows you to read this threaded comment; however, any edits to it will get removed if the file is opened in a newer version of Excel. Learn more: https://go.microsoft.com/fwlink/?linkid=870924
Comment:
	@jonathan.bensadoun@adevinta.com ligné ajoutée pour les analyses verbatims CSAT. Je te laisse voir avec Carine pour compléter ce qui manque
</t>
      </text>
    </comment>
    <comment authorId="59" xr:uid="{96857288-1a1f-409d-b5b8-003d98b208f3}" ref="A1">
      <text>
        <t xml:space="preserve">[Threaded comment]
 Your version of Excel allows you to read this threaded comment; however, any edits to it will get removed if the file is opened in a newer version of Excel. Learn more: https://go.microsoft.com/fwlink/?linkid=870924
Comment:
	@juliette.patry@adevinta.com @sabrina.amiri@adevinta.com pourrez vous mettre choisir un état d'avancement sur ce cas plz
</t>
      </text>
    </comment>
    <comment authorId="60" xr:uid="{9a8a5b9c-3c30-40bd-957b-81a249e83741}" ref="C245">
      <text>
        <t xml:space="preserve">[Threaded comment]
 Your version of Excel allows you to read this threaded comment; however, any edits to it will get removed if the file is opened in a newer version of Excel. Learn more: https://go.microsoft.com/fwlink/?linkid=870924
Comment:
	@carine.rinaldi@adevinta.com
Assigned to carine.rinaldi@adevinta.com
Attribué à carine.rinaldi@adevinta.com
</t>
      </text>
    </comment>
    <comment authorId="61" xr:uid="{9e16c568-219c-4d2a-ab39-ed304bf7badf}" ref="E165">
      <text>
        <t xml:space="preserve">[Threaded comment]
 Your version of Excel allows you to read this threaded comment; however, any edits to it will get removed if the file is opened in a newer version of Excel. Learn more: https://go.microsoft.com/fwlink/?linkid=870924
Comment:
	Done avec Claude Code (cf le tuto fourni aux PMs)
</t>
      </text>
    </comment>
    <comment authorId="62" xr:uid="{a6133f72-f25d-4f7b-a64f-4b0a92f703ee}" ref="C209">
      <text>
        <t xml:space="preserve">[Threaded comment]
 Your version of Excel allows you to read this threaded comment; however, any edits to it will get removed if the file is opened in a newer version of Excel. Learn more: https://go.microsoft.com/fwlink/?linkid=870924
Comment:
	@laetitia.ferrando@adevinta.com @martin.berthonneau@adevinta.com
Assigned to laetitia.ferrando@adevinta.com
Attribué à laetitia.ferrando@adevinta.com
</t>
      </text>
    </comment>
    <comment authorId="63" xr:uid="{a756f34f-7e7b-47c3-a082-e672b9892f08}" ref="G150">
      <text>
        <t xml:space="preserve">[Threaded comment]
 Your version of Excel allows you to read this threaded comment; however, any edits to it will get removed if the file is opened in a newer version of Excel. Learn more: https://go.microsoft.com/fwlink/?linkid=870924
Comment:
	@anaise.blanchet@adevinta.com @laetitia.sebaoun@adevinta.com est ce que ce cas est pris directement au juridique?
Reply:
	C'est un cas d'usage standard de ChatGPT, à date on n'a pas prévu de développer un GPT dédié
Reply:
	Ok est ce que vous avez un prompt qui marche bien au quotidien, que vous vous êtes partagés entre vous etc...? Si oui est ce qu'on peut mettre que le cas est terminé ou est ce que ce n'est pas encore le cas donc on laisse en cours et une fois que vous avez une version de prompt satisfaisant on le passe en done?
Marquée comme fermée
</t>
      </text>
    </comment>
    <comment authorId="64" xr:uid="{a8079830-9937-4585-a07c-2fcf90fd1ad6}" ref="A1">
      <text>
        <t xml:space="preserve">[Threaded comment]
 Your version of Excel allows you to read this threaded comment; however, any edits to it will get removed if the file is opened in a newer version of Excel. Learn more: https://go.microsoft.com/fwlink/?linkid=870924
Comment:
	Pas besoin d'IA pour ça imho
</t>
      </text>
    </comment>
    <comment authorId="65" xr:uid="{a9bd692a-40cc-4405-ae41-c299e2cb612b}" ref="G268">
      <text>
        <t xml:space="preserve">[Threaded comment]
 Your version of Excel allows you to read this threaded comment; however, any edits to it will get removed if the file is opened in a newer version of Excel. Learn more: https://go.microsoft.com/fwlink/?linkid=870924
Comment:
	Changé sur F. Prost à la demande de J. Lubin
</t>
      </text>
    </comment>
    <comment authorId="66" xr:uid="{abcf71ec-a8b9-40a5-b6de-df202077a3ac}" ref="C236">
      <text>
        <t xml:space="preserve">[Threaded comment]
 Your version of Excel allows you to read this threaded comment; however, any edits to it will get removed if the file is opened in a newer version of Excel. Learn more: https://go.microsoft.com/fwlink/?linkid=870924
Comment:
	@carine.rinaldi@adevinta.com
Assigned to carine.rinaldi@adevinta.com
Attribué à carine.rinaldi@adevinta.com
</t>
      </text>
    </comment>
    <comment authorId="67" xr:uid="{ac86541d-5e15-499e-a345-dc1399dc8a09}" ref="E250">
      <text>
        <t xml:space="preserve">[Threaded comment]
 Your version of Excel allows you to read this threaded comment; however, any edits to it will get removed if the file is opened in a newer version of Excel. Learn more: https://go.microsoft.com/fwlink/?linkid=870924
Comment:
	@juliette.patry@adevinta.com @sabrina.amiri@adevinta.com pourrez vous mettre choisir un état d'avancement sur ce cas plz
</t>
      </text>
    </comment>
    <comment authorId="68" xr:uid="{ad4a468e-061a-4779-9676-7b252ac86eb7}" ref="A1">
      <text>
        <t xml:space="preserve">[Threaded comment]
 Your version of Excel allows you to read this threaded comment; however, any edits to it will get removed if the file is opened in a newer version of Excel. Learn more: https://go.microsoft.com/fwlink/?linkid=870924
Comment:
	@marc.chaperon@adevinta.com @elsa.cadoux@adevinta.com Vous pourrez rajouter les noms dans la colonne owner plz? Que tout le monde puisse les retrouver pour leur poser des questions si besoin?
</t>
      </text>
    </comment>
    <comment authorId="69" xr:uid="{b1247729-3ce2-433f-bcd5-6454d667cae5}" ref="O190">
      <text>
        <t xml:space="preserve">[Threaded comment]
 Your version of Excel allows you to read this threaded comment; however, any edits to it will get removed if the file is opened in a newer version of Excel. Learn more: https://go.microsoft.com/fwlink/?linkid=870924
Comment:
	oui, après il n'est pas parfait, il le sera quand on aura un data catalog, mais le status est en cours
</t>
      </text>
    </comment>
    <comment authorId="70" xr:uid="{b1979269-e2ff-4132-8aec-c479a0bd0207}" ref="A1">
      <text>
        <t xml:space="preserve">[Threaded comment]
 Your version of Excel allows you to read this threaded comment; however, any edits to it will get removed if the file is opened in a newer version of Excel. Learn more: https://go.microsoft.com/fwlink/?linkid=870924
Comment:
	attentes inputs Laurent
</t>
      </text>
    </comment>
    <comment authorId="71" xr:uid="{b775f580-dd81-417a-a2fe-c552d3be1950}" ref="D176">
      <text>
        <t xml:space="preserve">[Threaded comment]
 Your version of Excel allows you to read this threaded comment; however, any edits to it will get removed if the file is opened in a newer version of Excel. Learn more: https://go.microsoft.com/fwlink/?linkid=870924
Comment:
	@laurent.borel@adevinta.com est ce que c'est toujours prévu ? quel est le statut?
Reply:
	Coucou,
Non rien n'a été fait sur ce sujet 
A dispo
</t>
      </text>
    </comment>
    <comment authorId="72" xr:uid="{b888b48e-e42c-4833-b776-f61ddaedf7a5}" ref="D174">
      <text>
        <t xml:space="preserve">[Threaded comment]
 Your version of Excel allows you to read this threaded comment; however, any edits to it will get removed if the file is opened in a newer version of Excel. Learn more: https://go.microsoft.com/fwlink/?linkid=870924
Comment:
	@patrice.chaperon@adevinta.com il y a un sujet la dessus ou on abandonne ?
Assigned to patrice.chaperon@adevinta.com
Attribué à patrice.chaperon@adevinta.com
Reply:
	sur le code y'a deja qq trucs en place, mais à mon avis les reviews des attendus derriere une analyse; on peut faire des choses
</t>
      </text>
    </comment>
    <comment authorId="73" xr:uid="{bff8876b-d02b-4ee0-ab42-126ae46546c4}" ref="E191">
      <text>
        <t xml:space="preserve">[Threaded comment]
 Your version of Excel allows you to read this threaded comment; however, any edits to it will get removed if the file is opened in a newer version of Excel. Learn more: https://go.microsoft.com/fwlink/?linkid=870924
Comment:
	Agent claude code - Termine
@laetitia.ferrando@adevinta.com
</t>
      </text>
    </comment>
    <comment authorId="74" xr:uid="{c219d125-39d7-45dc-93ba-fe3c91423fe5}" ref="E169">
      <text>
        <t xml:space="preserve">[Threaded comment]
 Your version of Excel allows you to read this threaded comment; however, any edits to it will get removed if the file is opened in a newer version of Excel. Learn more: https://go.microsoft.com/fwlink/?linkid=870924
Comment:
	Il me semble que ca a été fait @laetitia.ferrando@adevinta.com &gt; à vérifier avce imene
</t>
      </text>
    </comment>
    <comment authorId="75" xr:uid="{c221fc31-8a78-4955-887f-c74870a69874}" ref="D173">
      <text>
        <t xml:space="preserve">[Threaded comment]
 Your version of Excel allows you to read this threaded comment; however, any edits to it will get removed if the file is opened in a newer version of Excel. Learn more: https://go.microsoft.com/fwlink/?linkid=870924
Comment:
	@abderrahmane.abdallahoum@adevinta.com est ce que tu sais si c'est en cours et s'il y a un owner ? le titre est un peu large :)
Reply:
	A supprimer - ce n'est pas un cas pris par personne @laetitia.ferrando@adevinta.com
</t>
      </text>
    </comment>
    <comment authorId="76" xr:uid="{c7029c6d-2a5a-4547-ba7e-131b917231ee}" ref="A1">
      <text>
        <t xml:space="preserve">[Threaded comment]
 Your version of Excel allows you to read this threaded comment; however, any edits to it will get removed if the file is opened in a newer version of Excel. Learn more: https://go.microsoft.com/fwlink/?linkid=870924
Comment:
	doublon ligne 120 non?
</t>
      </text>
    </comment>
    <comment authorId="77" xr:uid="{c824dcf3-7f7d-4a96-8b34-61797f95a65c}" ref="E233">
      <text>
        <t xml:space="preserve">[Threaded comment]
 Your version of Excel allows you to read this threaded comment; however, any edits to it will get removed if the file is opened in a newer version of Excel. Learn more: https://go.microsoft.com/fwlink/?linkid=870924
Comment:
	@juliette.patry@adevinta.com @sabrina.amiri@adevinta.com pourrez vous mettre choisir un état d'avancement sur ce cas plz
</t>
      </text>
    </comment>
    <comment authorId="78" xr:uid="{cab1bcbc-c95d-4005-9836-977302c6e001}" ref="E298">
      <text>
        <t xml:space="preserve">[Threaded comment]
 Your version of Excel allows you to read this threaded comment; however, any edits to it will get removed if the file is opened in a newer version of Excel. Learn more: https://go.microsoft.com/fwlink/?linkid=870924
Comment:
	@laetitia.ferrando@adevinta.com plus trop d'actualité celui-ci, notre choix d'outil s'étant porté sur Claude Code qui est déployé... donc soit on supprime, soit on passe en dore vu que Claude Code est déployé.
Assigned to laetitia.ferrando@adevinta.com
Attribué à laetitia.ferrando@adevinta.com
</t>
      </text>
    </comment>
    <comment authorId="79" xr:uid="{cb934eae-92ce-42ed-a331-62d154b1ef5d}" ref="A1">
      <text>
        <t xml:space="preserve">[Threaded comment]
 Your version of Excel allows you to read this threaded comment; however, any edits to it will get removed if the file is opened in a newer version of Excel. Learn more: https://go.microsoft.com/fwlink/?linkid=870924
Comment:
	@jonathan.bensadoun@adevinta.com si l'IA sait fait ca il sait répondre totalement à la demande non ?
Assigned to jonathan.bensadoun@adevinta.com
Attribué à jonathan.bensadoun@adevinta.com
Reply:
	Mayday pourra aider mais en effet, idée abandonée
</t>
      </text>
    </comment>
    <comment authorId="80" xr:uid="{cc492ad4-b1bc-4623-96ca-b9d9b5a93478}" ref="D170">
      <text>
        <t xml:space="preserve">[Threaded comment]
 Your version of Excel allows you to read this threaded comment; however, any edits to it will get removed if the file is opened in a newer version of Excel. Learn more: https://go.microsoft.com/fwlink/?linkid=870924
Comment:
	@ludovic.hazart@adevinta.com une idée de qui pourrait prendre ça ?
</t>
      </text>
    </comment>
    <comment authorId="81" xr:uid="{cfe2584b-9af2-4988-82f1-0958ee7ea7ef}" ref="D169">
      <text>
        <t xml:space="preserve">[Threaded comment]
 Your version of Excel allows you to read this threaded comment; however, any edits to it will get removed if the file is opened in a newer version of Excel. Learn more: https://go.microsoft.com/fwlink/?linkid=870924
Comment:
	@anaise.blanchet@adevinta.com
Reply:
	@imene.sediri@adevinta.com est ce que c'est toujours en cours ?
</t>
      </text>
    </comment>
    <comment authorId="82" xr:uid="{d2fbaa67-32ce-40e5-a746-c11c8ec770e9}" ref="E185">
      <text>
        <t xml:space="preserve">[Threaded comment]
 Your version of Excel allows you to read this threaded comment; however, any edits to it will get removed if the file is opened in a newer version of Excel. Learn more: https://go.microsoft.com/fwlink/?linkid=870924
Comment:
	On a ouvert les connexions figma donc on peut dire que c est done
Reply:
	@laetitia.ferrando@adevinta.com
Marquée comme fermée
</t>
      </text>
    </comment>
    <comment authorId="83" xr:uid="{d3b9a6f9-3d4e-4866-a476-3b88ed410bcf}" ref="G163">
      <text>
        <t xml:space="preserve">[Threaded comment]
 Your version of Excel allows you to read this threaded comment; however, any edits to it will get removed if the file is opened in a newer version of Excel. Learn more: https://go.microsoft.com/fwlink/?linkid=870924
Comment:
	@fiona.vassaux@adevinta.com c'est ce que c'est toujours "en cours" ou bien le GPT est live ?
Assigned to fiona.vassaux@adevinta.com
Attribué à fiona.vassaux@adevinta.com
Reply:
	L'assistant qui évalue le cadrage est bien live : https://chatgpt.com/g/g-68dbd032d13c81a4a6caf8a2b0e2bbb2-assistant-evaluation-cadrage-produit
Reply:
	Merci :)
Marqué comme terminé
</t>
      </text>
    </comment>
    <comment authorId="84" xr:uid="{de2e7ebb-ad1c-4f2f-aea6-4e180505accf}" ref="G146">
      <text>
        <t xml:space="preserve">[Threaded comment]
 Your version of Excel allows you to read this threaded comment; however, any edits to it will get removed if the file is opened in a newer version of Excel. Learn more: https://go.microsoft.com/fwlink/?linkid=870924
Comment:
	@anaise.blanchet@adevinta.com @laetitia.sebaoun@adevinta.com est ce que ce cas est pris directement au juridique?
Reply:
	C'est un cas que nous prévoyons lors de la formation du 30/09
Reply:
	ok top cc @yohan.koehler@adevinta.com
Marquée comme fermée
</t>
      </text>
    </comment>
    <comment authorId="85" xr:uid="{de38a3ef-1d93-428e-ae08-5231271fcc9e}" ref="O70">
      <text>
        <t xml:space="preserve">[Threaded comment]
 Your version of Excel allows you to read this threaded comment; however, any edits to it will get removed if the file is opened in a newer version of Excel. Learn more: https://go.microsoft.com/fwlink/?linkid=870924
Comment:
	@ibrahim.illiassou@adevinta.com tu peux remplir les colonnes K, L, et M ?
Assigned to ibrahim.illiassou@adevinta.com
Attribué à ibrahim.illiassou@adevinta.com
</t>
      </text>
    </comment>
    <comment authorId="86" xr:uid="{e00b76fd-0191-4c58-97f8-378b5514a92a}" ref="A1">
      <text>
        <t xml:space="preserve">[Threaded comment]
 Your version of Excel allows you to read this threaded comment; however, any edits to it will get removed if the file is opened in a newer version of Excel. Learn more: https://go.microsoft.com/fwlink/?linkid=870924
Comment:
	Note: pas vraiment besoin d'IA pour ça imho
</t>
      </text>
    </comment>
    <comment authorId="87" xr:uid="{e0a7a095-fc64-4acf-9162-b2d6454964c7}" ref="D256">
      <text>
        <t xml:space="preserve">[Threaded comment]
 Your version of Excel allows you to read this threaded comment; however, any edits to it will get removed if the file is opened in a newer version of Excel. Learn more: https://go.microsoft.com/fwlink/?linkid=870924
Comment:
	@pauletienne.bauchet@adevinta.com Peux-tu demander à chaque owner de Use Cases côté RH de me contacter pour faire une revue juridique stp?
</t>
      </text>
    </comment>
    <comment authorId="88" xr:uid="{e1d78a47-64d6-4ec7-abca-cc46a8c44830}" ref="A1">
      <text>
        <t xml:space="preserve">[Threaded comment]
 Your version of Excel allows you to read this threaded comment; however, any edits to it will get removed if the file is opened in a newer version of Excel. Learn more: https://go.microsoft.com/fwlink/?linkid=870924
Comment:
	deux fois le même &gt; à supprimer @laetitia.ferrando@adevinta.com
Assigned to laetitia.ferrando@adevinta.com
Attribué à laetitia.ferrando@adevinta.com
</t>
      </text>
    </comment>
    <comment authorId="89" xr:uid="{e3e40d50-9eb6-4f52-af6b-df7c51990c0d}" ref="G144">
      <text>
        <t xml:space="preserve">[Threaded comment]
 Your version of Excel allows you to read this threaded comment; however, any edits to it will get removed if the file is opened in a newer version of Excel. Learn more: https://go.microsoft.com/fwlink/?linkid=870924
Comment:
	@anaise.blanchet@adevinta.com @laetitia.sebaoun@adevinta.com pourrez vous mettre un owner, vous ou quelqu'un d'autre côté juridique qui peut porter ce cas et en être responsable plz? Thanks
</t>
      </text>
    </comment>
    <comment authorId="90" xr:uid="{e4703b35-464b-417f-bba4-9f1ab48c01e7}" ref="G4">
      <text>
        <t xml:space="preserve">[Threaded comment]
 Your version of Excel allows you to read this threaded comment; however, any edits to it will get removed if the file is opened in a newer version of Excel. Learn more: https://go.microsoft.com/fwlink/?linkid=870924
Comment:
	@anaise.blanchet@adevinta.com @laetitia.sebaoun@adevinta.com pourrez vous mettre un owner, vous ou quelqu'un d'autre côté juridique qui peut porter ce cas et en être responsable plz? Thanks
Reply:
	@anaise.blanchet@adevinta.com j'ai fait des propositions d'ownership pour tous les UC - à valider en prochaine réu d'équipe si ca ta va
1 total reaction
Anaïse Blanchet reacted with 👍 at 2025-09-29 07:45 AM
Marquée comme fermée
</t>
      </text>
    </comment>
    <comment authorId="91" xr:uid="{eab6a661-7b81-4099-8b22-503cdf70a9ab}" ref="A1">
      <text>
        <t xml:space="preserve">[Threaded comment]
 Your version of Excel allows you to read this threaded comment; however, any edits to it will get removed if the file is opened in a newer version of Excel. Learn more: https://go.microsoft.com/fwlink/?linkid=870924
Comment:
	@juliette.patry@adevinta.com @sabrina.amiri@adevinta.com pourrez vous mettre choisir un état d'avancement sur ce cas plz
</t>
      </text>
    </comment>
    <comment authorId="92" xr:uid="{ef33af26-2821-4733-a6b5-7247efd7d24b}" ref="L239">
      <text>
        <t xml:space="preserve">[Threaded comment]
 Your version of Excel allows you to read this threaded comment; however, any edits to it will get removed if the file is opened in a newer version of Excel. Learn more: https://go.microsoft.com/fwlink/?linkid=870924
Comment:
	@yohan.koehler@adevinta.com est ce que c'est un cas terminé avec @lydie.levent@leboncoin.fr ? ou c'est toujours en cours?
Assigned to yohan.koehler@adevinta.com
Attribué à yohan.koehler@adevinta.com
Reply:
	@laetitia.ferrando@adevinta.com je crois que c'est toujours en test
Reply:
	Hello oui c'est tjs en cours, moi j'ai testé côté pro, mais nous avons d'autres équipes à la DRC, et semaine pro je dois mesurer le gain de temps
</t>
      </text>
    </comment>
    <comment authorId="93" xr:uid="{ef9f3895-ad76-4704-a4d5-10462575185a}" ref="A1">
      <text>
        <t xml:space="preserve">[Threaded comment]
 Your version of Excel allows you to read this threaded comment; however, any edits to it will get removed if the file is opened in a newer version of Excel. Learn more: https://go.microsoft.com/fwlink/?linkid=870924
Comment:
	c'est déjà fait par google meet
</t>
      </text>
    </comment>
    <comment authorId="94" xr:uid="{f0bbf1bf-9530-4624-ab93-8b3c4ef00472}" ref="D178">
      <text>
        <t xml:space="preserve">[Threaded comment]
 Your version of Excel allows you to read this threaded comment; however, any edits to it will get removed if the file is opened in a newer version of Excel. Learn more: https://go.microsoft.com/fwlink/?linkid=870924
Comment:
	@anais.langlet@adevinta.com same question :)
</t>
      </text>
    </comment>
    <comment authorId="95" xr:uid="{f2e9967a-28f4-4dc3-ba82-d412830d947b}" ref="D144">
      <text>
        <t xml:space="preserve">[Threaded comment]
 Your version of Excel allows you to read this threaded comment; however, any edits to it will get removed if the file is opened in a newer version of Excel. Learn more: https://go.microsoft.com/fwlink/?linkid=870924
Comment:
	@anaise.blanchet@adevinta.com @laetitia.sebaoun@adevinta.com est ce que vous savez ce que vous souhaitez ici plz? thanks
Reply:
	on revient vers toi là dessus
Marquée comme fermée
</t>
      </text>
    </comment>
    <comment authorId="96" xr:uid="{f366d48c-b6d7-4db4-a553-0383a6cd3453}" ref="D164">
      <text>
        <t xml:space="preserve">[Threaded comment]
 Your version of Excel allows you to read this threaded comment; however, any edits to it will get removed if the file is opened in a newer version of Excel. Learn more: https://go.microsoft.com/fwlink/?linkid=870924
Comment:
	kezako ? @gilles.lalyre.ext@adevinta.com
Assigned to 
Reply:
	ben c'est Pixel , mais a l'époque je voualis le faire via Notebook LM
Reply:
	Top, merci
Marquée comme fermée
</t>
      </text>
    </comment>
    <comment authorId="97" xr:uid="{f518c577-7ded-482f-8f58-a0e1fef02671}" ref="C49">
      <text>
        <t xml:space="preserve">[Threaded comment]
 Your version of Excel allows you to read this threaded comment; however, any edits to it will get removed if the file is opened in a newer version of Excel. Learn more: https://go.microsoft.com/fwlink/?linkid=870924
Comment:
	Ajouts de es 3 lignes suite à conversation avec MLL @aline.berc@adevinta.com @caroline.laurencin@adevinta.com @lucie.praver@adevinta.com
Assigned to aline.berc@adevinta.com
Attribué à aline.berc@adevinta.com
</t>
      </text>
    </comment>
    <comment authorId="98" xr:uid="{f60d34ff-efa3-40e6-a52e-e8b4ea8fe07c}" ref="A1">
      <text>
        <t xml:space="preserve">[Threaded comment]
 Your version of Excel allows you to read this threaded comment; however, any edits to it will get removed if the file is opened in a newer version of Excel. Learn more: https://go.microsoft.com/fwlink/?linkid=870924
Comment:
	check juridique à faire
Reply:
	+ est-ce le bon endroit pour ce besoin, plutot à mettre dans les besoins de roadmap?
</t>
      </text>
    </comment>
    <comment authorId="99" xr:uid="{fc22fe43-5739-49b5-af37-15e551e488fd}" ref="C165">
      <text>
        <t xml:space="preserve">[Threaded comment]
 Your version of Excel allows you to read this threaded comment; however, any edits to it will get removed if the file is opened in a newer version of Excel. Learn more: https://go.microsoft.com/fwlink/?linkid=870924
Comment:
	il faut une clé open API key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tc={9e7fd3de-8d4a-4870-89b0-effe74059fb2}</author>
    <author>tc={d1444bfb-08d5-41ce-b87c-900a229a2f16}</author>
  </authors>
  <commentList>
    <comment authorId="0" xr:uid="{9e7fd3de-8d4a-4870-89b0-effe74059fb2}" ref="G38">
      <text>
        <t xml:space="preserve">[Threaded comment]
 Your version of Excel allows you to read this threaded comment; however, any edits to it will get removed if the file is opened in a newer version of Excel. Learn more: https://go.microsoft.com/fwlink/?linkid=870924
Comment:
	@elsa.cadoux@adevinta.com @marc.chaperon@adevinta.com vous pourriez ajouter un owner plz?
</t>
      </text>
    </comment>
    <comment authorId="1" xr:uid="{d1444bfb-08d5-41ce-b87c-900a229a2f16}" ref="E38">
      <text>
        <t xml:space="preserve">[Threaded comment]
 Your version of Excel allows you to read this threaded comment; however, any edits to it will get removed if the file is opened in a newer version of Excel. Learn more: https://go.microsoft.com/fwlink/?linkid=870924
Comment:
	@marc.chaperon@adevinta.com @elsa.cadoux@adevinta.com j'imagine que c'est non commencé ici?
</t>
      </text>
    </comment>
  </commentList>
</comments>
</file>

<file path=xl/sharedStrings.xml><?xml version="1.0" encoding="utf-8"?>
<sst xmlns="http://schemas.openxmlformats.org/spreadsheetml/2006/main" count="6049" uniqueCount="1791">
  <si>
    <t xml:space="preserve"> Département</t>
  </si>
  <si>
    <t>Sous département/Tribe</t>
  </si>
  <si>
    <t xml:space="preserve">Nom du use case </t>
  </si>
  <si>
    <t xml:space="preserve">Description du use case </t>
  </si>
  <si>
    <t>Etat d'avancement</t>
  </si>
  <si>
    <t xml:space="preserve">Nom de l'assistant (+ Lien) </t>
  </si>
  <si>
    <t>Owner</t>
  </si>
  <si>
    <t>Priorite</t>
  </si>
  <si>
    <t>Complexité</t>
  </si>
  <si>
    <t>Population concernée</t>
  </si>
  <si>
    <t>Gain 
(quand cela est possible merci de mettre des gains chifrés)</t>
  </si>
  <si>
    <t xml:space="preserve">Avancement </t>
  </si>
  <si>
    <t>MEP prévue</t>
  </si>
  <si>
    <t>Blocker si non commencé</t>
  </si>
  <si>
    <t>Commentaire</t>
  </si>
  <si>
    <t>Outils IA utilisé</t>
  </si>
  <si>
    <t>Implémentation</t>
  </si>
  <si>
    <t xml:space="preserve">Prio Com (cas sur lesquels communiquer en priorité) </t>
  </si>
  <si>
    <t>Legal</t>
  </si>
  <si>
    <t>Workshop?</t>
  </si>
  <si>
    <t xml:space="preserve"> </t>
  </si>
  <si>
    <t>Marketing/Com</t>
  </si>
  <si>
    <t>Auto</t>
  </si>
  <si>
    <t>Simba</t>
  </si>
  <si>
    <t>Créations de scripts automatiques à destination des commerciaux proposant un diagnostic de la situation pour les clients et une approche pour optimiser son ROI via nos produits ou via d'autres actions activables</t>
  </si>
  <si>
    <t xml:space="preserve">En cours </t>
  </si>
  <si>
    <t>Marc Chaperon</t>
  </si>
  <si>
    <t>Avancée</t>
  </si>
  <si>
    <t>Sales</t>
  </si>
  <si>
    <t>Mieux répondre aux préocupations ROI des clients</t>
  </si>
  <si>
    <t>Juin 2026</t>
  </si>
  <si>
    <t>Planned (project CWAYS)</t>
  </si>
  <si>
    <t>n8n salesforce, sap...</t>
  </si>
  <si>
    <t>Y</t>
  </si>
  <si>
    <t>Automobile</t>
  </si>
  <si>
    <t>Auto et Mat pro</t>
  </si>
  <si>
    <t>Augmenter productivité et temps de contacts avec les clients</t>
  </si>
  <si>
    <t>L'optimisation des tâches administratives et d'analyses des KPIs</t>
  </si>
  <si>
    <t>Thibaut
Touf Itri 
Charles Eric
Jean Charles</t>
  </si>
  <si>
    <t>Haute</t>
  </si>
  <si>
    <t>FDV</t>
  </si>
  <si>
    <t xml:space="preserve">
Faire descomptes rendus de visite automatisés et intégrables dans le CRM
Faciliter la construction d'offres publicitaires : requêtes AdServer, templates, exemples de campagne
Aide à la décision sur lesKPIs de l'équipe commerciale pour les managers
Normaliser les emails clients ( Prospection, Proposition Commerciales, etc...)
</t>
  </si>
  <si>
    <t>Connexion CRM</t>
  </si>
  <si>
    <t>dépend de la mise en place des connecteurs</t>
  </si>
  <si>
    <t>Besoin de connecteurs avec les CRM ( Salesforce et GRC)</t>
  </si>
  <si>
    <t>Exploration à prévoir</t>
  </si>
  <si>
    <t>To refine et connextion avec les CRM</t>
  </si>
  <si>
    <t>Mapping agent</t>
  </si>
  <si>
    <t>Mapping des demandes clients par produit, par thème, sous thème pour analyse en profondeur quels sont les points de friction client</t>
  </si>
  <si>
    <t>Terminé - Live</t>
  </si>
  <si>
    <t>Mathieu Paquier</t>
  </si>
  <si>
    <t>Moyenne</t>
  </si>
  <si>
    <t>Opération Clients</t>
  </si>
  <si>
    <t>Feedbacks constructifs au marketing + produit</t>
  </si>
  <si>
    <t>Cobbai</t>
  </si>
  <si>
    <t>Cobbaï</t>
  </si>
  <si>
    <t>Cobbai analyse les tickets et fait de l'interprétation qui permet de définir des thèmes récurrents qu'on a dans les tickets pour voir les points d'insatisfaction, faire des demandes au produit etc.
=&gt; Low risk</t>
  </si>
  <si>
    <t>Gestion des rdv via un voicebot Rachat Pro</t>
  </si>
  <si>
    <t>Agent Voicebot pour la prise de rendez-vous pour les particuliers et les pro du process Rachat Pro =&gt; confirmation de rdv, confirmation, annulation/modification</t>
  </si>
  <si>
    <t>Basse</t>
  </si>
  <si>
    <t>Gain en productivité / niveau de service auprès des pros</t>
  </si>
  <si>
    <t>29/04: POC juin à septembre - Calldesk</t>
  </si>
  <si>
    <t>Q2/2026</t>
  </si>
  <si>
    <t>Démo en cours (callDesk / Yelda)</t>
  </si>
  <si>
    <t>callDesk</t>
  </si>
  <si>
    <t>A checker avec le Legal le moment venu</t>
  </si>
  <si>
    <t>Prospection Clients</t>
  </si>
  <si>
    <t>Prospection et détection d'opportunités</t>
  </si>
  <si>
    <t>Thibaut Prat
Touf Itri 
Charles Eric
Jean Charles</t>
  </si>
  <si>
    <t>Automatiser la pige de prospects sur Concurrence
Optimiser les plans de tournée FS
Suivre et optimiser la couverture client 
Nettoyer la base de données Clients CRM
Avoir des données fiables pour les upgrades clients
Obtenir une synthèse régulière des infos marchés</t>
  </si>
  <si>
    <t>To refine</t>
  </si>
  <si>
    <t>Voicebot first answer</t>
  </si>
  <si>
    <t>Mettre en place un agent Voicebot IA pour prendre le premier niveau de demande (équivalent à un formulaire) pour la création d'un ticket et un rappel de l'agent ensuite /IA / Zendesk : Agent IA permettant de prequalifier la demande du client lors d'un appel téléphonique afin de diriger l'appel au bon service (gain de temps pour le client)</t>
  </si>
  <si>
    <t>Qualité de service, appels qualifiés, recherche faite en amont.</t>
  </si>
  <si>
    <t>Calldesk: Si tout le monde est en ligne 1ère réponse -&gt; qualification de ticket - objectif 0 appel manqué - Déprio après Rachat pro</t>
  </si>
  <si>
    <t>Q3/2026</t>
  </si>
  <si>
    <t>contractualisation en cours avec Calldesk</t>
  </si>
  <si>
    <t>Marketing / Bizdev</t>
  </si>
  <si>
    <t>Analyse</t>
  </si>
  <si>
    <t>Générer des analyses régulières / des bilans (lancement d'une fonctionnalité par ex)</t>
  </si>
  <si>
    <t>Aline NOYELLE BECERRA</t>
  </si>
  <si>
    <t>Gain de temps, tâches répétitives</t>
  </si>
  <si>
    <t>Connecter ChatGPT à nos bases data / Tableau</t>
  </si>
  <si>
    <t xml:space="preserve">Analyse data </t>
  </si>
  <si>
    <t>Pouvoir ressortir des analyses de nos bases data (via Tableau ou autres) à partir d'un prompt</t>
  </si>
  <si>
    <t>Autonomie/Delivery recommandations, pilotage business</t>
  </si>
  <si>
    <t>Trade Marketing</t>
  </si>
  <si>
    <t xml:space="preserve">Assitant offres / nouveautés Mat Pro </t>
  </si>
  <si>
    <t>Pouvoir accompagner les équipes Mobility sur les offres LBC + exMB --&gt; produits, fonctionnalités, prix, datas internes et clients</t>
  </si>
  <si>
    <t>Erwan BROUTTIER</t>
  </si>
  <si>
    <t xml:space="preserve">Gain de temps --&gt; plus de délais entres les questions / réponses sur les offres auto.
Amélioration des connaisances sur les offres auto en général  
</t>
  </si>
  <si>
    <t>ChatGPT 5</t>
  </si>
  <si>
    <t>Assitant offres / offres data</t>
  </si>
  <si>
    <t>Pouvoir accompagner les équipes Mobility sur les offres data --&gt; produits, fonctionnalités, prix, datas internes et clients</t>
  </si>
  <si>
    <t>Automatiser le rapport de diffusion pour les clients Grands Comptes Auto</t>
  </si>
  <si>
    <t xml:space="preserve">Agent IA pour les tâches manuelles et chronophages type : 
- créer des rapports pour répondre aux demandes clients d'états des lieux de leur réseau (exemple : extraire dans un fichier tous les comptes actifs d'un réseau et intégrer dans une colonne le volume et type de pack souscrit ....) 
- Extraction depuis MIM des traceurs des annonces (et boutiques)  des comptes de réseaux. 
=&gt; Lié au projet de connexion entre les outils, pour que l'IA puisse avoir accès aux informations. </t>
  </si>
  <si>
    <t>Non commencé</t>
  </si>
  <si>
    <t>Julie Letierce</t>
  </si>
  <si>
    <t xml:space="preserve">GC Auto </t>
  </si>
  <si>
    <t>Traitement des tickets avec tâches chronophage</t>
  </si>
  <si>
    <t>29/04: standby car PTDR - revue du cas après test</t>
  </si>
  <si>
    <t>Data BI / ChatGpt / Dev compte pour Têtes de réseau</t>
  </si>
  <si>
    <t>n8n</t>
  </si>
  <si>
    <t>Low risk si contenu revu avant d'être envoyé au client</t>
  </si>
  <si>
    <t>Context agent</t>
  </si>
  <si>
    <t xml:space="preserve">Agent IA Zendesk : use-case en cours de reflexion . Exemple :  (1) résumé global et non par ticket par un client Agent IA  (2) analyse CSAT synthétiser les plaintes et suggestions (3) génerer note interne ZD globale du ticket, avec automatisation de la création de la note sur le BO. </t>
  </si>
  <si>
    <t>Mathieu Paquier / Pierre Henry</t>
  </si>
  <si>
    <t>Amélioration temps de traitement, meilleure relation client</t>
  </si>
  <si>
    <t>29/04: besoin de récupérer l'information de SF pour organiser les comptes dans ZD</t>
  </si>
  <si>
    <t>Prio Q2 2026</t>
  </si>
  <si>
    <t>n8n / zendesk / cobbai</t>
  </si>
  <si>
    <t>Cx team</t>
  </si>
  <si>
    <t>A checker avec le Legal</t>
  </si>
  <si>
    <t>Pilotage</t>
  </si>
  <si>
    <t>Mettre en avant les valeurs à corriger (VR, VR VO, Cote) en analysant des fichiers à gros volumes</t>
  </si>
  <si>
    <t>Experts valorisation</t>
  </si>
  <si>
    <t>Qualité des valeurs</t>
  </si>
  <si>
    <t>Bande passante P&amp;T et connection à nos algorithmes et datas internes</t>
  </si>
  <si>
    <t>Etre alerté d'un changement de trend sur un KPIs clé</t>
  </si>
  <si>
    <t>Pilotage business / proactivité</t>
  </si>
  <si>
    <t>Recommandation</t>
  </si>
  <si>
    <t>Aide à analyser les tendances de trafic passées afin d’établir des projections dans le temps et de mettre en évidence les points d’attention prioritaires</t>
  </si>
  <si>
    <t xml:space="preserve">Projection de traffic pour anticiper les tendances </t>
  </si>
  <si>
    <t xml:space="preserve">Traffic / Analyse </t>
  </si>
  <si>
    <t>Aide à identifier et prioriser les besoins clients en fonction de critères tels que l’appétence et la contribution potentielle à un objectif défini (CA, Leads...)</t>
  </si>
  <si>
    <t xml:space="preserve">Priorisation de besoins selon plusieurs critères </t>
  </si>
  <si>
    <t>Mat Pro</t>
  </si>
  <si>
    <t>Agent IA Modération des annonces &amp; comptes</t>
  </si>
  <si>
    <t>Agent IA Modération annonces : (1) analyse des photos afin de détecter la véracité de la catégorisation, (2) détection de fraude via les photos (recherche inversée, éviter les captures d'écran, ..), (3) détection de mots clés dans les annonces. 
Agent IA Modération Compte : (1) Appel API SIRET pour vérifier la date d'expiration de la licence des transporteurs (2) création d'alerte suite à la détection les doublons au niveau des numéros de téléphone et nous le signifie lors de la modération. (3) L’IA génère un score de malveillance (Malice score) en analysant les comportements des comptes, sur la base d’exemples issus des comptes précédemment suspendus ou fermés. 
                        "</t>
  </si>
  <si>
    <t>Pierre Henry</t>
  </si>
  <si>
    <t>Matpro</t>
  </si>
  <si>
    <t>Amélioration détection fraude - Amélioration des outils de modé</t>
  </si>
  <si>
    <t>29/04: team agentique pour prendre ce sujet (la modération se fait dans le backoffice admin)</t>
  </si>
  <si>
    <t>Attente prio dans roadmap P&amp;T de pluger IA sur BO</t>
  </si>
  <si>
    <t xml:space="preserve">2/2 : Voir Fanny P&amp;T pour faisabilité et priorisation. </t>
  </si>
  <si>
    <t>Exploration à prévoir en attente de la priorisation Serenity</t>
  </si>
  <si>
    <t>backend app</t>
  </si>
  <si>
    <t>Mapping des correspondances</t>
  </si>
  <si>
    <t>Assister la réalisation des mappings de correspondances / Rendre la fonction d'automatisation fonctionnelle. Sujet lié à la ligne 47 (Faciliter la modé de comptes avec un agent IA)Améliorer les outils de BO en intégrant l'IA.</t>
  </si>
  <si>
    <t>Publication</t>
  </si>
  <si>
    <t>Gain de temps, minimisation des erreurs, temps réel quand de nouvelles correspondances sont à paramétrer</t>
  </si>
  <si>
    <t xml:space="preserve">29/04: mapping de correspondances = mapping en import / Team agentique? Ou dev? </t>
  </si>
  <si>
    <t>Besoin dev sur BO Admin = bande passante FT MatPro</t>
  </si>
  <si>
    <t xml:space="preserve">backend app </t>
  </si>
  <si>
    <t>Les clients nous envoient des données qui sont catégorisées dans leur SI. Quand on veut matcher tout ca avec nos champs, on a besoin de faire un mapping des correspondances et les configurations nécessaires. Attention, si configuration automatisée ca peut avoir un impact sur la publication des annonces des clients.
=&gt; A checker avec le Legal le moment venu</t>
  </si>
  <si>
    <t>Surveillance imports</t>
  </si>
  <si>
    <t>Avoir un agent de surveillance des imports et des exports en temps réel pour détecter les dysfonctionnements</t>
  </si>
  <si>
    <t>Réactivité, surveillance en temps réel, minimisation des erreurs, diminuer le churn</t>
  </si>
  <si>
    <t>L'IA est-elle vraiment nécessaire ? On dirait du monitoring</t>
  </si>
  <si>
    <t>Automatiser réponse niveau 1 support client</t>
  </si>
  <si>
    <t>Automatiser les réponses directement dans zendesk avec Cobbai sur des sujets précis (renouvellement mdp, qualité photo, modération,...)</t>
  </si>
  <si>
    <t>Simple</t>
  </si>
  <si>
    <t>Déflection de tickets</t>
  </si>
  <si>
    <t>QA analyst</t>
  </si>
  <si>
    <t>Analyse de la qualité des réponses de l'agent via l'IA qui permettra de faire du feedback hebdomadaire à chaque agent / récap plus complet avec des exemples aux managers</t>
  </si>
  <si>
    <t>Permet la gamification de la qualité, que l'agent puisse savoir où mettre l'effort pour améliorer l'expérience client</t>
  </si>
  <si>
    <t>Q1/2026</t>
  </si>
  <si>
    <t>Analyse des réponses faites par nos équipes pour identifier des axes d'améliorations. Les managers s'appuient dessus pour proposer des axes d'amélioration à leurs équipes.
=&gt; Low risk tant que ca n'est pas utilisé pour évaluer les performances des agents (seulement un axe d'amélioration proposé au managers et soumis à leur appréciation)</t>
  </si>
  <si>
    <t>Optimisation préparations de vistes</t>
  </si>
  <si>
    <t>Créer une calculatrice des propositions commerciales
Reccueillir des informations sur le client
Centraliser l'information des différentes sources de KPIs
Aider à la création des supports spécifique pour le client
Construction des réunions commerciales</t>
  </si>
  <si>
    <t xml:space="preserve">ChatGPT 5 </t>
  </si>
  <si>
    <t>Custom GPT</t>
  </si>
  <si>
    <t>Chatbot</t>
  </si>
  <si>
    <t>Chatbot helpcenter =&gt; Marque Mobility (Matpro, Cardiff, PVO2)</t>
  </si>
  <si>
    <t>Déflection de tickets pour des problématiques simples, si pas de réponse adequat, escalade vers un agent humain via la chat</t>
  </si>
  <si>
    <t>https://agriaffaires.zendesk.com/hc/fr</t>
  </si>
  <si>
    <t>Zendesk IA</t>
  </si>
  <si>
    <t>ok</t>
  </si>
  <si>
    <t>Copilot</t>
  </si>
  <si>
    <t>Copilot IA pour les agents support =&gt; Zendesk IA</t>
  </si>
  <si>
    <t>Permet d'utiliser des fonctionnalités pour améliorer la syntaxe et l'orthiographe (fonction 'rendre plus formel', 'développer', 'simplifier')</t>
  </si>
  <si>
    <t>ko pour le moment car Bascule vers Cobbai</t>
  </si>
  <si>
    <t>FAQ Agent</t>
  </si>
  <si>
    <t>Créer et optimiser nos articles de FAQ pour un meilleur rendu et une meilleure structure de tous nos articles</t>
  </si>
  <si>
    <t>Qualité de nos articles (structure, orthographe, syntaxe,...)</t>
  </si>
  <si>
    <r>
      <rPr>
        <rFont val="Arial"/>
        <color rgb="FF1155CC"/>
        <u/>
      </rPr>
      <t>Lien vers le prompt</t>
    </r>
    <r>
      <rPr>
        <rFont val="Arial"/>
        <color rgb="FF000000"/>
        <u/>
      </rPr>
      <t xml:space="preserve"> 
Il faut potentiellement migrer le prompt vers un custom GPT</t>
    </r>
  </si>
  <si>
    <t>Gemini ou Chatgpt</t>
  </si>
  <si>
    <t>Contenu revu avant d'être exposé au client =&gt; Low risk</t>
  </si>
  <si>
    <t>Formation techniques de ventes</t>
  </si>
  <si>
    <t>Aide à l'assimiliation et à l'entrainement sur les techniques de ventes</t>
  </si>
  <si>
    <t xml:space="preserve">Préparation d'ateliers d'entrainement avec des sketch de vente 
Aide à l'application en clientèle
</t>
  </si>
  <si>
    <t xml:space="preserve">QA </t>
  </si>
  <si>
    <t>Analyse de la qualité de nos réponses via un outil dédié QA =&gt; Zendesk QA
Premier niveau d'analyse via l'IA =&gt; permet une analyse globale, de définir une sélection de ticket à analyser par les managers.
Définition d'un score AutoQA via l'IA</t>
  </si>
  <si>
    <t>Gain de temps / détection des cas à analyser (trop long, trop de fautes, mauvaise tonalité dans la réponse,...)
Impact direct sur la CSAT.</t>
  </si>
  <si>
    <t>Zendesk QA</t>
  </si>
  <si>
    <t>Revue de presse hebdo</t>
  </si>
  <si>
    <t>Synthétiser les revues de presse (info concurrents, nouvelles tendances, info de marché...) via l'IA</t>
  </si>
  <si>
    <t>Strat</t>
  </si>
  <si>
    <t>Gain de temps, minimisation des erreurs</t>
  </si>
  <si>
    <t>Low risk</t>
  </si>
  <si>
    <t>Screenrecording</t>
  </si>
  <si>
    <t>Snapcall =&gt; Screen recording + résumé IA</t>
  </si>
  <si>
    <t>Proposer au client d'enregistrer son écran pour nous montrer sa problématique en expliquant à l'oral ce qui le bloque =&gt; export de la vidéo + analyse de l'image et de la voix par l'IA =&gt; gain de temps
Utilisation en interne pour rédiger des uses cases (process internes, workflows) =&gt; gain de temps sur la rédation de ces articles</t>
  </si>
  <si>
    <t>Snapcall</t>
  </si>
  <si>
    <t>Talk summarize</t>
  </si>
  <si>
    <t>Résumé des appels via l'IA</t>
  </si>
  <si>
    <t>Gain de temps post appels support client =&gt; résumé directement ajouté au ticket</t>
  </si>
  <si>
    <t>Analyse de marché sur le marché VO et sur des sujets très spécifiques (ex. API)</t>
  </si>
  <si>
    <t>Améliorer la connaissance du marché</t>
  </si>
  <si>
    <t xml:space="preserve">Analyse de recommendations de pricing des options premium et self serve </t>
  </si>
  <si>
    <t xml:space="preserve">Ameliorer et affiner les recommendations de pricing </t>
  </si>
  <si>
    <t>Veille concurrentielle/marché</t>
  </si>
  <si>
    <t>Etre alerté d'une nouveauté/changement chez un concurrent</t>
  </si>
  <si>
    <t>Maîtrise marché</t>
  </si>
  <si>
    <t>Analyse de verbatims clients (écoute, étude, UX research) et synthèse</t>
  </si>
  <si>
    <t>Améliorer la connaissance client</t>
  </si>
  <si>
    <t>Veille concurrentielle et veille sur les tendances de marché (et synthèse)</t>
  </si>
  <si>
    <t>Synthétiser les documents d'un contructeur pour sortir les infos principales</t>
  </si>
  <si>
    <t>Marketing / Bizdev / Experts valorisation</t>
  </si>
  <si>
    <t>Branding</t>
  </si>
  <si>
    <t>Accompagnement dans les brainstorming de branding de fonctionnalités (en prenant en compte benchmark du marché)</t>
  </si>
  <si>
    <t>Améliorer l'impact de nos solutions et leur intégration sur le marché</t>
  </si>
  <si>
    <t>Content</t>
  </si>
  <si>
    <t>Générer du contenu pertinent et impactant (éditorial, posts sur les RS etc)</t>
  </si>
  <si>
    <t>Gestion de projet</t>
  </si>
  <si>
    <t>Générer des CR et des synthèses lors des réunions projets (+ assigner des tâches à des personnes)</t>
  </si>
  <si>
    <t>Clarifier les rôles et les tâches des membres du groupe projet</t>
  </si>
  <si>
    <t>Aider dans la réalisation de nos recommandations (benchmarks concurrence, axes stratégiques, structures des recommandations)</t>
  </si>
  <si>
    <t>Améliorer la qualité des recommandations</t>
  </si>
  <si>
    <t>Synthèse</t>
  </si>
  <si>
    <t>Synthétiser une étude (ou plusieurs études) et structurer les insights</t>
  </si>
  <si>
    <t>Intégration automatique de données commerciales pour suivi de l'activité</t>
  </si>
  <si>
    <t>Agent IA capable de lire et d'analyser des documents commerciaux et d'en extraire les éléments principaux et les intégrer dans un document global permettant d'anlayser l'activité commerciale (BFU) par le biais d'un connecteur N8N</t>
  </si>
  <si>
    <t>Anne-Marie Le Goaster</t>
  </si>
  <si>
    <t>Matpro / ADV</t>
  </si>
  <si>
    <t>L'IA est-elle vraiment nécessaire ?</t>
  </si>
  <si>
    <t>ChatGPT 5 + N8N</t>
  </si>
  <si>
    <t>OUI</t>
  </si>
  <si>
    <t>On va chercher des infos dans les PDFs signés avec les clients, pour reporter ces infos dans le BFU (= GSheet interne qui synthétise des infos commerciales)
=&gt; Low risk</t>
  </si>
  <si>
    <t>Rapport imports</t>
  </si>
  <si>
    <t>Créer un script Gsheet pour importer des données du BO Admin et mettre à jour les données par rapport à la version du mois précédent</t>
  </si>
  <si>
    <t>L'IA est-elle vraiment nécessaire ici ?</t>
  </si>
  <si>
    <t>Validation XML</t>
  </si>
  <si>
    <t>Créer un script canvas ChatGPT pour analyser la compatibilité des rubriques et des champs d'un fichier XML d'un client</t>
  </si>
  <si>
    <t>Gain de temps, réactivité vis à vis des clients</t>
  </si>
  <si>
    <t>Zendesk réponse client niveau 1</t>
  </si>
  <si>
    <t>IA / Zendesk : Agent IA alimenté par process, articles centre d'aide, vidéo Snapcall proposant des articles permettant de répondre à la problématique client sur la base de mots clés</t>
  </si>
  <si>
    <t>Gain de temps, meilleure expérience client</t>
  </si>
  <si>
    <t>Zendesk IA / Cobbai</t>
  </si>
  <si>
    <t>Contrat Zendesk ok sur les sujets IA
Actuellement les articles sont proposés à l'Agent qui décide ou non d'utiliser la réponse proposée par l'IA de Zendesk. Si automatisation complete, bien revoir avec le Legal et mettre en place les safeguards nécessaires (notamment mention d'info sur le fait que c'est une IA qui répond et possibilité de demander que le cas soit revu par un agent physique)</t>
  </si>
  <si>
    <t>Operations</t>
  </si>
  <si>
    <t>Voice of Customer</t>
  </si>
  <si>
    <t>Voice of the Customer vise à transformer les tickets de support clients en une synthèse claire et actionnable, destinée aux équipes internes.
Chaque semaine, les tickets Zendesk sont analysés par une IA afin d’identifier :
les thèmes principaux pour lesquels les clients contactent le support,
le sentiment global des clients (positif, neutre, négatif),
les signaux de risque ou irritants émergents.
Cette synthèse est ensuite partagée automatiquement dans Slack pour une visibilité transverse et régulière.</t>
  </si>
  <si>
    <t>Constanza CARRILLO ROJAS</t>
  </si>
  <si>
    <t xml:space="preserve">Meilleure compréhension des clients
Gain de temps opérationnel
Alignement transverse des équipes
Détection précoce des risques
Les signaux faibles (hausse de frustration, sujets 
Priorisation produit plus pertinente
Amélioration continue de l’expérience client
</t>
  </si>
  <si>
    <t>N8N, zendesk, open AI</t>
  </si>
  <si>
    <t>low</t>
  </si>
  <si>
    <t xml:space="preserve">Assitant offres / nouveautés Auto </t>
  </si>
  <si>
    <t>Pouvoir accompagner les équipes Mobility sur les offres Auto LBC --&gt; produits, fonctionnalités, prix, datas internes et clients</t>
  </si>
  <si>
    <t>Akimotor</t>
  </si>
  <si>
    <t>DDO</t>
  </si>
  <si>
    <t>Formation</t>
  </si>
  <si>
    <t>Conception des scripts d'appel</t>
  </si>
  <si>
    <t>conception, variantes, gestion des objections, QA</t>
  </si>
  <si>
    <t>Caroline Laurencin</t>
  </si>
  <si>
    <t>26/02: en test avec les équipes formation - Target d'ici 15 jours - Solution concrète</t>
  </si>
  <si>
    <t>Claude Code</t>
  </si>
  <si>
    <t>Vibecoded Webapp hosted on github pages https://github.mpi-internal.com/leboncoin/ddo-call-script-generator</t>
  </si>
  <si>
    <t>Yes</t>
  </si>
  <si>
    <t>Alerting et review de documents incohérents</t>
  </si>
  <si>
    <t>Détection automatique de contradictions ou de versions obsolètes dans la doc interne (script qui scanne l'intégralité de tes dossiers dans un googlesheet et indiquer la nécessité d'un update et la récurrence et ça envoie des alertes en créant des évènements dans un google agenda + alerte boite mail)</t>
  </si>
  <si>
    <t>Caroline LAURENCIN</t>
  </si>
  <si>
    <t>26/02: tests en cours sur le scope process / cible que ça soit adaptable pour tout le monde</t>
  </si>
  <si>
    <t>All</t>
  </si>
  <si>
    <t>Rédaction &amp; mise à jour de documentation process</t>
  </si>
  <si>
    <t>Génération, relecture et mise à jour automatique des documents de process (clarification du contenu, orthographe, mise en forme, création de nouvelles docs à partir d’inputs métiers)</t>
  </si>
  <si>
    <t>26/02: checker la target si besoin d'action
26/03: pas prio</t>
  </si>
  <si>
    <t>Evaluation d'appels à partir d'une grille précise (QMA)</t>
  </si>
  <si>
    <t>À partir d’une grille d’évaluation scriptée (critères + barème) analyse les appels commerciaux et complète automatiquement la grille</t>
  </si>
  <si>
    <t>Speech Analytics</t>
  </si>
  <si>
    <t>Caroline Laurencin &amp; Lucie Praver</t>
  </si>
  <si>
    <t>Formateurs et coach</t>
  </si>
  <si>
    <t xml:space="preserve">26/03: transcriptions chez le prestataire =&gt; mettre à disposition avec une nomenclature propre - pas d'avancement avant mi-mai pas prio (NBM...) </t>
  </si>
  <si>
    <t xml:space="preserve">Faire ressortir des verbatims et des tendances d'appel </t>
  </si>
  <si>
    <t>Analyse IA d’un volume d’appels pour extraire des verbatims représentatifs et identifier des tendances récurrentes (objections, besoins, déclencheurs, points de friction). Restitution structurée par thèmes recommandations concrètes pour le coaching et l’optimisation du discours commercial. + En faire des rapports</t>
  </si>
  <si>
    <t>Speech Analytics + Custom GPT</t>
  </si>
  <si>
    <t>Temps</t>
  </si>
  <si>
    <t>26/02 : récupération de toutes les transcriptions à voir avec le prestataire - 15 mars résultats =&gt; repoussée pas avant mi-mai</t>
  </si>
  <si>
    <t>Aide à la planification du temps de travail</t>
  </si>
  <si>
    <t>Recommandation IA pour planifier les tâches selon la charge, les priorités et les deadlines</t>
  </si>
  <si>
    <t>PerfCo</t>
  </si>
  <si>
    <t>Analyse automatique des KPI &amp; GRAF</t>
  </si>
  <si>
    <t>Génération et interprétation automatique de tableaux de bord à partir des données Perfco et campagnes</t>
  </si>
  <si>
    <t>Thibaud HERGOT</t>
  </si>
  <si>
    <t>Automatisation du calcul des objectifs</t>
  </si>
  <si>
    <t>Génération automatique des objectifs trimestriels via des règles IA à partir de l’historique</t>
  </si>
  <si>
    <t>n8n ou Gemini ?</t>
  </si>
  <si>
    <t>Base de connaissances + Chatbot interne</t>
  </si>
  <si>
    <t>Chatbot alimenté par la documentation interne (Confluence, FAQ, Sheets, google slide) pour répondre aux questions récurrentes</t>
  </si>
  <si>
    <t>Centralisation &amp; suivi de To Do</t>
  </si>
  <si>
    <t>Agrégation automatique des tâches issues de plusieurs sources (JIRA, Sheets, Docs)</t>
  </si>
  <si>
    <t>Aurore CUEFF</t>
  </si>
  <si>
    <t>Codage Apps Script &amp; automatisation de tâches</t>
  </si>
  <si>
    <t>Génération de scripts simples (Sheets, Docs, Gmail) pour automatiser des actions récurrentes</t>
  </si>
  <si>
    <t>Insung KWON</t>
  </si>
  <si>
    <t>Détection d’outliers &amp; anomalies</t>
  </si>
  <si>
    <t>Identification automatique des valeurs aberrantes dans les datasets de performance</t>
  </si>
  <si>
    <t>Génération de visuels et contenus impactants</t>
  </si>
  <si>
    <t>Création d’images ou vidéos selon la charte graphique pour les supports internes</t>
  </si>
  <si>
    <t>Lucie Praver</t>
  </si>
  <si>
    <t>produit dédié</t>
  </si>
  <si>
    <t>Tools</t>
  </si>
  <si>
    <t>Organisation automatique de la documentation Confluence</t>
  </si>
  <si>
    <t>Classement et enrichissement automatique des pages Confluence (résumé, tags, mise à jour)</t>
  </si>
  <si>
    <t>Prédiction de comportements clients</t>
  </si>
  <si>
    <t>Utilisation de l’IA pour identifier les signaux faibles et anticiper des actions clients</t>
  </si>
  <si>
    <t>Julien Rongione</t>
  </si>
  <si>
    <t>Formation x Tools</t>
  </si>
  <si>
    <t>Structuration d’ateliers et de comités projet</t>
  </si>
  <si>
    <t>Génération d’agendas, de templates et de comptes rendus automatiques</t>
  </si>
  <si>
    <t>chatGPT</t>
  </si>
  <si>
    <t>Support de présentation</t>
  </si>
  <si>
    <t xml:space="preserve">Réalisation de support de présentation à partir d'une thématique d'un template et d'informations données </t>
  </si>
  <si>
    <t>Analyse cohérence CV / fiche de poste</t>
  </si>
  <si>
    <t>IA pour filtrer les candidatures selon critères objectifs</t>
  </si>
  <si>
    <t>The Profiler</t>
  </si>
  <si>
    <t>Lisa TRONCIN</t>
  </si>
  <si>
    <t>Manager</t>
  </si>
  <si>
    <t>CustomGPT</t>
  </si>
  <si>
    <t>Création de pas-à-pas et process lors de nouveaux outils / produits</t>
  </si>
  <si>
    <t>Génération de procédures guidées (mode d’emploi + check-list) lors du lancement d’un outil</t>
  </si>
  <si>
    <r>
      <rPr>
        <color rgb="FF1155CC"/>
        <u/>
      </rPr>
      <t>Notebook LM</t>
    </r>
    <r>
      <rPr/>
      <t xml:space="preserve"> +
</t>
    </r>
    <r>
      <rPr>
        <color rgb="FF1155CC"/>
        <u/>
      </rPr>
      <t>Générateur de Prompt</t>
    </r>
  </si>
  <si>
    <t>Caroline LAURENCIN 
(Jérémy Smadja)</t>
  </si>
  <si>
    <t>ChatGPT</t>
  </si>
  <si>
    <t>PerfCo x Tools</t>
  </si>
  <si>
    <t>Création et explication de formules (Google Sheets / SQL)</t>
  </si>
  <si>
    <t>Génération, explication et optimisation de formules complexes</t>
  </si>
  <si>
    <t>Jean Ricardo Aurore CUEFF(Jérémy Smadja)</t>
  </si>
  <si>
    <t>Gemini</t>
  </si>
  <si>
    <t>Finance</t>
  </si>
  <si>
    <t>Budget vs Actual</t>
  </si>
  <si>
    <t>Automatiser rapprochement budget et réel</t>
  </si>
  <si>
    <t xml:space="preserve">Andreas Cayla </t>
  </si>
  <si>
    <t>FPA</t>
  </si>
  <si>
    <t xml:space="preserve">Gain de temps </t>
  </si>
  <si>
    <t>Creation app finance</t>
  </si>
  <si>
    <t>Etudes bases de données</t>
  </si>
  <si>
    <t>Manipulation, controle et analyse de  base de données importantes</t>
  </si>
  <si>
    <t>Ibrahim illiassou</t>
  </si>
  <si>
    <t>Gain de temps quotidien</t>
  </si>
  <si>
    <t xml:space="preserve">Historic data and comments for finance by verticals </t>
  </si>
  <si>
    <t>Créer un GPT ou on peut stocker l’historique des datas par année et par GL avec l’historique de nos commentaires</t>
  </si>
  <si>
    <t>Swann  Benauw</t>
  </si>
  <si>
    <t>Centralisation de l'info + gain de temps + gain en précision</t>
  </si>
  <si>
    <t xml:space="preserve">Etude de faisabilité en cours avec les tech </t>
  </si>
  <si>
    <t>ChatGPT + autre outil à définir</t>
  </si>
  <si>
    <t>Image illustration for finance</t>
  </si>
  <si>
    <t>Illustration concept/idée en image pour une meilleure transmission</t>
  </si>
  <si>
    <t>Gain en clarté pour l'ensemble de l'entreprise</t>
  </si>
  <si>
    <t>Accompagnement sur l'utilisation de NotebookLM et Nano Banana/Gemini</t>
  </si>
  <si>
    <t>Onboarding process - Process redaction help</t>
  </si>
  <si>
    <t>Formaliser des process (onboarding passation) - Ecrire des process notes détaillant chaque étape</t>
  </si>
  <si>
    <t>Nicolas geiger</t>
  </si>
  <si>
    <t>https://docs.google.com/document/d/179kOfgC_kylgsFBgeaySKzoLTwa8pvmnVeKv81K_ZWU/edit?tab=t.0#heading=h.ki1xx7vlcbw</t>
  </si>
  <si>
    <t>FP&amp;A</t>
  </si>
  <si>
    <t>Travel expenses analysis &amp; alerting gap with travel policy</t>
  </si>
  <si>
    <t>Analyse automatisée des dépenses soumises par les employés et comparaison avec la Global Travel and Expense Policy</t>
  </si>
  <si>
    <t>Emmanuelle/Ksenia/Jean Paul</t>
  </si>
  <si>
    <t xml:space="preserve">Chatbot pour le cycle d'achat </t>
  </si>
  <si>
    <t>Assistant / Chatbox gestion relation fournisseur cycle d’achat</t>
  </si>
  <si>
    <t>Mohammed Laguel</t>
  </si>
  <si>
    <t>O2C</t>
  </si>
  <si>
    <t>Enregistrement pour DSO</t>
  </si>
  <si>
    <t>Enregistrement et synthèse conversation recrouvremnet lien vers my dso / sf (appels)</t>
  </si>
  <si>
    <t>Mehdi Oueslati</t>
  </si>
  <si>
    <t>FTE analysis for finance</t>
  </si>
  <si>
    <t>Suivre les FTE simplement à partir des organigrammes</t>
  </si>
  <si>
    <t>Zineb Clauzel</t>
  </si>
  <si>
    <t>RH</t>
  </si>
  <si>
    <t>LBC employees</t>
  </si>
  <si>
    <t>Ajout de l'IA dans Bob</t>
  </si>
  <si>
    <t>Ex. Faire des objectif / EAE / créé des rapports...</t>
  </si>
  <si>
    <t>Elisa</t>
  </si>
  <si>
    <t>Collaborateurs</t>
  </si>
  <si>
    <t>25/02 : fixer un meeting avec la CSM de BOB pour présentation des fonctionnalités IA puis définir les next steps
22/04: activé pour certains modules, en attente de retour pour d'autres</t>
  </si>
  <si>
    <t>Industry market monitoring by verticals</t>
  </si>
  <si>
    <t>Veille sur le marché industrie pour aider à comprendre la perf. interne</t>
  </si>
  <si>
    <t>Kevin choinet</t>
  </si>
  <si>
    <t>Lettrage O2C</t>
  </si>
  <si>
    <t>Lettrer des comptes</t>
  </si>
  <si>
    <t>Stéphane Boucher</t>
  </si>
  <si>
    <t>Controle financier</t>
  </si>
  <si>
    <t xml:space="preserve">Validation devis </t>
  </si>
  <si>
    <t>Validation des devis</t>
  </si>
  <si>
    <t>Weekly forecast analysis</t>
  </si>
  <si>
    <t>Mise à jour du weekly revenue forecast avec les données tableau FRC, SF, SAP</t>
  </si>
  <si>
    <t>Daria Starodubova</t>
  </si>
  <si>
    <t>CAPEX</t>
  </si>
  <si>
    <t>Aide à la création de projet capex,respectant les regles IFRS</t>
  </si>
  <si>
    <t>https://chatgpt.com/g/g-6936e7f28d2881a4a02cbf6a6a3e8320-assistant-capex-lbc</t>
  </si>
  <si>
    <t xml:space="preserve">Sarah awadi / Elodie anne duc </t>
  </si>
  <si>
    <t>Ajout des documents groupe - Sarah 04/05</t>
  </si>
  <si>
    <t xml:space="preserve">Detailed Finance analytics </t>
  </si>
  <si>
    <t>Créer un GPT où chaque employé peut retrouver les cost centers auquel il est rattaché avec également l’analytique complet</t>
  </si>
  <si>
    <t>https://chatgpt.com/g/g-69e88723c08881a48e6d918eb3f5877a</t>
  </si>
  <si>
    <t>Cléo Ngokoudi</t>
  </si>
  <si>
    <t xml:space="preserve">Tous les collaborateurs  </t>
  </si>
  <si>
    <t>Affiner les questions posées par le ChatBot - Workshop FPA 07/05</t>
  </si>
  <si>
    <t>Immobilier</t>
  </si>
  <si>
    <t>Mkg Trade</t>
  </si>
  <si>
    <t xml:space="preserve">Calculette ROI </t>
  </si>
  <si>
    <t>Création d'une calculette ROI pour RDV clients</t>
  </si>
  <si>
    <t>Prompt ICI</t>
  </si>
  <si>
    <t>Edward Foxon
Baudouin Masse-Baudet
Maxime Viniane</t>
  </si>
  <si>
    <t>Augmentation de la valeur des deals
Amélioration de la qualité des RDV commerciaux</t>
  </si>
  <si>
    <t>Aide Account Manager &amp; ADV</t>
  </si>
  <si>
    <t xml:space="preserve">Aide aux ADV / AM sur taches récurrentes / courrier clients etc
</t>
  </si>
  <si>
    <t>Benjamin Santos</t>
  </si>
  <si>
    <t>AM /ADV</t>
  </si>
  <si>
    <t>Gain de temps</t>
  </si>
  <si>
    <t>Intégration des solutions pour les ADV Immo 
Par contre abandonné pour les AM car risque d'arret de Zendesk</t>
  </si>
  <si>
    <t>Point prévu en Janvier avec Nicolas Lump et Ops Auto</t>
  </si>
  <si>
    <t xml:space="preserve">Productivité Relation Client : outils utilisés côté Opérations Auto :
MayDay knowledge management avec modules de formation etc, IA avec chatgpt intégré ds mayday + Cobaye couche ajoutée sur mayday et pluggé à Zendesk pour avoir compagnons pour les agents humains pour donner bonne info au bon moment - Et agents IA qui répondent directement aux tickets et en niveau 2 escalade vers humain. =&gt; Résultats prometteurs
=&gt; Objectif Relation Client différent de notre gpt Genius -donc il ya pas de doublon. En plus à date Mayday/Cobaye n’ont pas de connexion drive possible et leur base de données doit se faire sous forme d’articles ! Du coup construction de base de connaissance et mise à jour des infos plus lourde que sur notre GPT genis qui réutilse des documents de référence existants et donc mise à jour simple avec peu de retravail.
Next steps :
Test en cours côté Zendesk de Sabrina
En cours d’instruction pour accessibilité par les ADV - connexion entre zendesk et salesforce en cours. A creuser quelles sont les outils similaires qui seraient proposés directement dans Salesforce  ? (Aline souhaite privilégier biensûr les outils in-salesforce)
ABANDON de cette piste pour les AM  après discussion avec JA </t>
  </si>
  <si>
    <t>Aider à l’édition de contenu pour publications sur linkedin AR</t>
  </si>
  <si>
    <t>Prompt ici</t>
  </si>
  <si>
    <t>Anna Roche</t>
  </si>
  <si>
    <t>Market Op</t>
  </si>
  <si>
    <t>Possibilité de créer un prompt sur Figma qui peut générer un visuel selon votre demande</t>
  </si>
  <si>
    <t>Possibilité de créer un prompt sur Figma qui peut générer un visuel selon votre demande // Être très précis sur votre demande</t>
  </si>
  <si>
    <t>https://www.figma.com/fr-fr/make/</t>
  </si>
  <si>
    <t>Aide à l'évaluation de la qualification des bases CRM</t>
  </si>
  <si>
    <t>Pour savoir quel % des nos emails sont génériques ou avec nom prénom etc</t>
  </si>
  <si>
    <t>Océane Letrichez</t>
  </si>
  <si>
    <t>Qualité et performance au service de la lead gen</t>
  </si>
  <si>
    <t>Chatgpt prompt</t>
  </si>
  <si>
    <t>Outil de veille immo : sur toutes les actus, updates concurrence, etc.</t>
  </si>
  <si>
    <t>Outil de veille immo : sur toutes les actus, updates concurrence, etc. sur le marché immo ou un client en particulier</t>
  </si>
  <si>
    <t>Virginie Rudelle</t>
  </si>
  <si>
    <t>Strat 
Biz Dev 
Mkg Op</t>
  </si>
  <si>
    <t>Gain de temps 
Gain d'information - pertinence</t>
  </si>
  <si>
    <t>Possible d'avoir des notifications qd nouvelle actu ?</t>
  </si>
  <si>
    <t>Chatgpt + plannifier une action</t>
  </si>
  <si>
    <t>Vidéo Tuto sur la communauté immo ici</t>
  </si>
  <si>
    <t>Compte rendu de RDV</t>
  </si>
  <si>
    <t>Post rdv dicté à l'oral direct sur appl Chatgpt
Synthétiser les CR de rdv commerciaux pour alimenter CRM avec cette synthèse
permet de structurer chaque CR de rdv</t>
  </si>
  <si>
    <t xml:space="preserve">Arnaud Kaimakan
</t>
  </si>
  <si>
    <t xml:space="preserve">
Un bon FS a un tx de transfo 33%
Ex : Naf avec super préparation de chaque rdv a un tx de transfo à 80% mais a peu de rdv client : FS premium.
Bilan très positif : tous les CR sont réalisés, matière concrète</t>
  </si>
  <si>
    <t>permet de structurer chaque CR de rdv
- sat et usage produit
- oppté
- risques
- prox étapes et timing
- rédiger 5 à 8 lignes max
- bullet points et pas de phrases
- pas d'hallucinations
- Si dans la source tu n'as pas suffisamment d'infos tu me reposes des questions</t>
  </si>
  <si>
    <t>GPT Custom existant en cours de test avant partage plus global au niveau de tous les FS Immo</t>
  </si>
  <si>
    <t>GPT custom Raymondo fai par Arnaud K</t>
  </si>
  <si>
    <t>Résumé de compte dans salesforce</t>
  </si>
  <si>
    <t>En cours de test par les managers FS Immo</t>
  </si>
  <si>
    <t>Equipes Salesforce</t>
  </si>
  <si>
    <t>Gain tx de transfo rdv FS</t>
  </si>
  <si>
    <t>Intégration du module "résumé de compte" via IA directement dans salesforce :
- Synthèse des activités
- Points d'attention
- Actions recommandées !</t>
  </si>
  <si>
    <t>Préparation de rdv FS
Connaissance du client et de son environnement</t>
  </si>
  <si>
    <t xml:space="preserve">GPT custom "Découverte Agence"
- mini audit sur client, sa diff sur concurrent chez nous, date de création etc
- A intégrer dans salesforce à voir comment
=&gt; Next steps: partage du gpt </t>
  </si>
  <si>
    <t>Damien manager FS</t>
  </si>
  <si>
    <t>Résumer et partager Etude Xerfi marché immp sous différentes formes</t>
  </si>
  <si>
    <t>Après achat de l'étude Xerfi qui est conséquente besoin de résumer points essentiels</t>
  </si>
  <si>
    <t>Gain de temps pour chargée biz dev
Gain de qualité sur variété des formats : prez, vidéo, podcast etc</t>
  </si>
  <si>
    <t>Notebook LM</t>
  </si>
  <si>
    <t>https://notebooklm.google.com/notebook/2a9af11d-b4a7-4dfa-99c0-148d597c9a0b</t>
  </si>
  <si>
    <t>Tests pour créer des présentations pour le Kick off de janvier auprès des équipes commerciales ou nouvelles offres</t>
  </si>
  <si>
    <t>Besoin à partir de messages de créer un deck impactant, très visuel et peu de mots</t>
  </si>
  <si>
    <t>Rizwan Asif</t>
  </si>
  <si>
    <t>Gain de temps pour redesigner les slides
Gain en qualité si plus visuel et impactant</t>
  </si>
  <si>
    <t>En test : 
Notebook LM mais permet pas de modifier
Gemini mais moins beau
Notre outil Prezi permet aussi de l'IA</t>
  </si>
  <si>
    <t>Hybride Sales Report 
Aide au reporting hebdo</t>
  </si>
  <si>
    <t>lance une interview qui peut être à l'oral pour le commercial à la fin de sa semaine avant son 121 avec son manager
Intérêt double car le commercial prend conscience de sa semaine : combien tu as fait de rdv? combien de ventes  ? = c'est un 121 avec gpt
puis CR hebdo à copier coller ds un gdoc
puis manager analyse et fait le reporting pour les Dir Co
(Mieux que l'ancien gform)</t>
  </si>
  <si>
    <t>Jeremy churchill</t>
  </si>
  <si>
    <t>gain de temps
Gain de qualité : prise de conscience des atteintesou pas de chaque semaine
Introspection guidée avant 121
rituel d'analyse perso pour le sales</t>
  </si>
  <si>
    <t xml:space="preserve">Sketching discours live </t>
  </si>
  <si>
    <t>Avec base de données on pourrait demander non seulement à chatgpt de faire le client mais aussi quels retour : challenge moi
Donner le vrai contexte du client</t>
  </si>
  <si>
    <t>Tests ici</t>
  </si>
  <si>
    <t>FS Immo</t>
  </si>
  <si>
    <t>n8n ou autre produit</t>
  </si>
  <si>
    <t>Vidéo pour usage interne pour animer Kick off commerciaux etc</t>
  </si>
  <si>
    <t xml:space="preserve">Pour nos kicks off commerciaux où on souhaite apporte un max de motivation aux équipes
Il est utile d'avoir des vidéos inspirationnelles
</t>
  </si>
  <si>
    <t>Mkt Op</t>
  </si>
  <si>
    <t>Gain d'argent car L'IA peut nous permettre de faire des économies de tournage, ne pas passer par une agence / externe. Et tout faire nous mêmes.</t>
  </si>
  <si>
    <t>Gemini 3 !
(3 prompts vidéos / jour)</t>
  </si>
  <si>
    <t xml:space="preserve">
Remplir automatiquement des reportings sur la base de dashboard tableau - Moana</t>
  </si>
  <si>
    <t>Biz dev / strat</t>
  </si>
  <si>
    <t>Connexion à Tableau</t>
  </si>
  <si>
    <t>Data catalogue + n8n</t>
  </si>
  <si>
    <t xml:space="preserve">Aide à génération de contenus pour en créer plus et booster le SEO et le GEO du site B2B et ainsi générer plus de leads B2B </t>
  </si>
  <si>
    <t xml:space="preserve"> (identifier comment les pros immo / part immo utilisent les LLM sur l'immo)
Utiliser les LLM pour créer plus de contenus sur site B2B pour accroitre trafic du site B2B immo et généer plus de leads</t>
  </si>
  <si>
    <t xml:space="preserve">Benjamin Santos et Rizwan </t>
  </si>
  <si>
    <t>A voir avec équipes Marketing- Comm Contenu</t>
  </si>
  <si>
    <t>Gain de trafic / visi / leads B2B = acquisition immo !</t>
  </si>
  <si>
    <r>
      <rPr>
        <rFont val="Arial"/>
        <color rgb="FF1155CC"/>
        <u/>
      </rPr>
      <t xml:space="preserve">https://getmint.ai/
</t>
    </r>
    <r>
      <rPr>
        <rFont val="Arial"/>
      </rPr>
      <t>pour évaluer trafic GEO et identifier requêtes</t>
    </r>
  </si>
  <si>
    <t>Alerte ouverture d'une agence prospect dans ma zone</t>
  </si>
  <si>
    <t>Alerte pour prévenir qu'une agence est apparue soit dnas le quartier, soit dans Google My Business, soit sur un concurrent : seloger ou bien ici</t>
  </si>
  <si>
    <t>Virginie Rudelle
Benjamin Santos</t>
  </si>
  <si>
    <t>L'IA ne pourra pas scrapper le Google My Business, ni un site concurrent. Il faudra utiliser du Python s'il on souhaite faire ça.</t>
  </si>
  <si>
    <t>Analyser stats d’un fichier d’inscrits (à un évènement)</t>
  </si>
  <si>
    <t>Irice Lantheaume</t>
  </si>
  <si>
    <t>Market Op (IL)</t>
  </si>
  <si>
    <t>Analyses mensuelles des audiences BMB</t>
  </si>
  <si>
    <t>Baudouin</t>
  </si>
  <si>
    <t>Création mail client suite rendez-vous</t>
  </si>
  <si>
    <t>Créer une prez rapidement à partir d’une charte ou d’un brief</t>
  </si>
  <si>
    <t>Benjamin Santos Rizwan Asif</t>
  </si>
  <si>
    <t>Grands comptes, Biz dev, Mt op, strat</t>
  </si>
  <si>
    <t>https://chatgpt.com/g/g-69e5d8e23e0481a4bb399e47ff57baec-le-bon-presentateur</t>
  </si>
  <si>
    <t>Chatgpt</t>
  </si>
  <si>
    <t>Faire des comptes rendus de réunion et les do do lists qui en découle</t>
  </si>
  <si>
    <t>Tous</t>
  </si>
  <si>
    <t>google meet</t>
  </si>
  <si>
    <t>Interpréter les messages d’erreur dans les livraisons produits sur Salesforce - K.M.K.</t>
  </si>
  <si>
    <t>AM ADV Sales</t>
  </si>
  <si>
    <t>Pas de connexion Salesforce</t>
  </si>
  <si>
    <t>salesforce, dev backend ?</t>
  </si>
  <si>
    <t>Mails commerciaux avec relances automatiques</t>
  </si>
  <si>
    <t xml:space="preserve">Générer un email de relance automatique en cas de non réponse 
générer un mail automatique au client + au FS proposant des dates pour RDV de suivi 
Relances automatiques: peux-tu me faire un mail de relances devis </t>
  </si>
  <si>
    <t>Virginie RUDELLE</t>
  </si>
  <si>
    <t>Gemini ? n8n ?</t>
  </si>
  <si>
    <t>Me générer un tableau de suivi des commandes que je fais sur une plateforme WEB avec N° de la commande et son état à date afin que je puisse suivre en 1 coup d’oeil (la plateforme de commande n’en propose pas)</t>
  </si>
  <si>
    <t>Market Op (AR)</t>
  </si>
  <si>
    <t>Pouvoir interroger des GSheet de façon conversationnelle (ex. donne moi le nombre de clients en PACA en novembre 2025</t>
  </si>
  <si>
    <t>Strat Biz Dev MktOp</t>
  </si>
  <si>
    <t>Connexion à Gsheet</t>
  </si>
  <si>
    <t>Biz Dev</t>
  </si>
  <si>
    <t xml:space="preserve">Pouvoir interroger tableau de façon conversationnelle (Ex. donne-moi l’ARPA en IDF en septembre 2025) </t>
  </si>
  <si>
    <t>Anna Ziane</t>
  </si>
  <si>
    <t xml:space="preserve">Préparation des rendez-vous clients (slides adaptées) : design &amp; recherche de données </t>
  </si>
  <si>
    <t>Personnalisation des pres commerciales selon découverte client : ses enjeux, sa zone, ses produits etc/</t>
  </si>
  <si>
    <t>Lisa Assanto</t>
  </si>
  <si>
    <t>Gain de temps - productibité
Gain de qualité : personnalisation et pertinence
Et du coup gain de performance</t>
  </si>
  <si>
    <t>Possibilité de charter slides issues de Gemini ou Chatgpt ? 
Test de l'outil Gamma ?</t>
  </si>
  <si>
    <t>gamma ? n8n ? salesforces ?</t>
  </si>
  <si>
    <t>Préparation RDV grand compte avec perplexity / 
Veille hebdo sur les clients d'un Skam / Kam</t>
  </si>
  <si>
    <t>Savoir toute l'actu d'un réseau GC : infos externes  mais aussi enjeux, strat de comm, de réseau, de maillage, de recrutement, résultats commerciaux, rebranding, prise de paroles, etc</t>
  </si>
  <si>
    <t>Skam Kam</t>
  </si>
  <si>
    <t>jérémy: Navigateur IA interdit !</t>
  </si>
  <si>
    <t>Vérification de présentation grand 
compte</t>
  </si>
  <si>
    <t>Création d'un assistant GPT pour que les GC puissent faire vérifier leurs présentation avant envoi au client : respect de la charte, police, placement des logos...</t>
  </si>
  <si>
    <t>Présentation d'une nouvelle fonctionnalité concurrente</t>
  </si>
  <si>
    <t>Faire une présentation à la sortie d’une nouvelle offre/fonctionnalité concurrente</t>
  </si>
  <si>
    <t>Rédaction de questionnaire à destination des pros ou part pour tester l’appétence à un nouveau service</t>
  </si>
  <si>
    <t>customgpt ou notebookLM</t>
  </si>
  <si>
    <t>Rédiger le voice over d’une présentation</t>
  </si>
  <si>
    <t>Notebook LM - création version vidéo / podcast !</t>
  </si>
  <si>
    <t>notebookLM</t>
  </si>
  <si>
    <t>Remplir automatiquement des reportings sur la base de dashboard tableau (exports de chiffres)</t>
  </si>
  <si>
    <t>Analyse de data facilitée</t>
  </si>
  <si>
    <t>Gain de temps - productivité</t>
  </si>
  <si>
    <t>Connexion à Tableau Possible ?</t>
  </si>
  <si>
    <t xml:space="preserve">data catalogue + n8n </t>
  </si>
  <si>
    <t>Remplir automatiquement des reportings sur la base de Gsheets - Moana</t>
  </si>
  <si>
    <t>n8n ou expertise excel ?</t>
  </si>
  <si>
    <t>Analyse des messages sur les formulaires de WCB du site B2B pour les catégoriser : business / plainte / Service client</t>
  </si>
  <si>
    <t>Analyse d'un grand volumes de messages extraits des formulaires de WCB</t>
  </si>
  <si>
    <t xml:space="preserve">Benjamin Santos </t>
  </si>
  <si>
    <t>Gain de temps pour automatiser analyse</t>
  </si>
  <si>
    <t>Réflexion sur comment  mettre en place des cold emails reply vers équipes TLV : comment qualifier les réponses des clients etc.</t>
  </si>
  <si>
    <t>Virginie Rudelle / Océane Letrichez</t>
  </si>
  <si>
    <t>Nouveauté : générer des leads acquisition sur prospects purs TLV via reply mail et les intégrer à Diabolocom campagnes WCB après les avoir qualifiés</t>
  </si>
  <si>
    <t>N8N + Chatgpt + gmail + Gsheet</t>
  </si>
  <si>
    <t>Etudes</t>
  </si>
  <si>
    <t>Synthèse d’étude existantes (ou autres présentations)
Analyses de nos enquêtes users &amp; pros (quali, quanti, questions ouvertes surtout) BMB</t>
  </si>
  <si>
    <t>Baudouin Masse Baudet</t>
  </si>
  <si>
    <t>chatgpt</t>
  </si>
  <si>
    <t>Veille concurrentielle</t>
  </si>
  <si>
    <t xml:space="preserve">Veille concurrentielle, peux tu me dire quels sont les produits et prix de seloger &amp; bienici </t>
  </si>
  <si>
    <t>Gain qualité : Connaissance client, pertinence et chances de conversion en business !
Optimisation de notre proposition tarifaire et offres promo</t>
  </si>
  <si>
    <t>Prix concurrents seulement très partiellement disponibles</t>
  </si>
  <si>
    <t>Marketing Radar</t>
  </si>
  <si>
    <t>Conception de Lead Magnet / analyses locales data industrialisées à la maille code postale</t>
  </si>
  <si>
    <t>Industrialiser la conception d'analyses marché locales en créant des workflows entre différentes sources data + une templates slides identique pour chaque code postal</t>
  </si>
  <si>
    <t>Virginie Rudelle Baudouin Masse-Baudet</t>
  </si>
  <si>
    <t>Booster Acquisition en utilisant ces analyses comme des lead magnets dispos derrière formuliare sur le site B2B 
+ Booster fidélité en faisant bénéficier nos clients d'analyses poussées locales</t>
  </si>
  <si>
    <t>- Check entre Virginie et Abbas sur fonctionnement via Claude et Chatgpt de conception de slides identiques pour chaque code postal en se basant sur template slide et gsheet avec data
- Tests en cours via Yohann pour récupérer données depuis Tableau - recherche MCP
- Trade a interrogé managers FS IDF sur top 10 kpis intéressants pour générer leadgen / intérêt des prospects</t>
  </si>
  <si>
    <t xml:space="preserve">Assistant commercial </t>
  </si>
  <si>
    <t>Assistant pour les commerciaux  qui répond aux questions sur les sujets aide à la vente, accompagnement client et process internes</t>
  </si>
  <si>
    <t>Sales Genius</t>
  </si>
  <si>
    <t>Commerciaux Immo (FS, GC, TLV)</t>
  </si>
  <si>
    <t xml:space="preserve">Productivité : plus besoin d'aller consulter des documents et des présentations de plusieurs pages, gain de temps en ayant accès à l'information grâce à l'assistant </t>
  </si>
  <si>
    <t>MEP faite
Equipes formées</t>
  </si>
  <si>
    <t>GPT custom</t>
  </si>
  <si>
    <t>Assistant marché immobilier</t>
  </si>
  <si>
    <t>Assistant pour répondre à des questions liées aux données du marché de l'immobilier.</t>
  </si>
  <si>
    <t>Assistant outils statistiques et bilan FS</t>
  </si>
  <si>
    <t xml:space="preserve">Assistant pour répondre aux questions sur les différents outils stats clients. </t>
  </si>
  <si>
    <t>Doc pas à pas ici</t>
  </si>
  <si>
    <t>Prompt ds Chatgpt</t>
  </si>
  <si>
    <t>Brainstorm sur noms d'offres</t>
  </si>
  <si>
    <t>Exemple pour trouver de nouveaux noms de gamme offres commerciales</t>
  </si>
  <si>
    <t>prompt</t>
  </si>
  <si>
    <t>Plus d'idées, gain de temps</t>
  </si>
  <si>
    <t>Comprendre pour les commerciaux qui contacter selon quel problème ? Qui fait quoi ?</t>
  </si>
  <si>
    <t>L'organisation (marketing opérationnel, etc) a beaucoup changé au cours de 2025
Les commerciaux ne savent pas toujours vers qui se tourner pour poser leurs questions Stats client / supports prez co /etc.. 
Le but est donc de créer un document qui clarifie cela et le mettre à disposition dans le Chatpt Sales Genius</t>
  </si>
  <si>
    <t>Gain de  temps pour tout le mondre : le commercial sait à qui s'adresser p our son besoin marketing (goodies, prez, etc.)</t>
  </si>
  <si>
    <t>Développer une idée (demander son avis)</t>
  </si>
  <si>
    <t>Brainstorm sur noms des offres etc</t>
  </si>
  <si>
    <t>Faire une note mensuelle ou hebdo sur les news du marché et des concurrents (veille actus)</t>
  </si>
  <si>
    <r>
      <rPr>
        <rFont val="Arial"/>
      </rPr>
      <t xml:space="preserve">customgpt Marketing Radar + scheduled task
</t>
    </r>
    <r>
      <rPr>
        <rFont val="Arial"/>
        <color rgb="FF1155CC"/>
        <u/>
      </rPr>
      <t>https://chatgpt.com/g/g-693036e29d4481a49a74953b20c6f5b7-marketing-radar</t>
    </r>
  </si>
  <si>
    <t>Identifier la bonne teams P&amp;E en cas de problèmes/Bugs</t>
  </si>
  <si>
    <t>Accès à la connaissance de l'orga interne</t>
  </si>
  <si>
    <t>Existe déjà fait par P&amp;T</t>
  </si>
  <si>
    <t>Rapport performance clients GC</t>
  </si>
  <si>
    <t>Tous les mois, les commerciaux grands comptes envoient aux clients des rapports sur la performance de leur réseau. Un prompt a été créé avec ChatGPT pour formaliser avec qualité ces données.  Ils uploadent l'export pdf de leur reporting + le prompt et cela leur génère des insights qualitatifs en un temps record.</t>
  </si>
  <si>
    <t>Sophie Bourg</t>
  </si>
  <si>
    <t>Grands Comptes Immo</t>
  </si>
  <si>
    <t>Productivité : de plus d'une demi journée à moins de 20 minutes.
Qualité de service : des reportings qui franchissent une énorme étape en passant d'une description de graphiques à des insights, comparatif concurrents et marché ainsi que des pistes d'optimisation beaucoup plus intéressantes</t>
  </si>
  <si>
    <r>
      <rPr/>
      <t xml:space="preserve">A voir comment faire évoluer ce process en reliant directement au drive où se situent les données pour ne pas avoir à télécharger le pdf à chaque fois. Prompt: </t>
    </r>
    <r>
      <rPr>
        <color rgb="FF1155CC"/>
        <u/>
      </rPr>
      <t>https://docs.google.com/spreadsheets/d/1eB5mJD-O89cHfso_jwm5ycQ5JdQqXm263l_Qzt7Ae3Y/edit?gid=487742801#gid=487742801</t>
    </r>
  </si>
  <si>
    <t>Sales Genius
Info sur l'évolution du site leboncoin immo : les nouvelles évolutions,  et comment faire la démo du compte pro ou du site leboncoin</t>
  </si>
  <si>
    <t>Le même super assistant donne le discours client à tenir sur les dernières évolutions sur le site leboncoin immo : leur valeur ajoutée, date 
+ Tips sur comment effectuer par étape la démo du boncoin immo et du compte pro en mettant en avnat les nouveautés</t>
  </si>
  <si>
    <t>AVANT : Une prez mise à jour sur les évoluton produit mais incertitude des commerciaux sur où la trouver, etc.
APRES / Là je n’ai qu’à demander et on me donne une réponse rapide et sourcée dans le même gpt que mes autres usages</t>
  </si>
  <si>
    <t>Sales Genius
Info sur les Offres &amp; Argumentaires clients &amp; le pitch leboncoin immo</t>
  </si>
  <si>
    <t xml:space="preserve">Créer un super assistant qui répond rapidmeenet à n'importe quelle question sur les offres et apporte une réponse rapide, structurée, sourcée
Avec un discours 100% axé client basé sur nos nombeux outils d'aide à la vente </t>
  </si>
  <si>
    <t>AVANT : 
On sait jamais où trouver les infos. Il y a un book de &gt; 200 slides, un process des ventes de &gt; 300 slides, et une boîte à outil hyper fournie. 
APRES / Là je n’ai qu’à demander et on me donne une réponse rapide et sourcée !”</t>
  </si>
  <si>
    <t xml:space="preserve">Sales Genius
Info sur Promo / process / éligibilté / discours commerciaux </t>
  </si>
  <si>
    <t>Le même assistant est capable de préciser toutes les questions référentes au process de vente, à la stratégie de vente, à l'éligibilité des offres commerciales d'acquisition, de win-back etc.</t>
  </si>
  <si>
    <t xml:space="preserve">Sales Genius
Infos sur le marché immobilier / </t>
  </si>
  <si>
    <t>Le même assistant est capable de résumer ou répondre aux questions relatives au marché immobilier : audience, tx d'intérêt etc.</t>
  </si>
  <si>
    <t>Synthèse des évolutions produits chaque mois Lisa A</t>
  </si>
  <si>
    <t>Résumer et formaliser chaque mois les évols produit pour les prez Skam et kam</t>
  </si>
  <si>
    <t>GPT</t>
  </si>
  <si>
    <t>Lisa ASSANTO</t>
  </si>
  <si>
    <t>Market Op et Sales</t>
  </si>
  <si>
    <r>
      <rPr>
        <rFont val="Arial"/>
        <color theme="1"/>
      </rPr>
      <t xml:space="preserve">Test outil </t>
    </r>
    <r>
      <rPr>
        <rFont val="Arial"/>
        <b/>
        <color theme="1"/>
      </rPr>
      <t xml:space="preserve">Notebook LM </t>
    </r>
    <r>
      <rPr>
        <rFont val="Arial"/>
        <color theme="1"/>
      </rPr>
      <t xml:space="preserve">
pour entrainer et former commerciaux à partir des supports Marketing Trade</t>
    </r>
  </si>
  <si>
    <t>Notebook LM (dépend de notre licence Gemini Pro) permet des fonctionnalités complémentaires à Chagpt avec BDD supports Mkg Trade : 
- Tests QCM
- Fiches questions / réponses
- vidéos pédagogiques
- mindmap
Tout cela généré automatiquement !</t>
  </si>
  <si>
    <t>Notebook LM Sales Immo</t>
  </si>
  <si>
    <t>Commerciaux</t>
  </si>
  <si>
    <t>Gain de temps et qualité ! (contenu vidéo additionnel versus slides aujd)
AVANT : besoin de créer tests ou vidéos ou autres pour former / présenter / convaincre / entrainer etc les équipes commerciales
APRES :  En 5 min suite à partage de nos documents Mkg Trade, tous les contenus listés : vidéo récap / mindmap / QCM / fiches quetsions-réponses sont générées.</t>
  </si>
  <si>
    <t>Notebook LM
(Gemini)</t>
  </si>
  <si>
    <t>Juridique</t>
  </si>
  <si>
    <t>Création d'un chatbot "Maître coin"</t>
  </si>
  <si>
    <t>Chatbot qui se baserait sur nos CGU, CGV, RDD (...) afin de répondre aux questions du service clients et du business</t>
  </si>
  <si>
    <t>Assistant Juridique</t>
  </si>
  <si>
    <t>Anaise Blanchet</t>
  </si>
  <si>
    <t>plusieurs heures semaine et par mois</t>
  </si>
  <si>
    <r>
      <rPr>
        <rFont val="Arial"/>
        <color theme="1"/>
      </rPr>
      <t xml:space="preserve">Interne: déjà utilisé
"Externe": selection des testeurs ok =&gt; communication prête =&gt; mais en attente d'ouverture des droits à tous =&gt; Prévu pour lundi 26
Test prévu pendant 1 mois =&gt; prévu fin février
Ajout des notes hébergeurs par l'équipe juridique
</t>
    </r>
    <r>
      <rPr>
        <rFont val="Arial"/>
        <b/>
        <color theme="1"/>
      </rPr>
      <t>Update 4 février</t>
    </r>
    <r>
      <rPr>
        <rFont val="Arial"/>
        <color theme="1"/>
      </rPr>
      <t xml:space="preserve">: En attente retour Lydie et Jeremy de la modé, on pourrait le sortir avant février 
</t>
    </r>
    <r>
      <rPr>
        <rFont val="Arial"/>
        <b/>
        <color theme="1"/>
      </rPr>
      <t>20 février:</t>
    </r>
    <r>
      <rPr>
        <rFont val="Arial"/>
        <color theme="1"/>
      </rPr>
      <t xml:space="preserve"> attente retour Lydie - Test PM/Head of Statut d'hébergeur
</t>
    </r>
    <r>
      <rPr>
        <rFont val="Arial"/>
        <b/>
        <color theme="1"/>
      </rPr>
      <t>9 mars</t>
    </r>
    <r>
      <rPr>
        <rFont val="Arial"/>
        <color theme="1"/>
      </rPr>
      <t xml:space="preserve">: entraintement sur la DoA </t>
    </r>
  </si>
  <si>
    <t>Génération contrat</t>
  </si>
  <si>
    <t>Sur la base d'un clausier créé par le service juridique, vérifier un contrat et proposer une meilleure rédaction des clauses qui ne correspondent pas au standard posé par le clausier. Le but final serait de générer directement des markups sur le document.</t>
  </si>
  <si>
    <t>Florian Girard</t>
  </si>
  <si>
    <t>Juristes</t>
  </si>
  <si>
    <r>
      <rPr>
        <rFont val="Arial"/>
        <color theme="1"/>
      </rPr>
      <t xml:space="preserve">Check de Laetitia avec Yohan sur l'avancement 
</t>
    </r>
    <r>
      <rPr>
        <rFont val="Arial"/>
        <b/>
        <color theme="1"/>
      </rPr>
      <t>Update 4 février:</t>
    </r>
    <r>
      <rPr>
        <rFont val="Arial"/>
        <color theme="1"/>
      </rPr>
      <t xml:space="preserve"> demander à Yohan de revenir vers le service juridique 
</t>
    </r>
    <r>
      <rPr>
        <rFont val="Arial"/>
        <b/>
        <color theme="1"/>
      </rPr>
      <t xml:space="preserve">20 février: </t>
    </r>
    <r>
      <rPr>
        <rFont val="Arial"/>
        <color theme="1"/>
      </rPr>
      <t xml:space="preserve">Pas de retour de Yohan, Florian le contacte
</t>
    </r>
    <r>
      <rPr>
        <rFont val="Arial"/>
        <b/>
        <color theme="1"/>
      </rPr>
      <t>9 mars</t>
    </r>
    <r>
      <rPr>
        <rFont val="Arial"/>
        <color theme="1"/>
      </rPr>
      <t>: pas eu de retour</t>
    </r>
  </si>
  <si>
    <t>Génération template NDA</t>
  </si>
  <si>
    <t>Pemet aux opérationnels de générer de manière autonome un NDA</t>
  </si>
  <si>
    <r>
      <rPr>
        <rFont val="Arial"/>
        <color theme="1"/>
      </rPr>
      <t xml:space="preserve">Problème de mise en page, solution à trouver
Check de Laetitia avec Yohan 
</t>
    </r>
    <r>
      <rPr>
        <rFont val="Arial"/>
        <b/>
        <color theme="1"/>
      </rPr>
      <t xml:space="preserve">4 février: génération de NDA ok </t>
    </r>
    <r>
      <rPr>
        <rFont val="Arial"/>
        <color theme="1"/>
      </rPr>
      <t xml:space="preserve">- ajouter les champs dynamiques + lister les signataires =&gt; dans la semaine c'est réglé - en attente d'hébergement côté Yohan 
Fin février target -&gt; puis période de test
A voir si on peut l'étendre avec le POC agreement 
</t>
    </r>
    <r>
      <rPr>
        <rFont val="Arial"/>
        <b/>
        <color theme="1"/>
      </rPr>
      <t>9 mars:</t>
    </r>
    <r>
      <rPr>
        <rFont val="Arial"/>
        <color theme="1"/>
      </rPr>
      <t xml:space="preserve"> retour Yohan
</t>
    </r>
    <r>
      <rPr>
        <rFont val="Arial"/>
        <b/>
        <color theme="1"/>
      </rPr>
      <t xml:space="preserve">7 avril: </t>
    </r>
    <r>
      <rPr>
        <rFont val="Arial"/>
        <color theme="1"/>
      </rPr>
      <t xml:space="preserve">relance Yohan </t>
    </r>
  </si>
  <si>
    <t>Risk assessment POC</t>
  </si>
  <si>
    <t>Analyse des risques quand on veut tester une solution IA en version gratuite</t>
  </si>
  <si>
    <r>
      <rPr>
        <rFont val="Arial"/>
        <color theme="1"/>
      </rPr>
      <t xml:space="preserve">Check de Florian sur le GPT et l'avancement 
</t>
    </r>
    <r>
      <rPr>
        <rFont val="Arial"/>
        <b/>
        <color theme="1"/>
      </rPr>
      <t xml:space="preserve">4 février: </t>
    </r>
    <r>
      <rPr>
        <rFont val="Arial"/>
        <color theme="1"/>
      </rPr>
      <t xml:space="preserve">pas d'infos de Flo - en attente de contacter Laetitia
</t>
    </r>
    <r>
      <rPr>
        <rFont val="Arial"/>
        <b/>
        <color theme="1"/>
      </rPr>
      <t xml:space="preserve">20 février: </t>
    </r>
    <r>
      <rPr>
        <rFont val="Arial"/>
        <color theme="1"/>
      </rPr>
      <t xml:space="preserve">à contacter
</t>
    </r>
    <r>
      <rPr>
        <rFont val="Arial"/>
        <b/>
        <color theme="1"/>
      </rPr>
      <t>9 mars</t>
    </r>
    <r>
      <rPr>
        <rFont val="Arial"/>
        <color theme="1"/>
      </rPr>
      <t xml:space="preserve">: à contacter </t>
    </r>
  </si>
  <si>
    <t>A voir comment le mettre à disposition des utilisateurs finaux</t>
  </si>
  <si>
    <t>Génération courrier de réponse</t>
  </si>
  <si>
    <t>Anaïse Blanchet</t>
  </si>
  <si>
    <t>4 février: Anaïse ajoute la description + contact Yohan
20 février: Yohan a tout en attente de retour
9 mars: relance + retour Yohan</t>
  </si>
  <si>
    <t>ChatGPT / Gemini</t>
  </si>
  <si>
    <t>Tech</t>
  </si>
  <si>
    <t>Réponses aux demandes complexes de données</t>
  </si>
  <si>
    <t>Générer automatique les requetes SQL (voir les envoyer pour répondre aux demandes qui viennent habituellement à Data Platform)</t>
  </si>
  <si>
    <t>Mélanie Armand Madec/Meriem</t>
  </si>
  <si>
    <t>gain de temps</t>
  </si>
  <si>
    <t>1ère analyse de contrat</t>
  </si>
  <si>
    <t>Permet d'identifier les éléments manquants, points bloquants et/ou à négocier</t>
  </si>
  <si>
    <t>Laetitia Sebaoun</t>
  </si>
  <si>
    <t>Prompt efficace pas besoin de GPT</t>
  </si>
  <si>
    <t>Aide à la rédaction contractuelle</t>
  </si>
  <si>
    <t>Permet de créer ou d'améliorer une clause contractuelle</t>
  </si>
  <si>
    <t>Privacy</t>
  </si>
  <si>
    <t>Existence données personnelles</t>
  </si>
  <si>
    <t xml:space="preserve">Vérifier si un projet / contrat comprend un traitement de données personnelles </t>
  </si>
  <si>
    <t>Valentin Le Marec</t>
  </si>
  <si>
    <t>Génération réponse équipes internes</t>
  </si>
  <si>
    <t>Réponse à des questions basiques des équipes de TLV/ADV/SC sur la base d'un mode d'emploi rédigé par le service juridique</t>
  </si>
  <si>
    <t>FAQ Juridique ADV et commerciaux</t>
  </si>
  <si>
    <t>TLV/ADV/SC</t>
  </si>
  <si>
    <t>Mise en conformité nouvelles réglementations</t>
  </si>
  <si>
    <t>Permet d'identifier les problématiques principales et applicables à notre activité avant une étude plus approfondie.</t>
  </si>
  <si>
    <t>Dépend de l'activité réglementaire</t>
  </si>
  <si>
    <t>Réseaux Sociaux</t>
  </si>
  <si>
    <t>Sociabble</t>
  </si>
  <si>
    <t xml:space="preserve">Programme employés ambassadeurs, reformulation / personnalisation des posts grâce à l'IA. </t>
  </si>
  <si>
    <t>Alicia Cosme</t>
  </si>
  <si>
    <t>Tous les collaborateurs inscrits sur Sociabble</t>
  </si>
  <si>
    <t xml:space="preserve"> Veille concurrentielle</t>
  </si>
  <si>
    <t>Automatiser et industrialiser la veille concurrentielle (innovations, stratégie marketing...)</t>
  </si>
  <si>
    <t>customGPT "Marketing Radar" et/ou planification tâche GPT   https://chatgpt.com/g/g-693036e29d4481a49a74953b20c6f5b7-marketing-radar</t>
  </si>
  <si>
    <t>Consolidation financière</t>
  </si>
  <si>
    <t>Croisement et vérification des factures reçues / dépenses prévues dans les tableaux du CDG  / tableau de suivi équipe</t>
  </si>
  <si>
    <t>Jacky Thoumin</t>
  </si>
  <si>
    <t>n8n sap salesforces</t>
  </si>
  <si>
    <t>Créas pub, RS ou marketing</t>
  </si>
  <si>
    <t>Création et / ou déclinaisons formats visuels</t>
  </si>
  <si>
    <t>Clara</t>
  </si>
  <si>
    <t>image</t>
  </si>
  <si>
    <t>Intégration aux outils marketing</t>
  </si>
  <si>
    <t>Intégration aux outils marketing : connexion en API aux ad platform (google ads, META etc. liste plus exhaustie à fournir) afin d'éviter de devoir extraire d'un côté puis réupload de l'autre etc.</t>
  </si>
  <si>
    <t>Antoine Delpech</t>
  </si>
  <si>
    <t>connecteur google ads, meta...</t>
  </si>
  <si>
    <t>Optimisation de campagnes</t>
  </si>
  <si>
    <t>Identifier des leviers stratégiques d’amélioration de nos créas publicitaires dans les brand trackers</t>
  </si>
  <si>
    <t>Optimisation retroplannings</t>
  </si>
  <si>
    <t>Conception et aide au suivi de rétroplannings</t>
  </si>
  <si>
    <t>A voir dans Notion</t>
  </si>
  <si>
    <t>Présentations / bilans de campagnes automatisés</t>
  </si>
  <si>
    <t>Fusionner / synthétiser les performances pour les PPP</t>
  </si>
  <si>
    <t>Réponses mails automatiques / MP en RS</t>
  </si>
  <si>
    <t xml:space="preserve">Traiter &amp; répondre aux emails de sollicitation de commerciaux ou de propositions de partenariats </t>
  </si>
  <si>
    <t xml:space="preserve">France Lila &amp; Juliette (RS) </t>
  </si>
  <si>
    <t>Reformulation texte/mail</t>
  </si>
  <si>
    <t>Reformulation pour les mails, textes réseaux sociaux...</t>
  </si>
  <si>
    <t>Revues de presse</t>
  </si>
  <si>
    <t>Synthèse et analyse des mentions du boncoin dans les médias</t>
  </si>
  <si>
    <t>Alicia</t>
  </si>
  <si>
    <t>Synthèse de documents</t>
  </si>
  <si>
    <t>Synthèse de documents longs et / ou techniques, échanges de mails...</t>
  </si>
  <si>
    <t>Produit</t>
  </si>
  <si>
    <t>Assistant Evaluation Cadrage Produit</t>
  </si>
  <si>
    <t>Un GPT qui aide à formaliser son cadrage</t>
  </si>
  <si>
    <t>Fiona VASSAUX-BOURGES Sophie GOHIER</t>
  </si>
  <si>
    <t>Produit/UX</t>
  </si>
  <si>
    <t>Brief Design (Briefly)</t>
  </si>
  <si>
    <t>Accompagnement à la rédaction de brief de conception</t>
  </si>
  <si>
    <t>Abderrahmane Abdallahoum</t>
  </si>
  <si>
    <t>Help Benchmark et de la Veille Technologique</t>
  </si>
  <si>
    <t>Avoir facilement accès à des benchmarks sur des sujets précis, ou avoir des alertes lorsqu'un concurrent sort une feature similaire</t>
  </si>
  <si>
    <t>Youness NADIR Pauline MINARY</t>
  </si>
  <si>
    <t>n8n / OpenAI API</t>
  </si>
  <si>
    <t>ChatGPT + solution de veille ?</t>
  </si>
  <si>
    <t>Data</t>
  </si>
  <si>
    <t>Help on AB test</t>
  </si>
  <si>
    <t>Bot d'aide pour setup un AB test sur Confidence,analyser les résultats d'un ab test</t>
  </si>
  <si>
    <t>Pierre Palisson</t>
  </si>
  <si>
    <t>Produit, Data</t>
  </si>
  <si>
    <t>https://chatgpt.com/g/g-68e90791ddd081a4a2337c8b27a8054a-confidence-helper</t>
  </si>
  <si>
    <t>ChatGPT/NotebookLLM</t>
  </si>
  <si>
    <t>Help on AI feature</t>
  </si>
  <si>
    <t>Assistant de cadrage de fonctionnalités IA</t>
  </si>
  <si>
    <t>Yohan/Jérémy</t>
  </si>
  <si>
    <t>améliorer avec des notions légales</t>
  </si>
  <si>
    <t>Low Risk</t>
  </si>
  <si>
    <t>Writing Produced framework document doc</t>
  </si>
  <si>
    <t>Rédaction d'un document de cadrage</t>
  </si>
  <si>
    <t>Ludovic Hazart</t>
  </si>
  <si>
    <t>Agent Dupont Moretti</t>
  </si>
  <si>
    <t>Spécialiste du juridique, donne son avis sur nos idées produit et nos wording… basée sur sources fiables + nos décisions passées
(Contacter Anais Blanchet)</t>
  </si>
  <si>
    <t>Imene SEDIRI</t>
  </si>
  <si>
    <t>UX et PM</t>
  </si>
  <si>
    <t>Discussions avec Anaise Blanchet pour identifier les sources nécessaires</t>
  </si>
  <si>
    <t>Agent PMM</t>
  </si>
  <si>
    <t>aide à la formulation hypothèse et l’identification de la bonne méthode pour l’in/confirmation de l’hypothèse</t>
  </si>
  <si>
    <t>PM</t>
  </si>
  <si>
    <t>Aide à l’idéation (disco)</t>
  </si>
  <si>
    <t>Aide à la l'ideation lors de la phase de discovery</t>
  </si>
  <si>
    <t>Anaïs Langlet</t>
  </si>
  <si>
    <t>Aide à la communication sortie feature</t>
  </si>
  <si>
    <t>Aide à la com sur une nouvelle feature</t>
  </si>
  <si>
    <t>UX</t>
  </si>
  <si>
    <t xml:space="preserve">Analyse simple 'ad-hoc' </t>
  </si>
  <si>
    <t>base de la santé &amp; analyse produit</t>
  </si>
  <si>
    <t xml:space="preserve">Analysis output/outcome review (slides ou autre document) </t>
  </si>
  <si>
    <t>Revue automatique de l'output d'une analyse</t>
  </si>
  <si>
    <t>Patrice CHAPERON</t>
  </si>
  <si>
    <t>Challenger le code des analyses et aussi les slides généres par les analystes - soit via claude code ou chatgpt
Il y a deja un bot qui check le code via les PR Git, voir avec DPE</t>
  </si>
  <si>
    <t>Analytics : aide au cadrage</t>
  </si>
  <si>
    <t>Analytics : aide au cadrage '5 whys' (Laurent)</t>
  </si>
  <si>
    <t>Laurent Borel</t>
  </si>
  <si>
    <t>Auto Doc</t>
  </si>
  <si>
    <t>Agent en charge de maintenir la doc d’un périmètre à jour, l’enrichir</t>
  </si>
  <si>
    <t>Laurent BOREL</t>
  </si>
  <si>
    <t>connecteur confluence, google drive...</t>
  </si>
  <si>
    <t>Base de connaissance règles des features</t>
  </si>
  <si>
    <t xml:space="preserve">Retrouver les règles de feature (ex. qui a droit à sonar date mise en ligne retrait) </t>
  </si>
  <si>
    <t>Centralisation des retours utilisateur</t>
  </si>
  <si>
    <t>trouver des retours utilisateur/ices ou research sur un sujet (par device, type de pro…) et récupérer des insights</t>
  </si>
  <si>
    <t>Anais Langlet</t>
  </si>
  <si>
    <t>UX PM , et potentiellement Mareting</t>
  </si>
  <si>
    <t>crawling web deep search</t>
  </si>
  <si>
    <t>Connaître date MEP feature et PM associé</t>
  </si>
  <si>
    <t>savoir depuis quand une feature est en prod et à qui elle appartient</t>
  </si>
  <si>
    <t>Julia LANGLOIS</t>
  </si>
  <si>
    <t>Connexion JIRA</t>
  </si>
  <si>
    <t>créer directement dans JIRA les user stories générées dans ChatGPT</t>
  </si>
  <si>
    <t>Pour le moment le MCP JIRA n'a pas été validé par la sécu pour une utilisation sur le nouveau JIRA</t>
  </si>
  <si>
    <t>MCP Jira dispo mais actuellement en lecture uniquement</t>
  </si>
  <si>
    <t>Jira MCP</t>
  </si>
  <si>
    <t>Product Career Path Evaluation</t>
  </si>
  <si>
    <t>aider à l’auto‑évaluation des compétences PM et à construire un plan de progression (basé sur notre nouvelle grille + niveaux Junior/Avancé/Senior)</t>
  </si>
  <si>
    <t>Adil GHAZAOUI DIDI</t>
  </si>
  <si>
    <t>MartinGPT ©</t>
  </si>
  <si>
    <t>Aider à challenger une vision produit par un CPO un brin assertif et challengeant</t>
  </si>
  <si>
    <t>Pauline Minary</t>
  </si>
  <si>
    <t>Data finder</t>
  </si>
  <si>
    <t>Pouvoir facilement demander des KPI et analyser des données en posant des questions à un bot et sa variation (week over week / year over year)</t>
  </si>
  <si>
    <t>Inclus dans le plan de transfo data, mais il manque les briques principales (databricks, data catalog, gouvernance) avant de pouvoir y arriver</t>
  </si>
  <si>
    <t>Databricks</t>
  </si>
  <si>
    <t>Design system - Aide au développment</t>
  </si>
  <si>
    <t>Accélerer le développement des composants du design system</t>
  </si>
  <si>
    <t>Chloé Lasserre</t>
  </si>
  <si>
    <t>Design system - AI ready</t>
  </si>
  <si>
    <t>Rendre le Design system AI-ready (Desig, Dev, process) pour être connecté à des outils IA / MCP</t>
  </si>
  <si>
    <r>
      <rPr/>
      <t xml:space="preserve">Il y a déjà un dashboard datadog disponible </t>
    </r>
    <r>
      <rPr>
        <color rgb="FF1155CC"/>
        <u/>
      </rPr>
      <t xml:space="preserve">https://leboncoinpro.datadoghq.com/dashboard/5j8-f2t-dzf/foundations-spark-usage-webprod?fromUser=false&amp;refresh_mode=sliding&amp;from_ts=1769414097308&amp;to_ts=1769417697308&amp;live=true
</t>
    </r>
    <r>
      <rPr/>
      <t>cependant pour une analyse complète du site la migration app-router doit être effectuée à 100%</t>
    </r>
  </si>
  <si>
    <t>le détail par page sera dispo quand la migration app-router sera terminé</t>
  </si>
  <si>
    <t>Design system - Changelog / Release-Note</t>
  </si>
  <si>
    <t>Créer automatiquement des release-notes complètes ou condensées, au global et sur chaque stack (avec partage automatique dans ZH, les channels ou par email)</t>
  </si>
  <si>
    <t>Design System - Help</t>
  </si>
  <si>
    <t>Développer un RAG permettant à un utilisateur interne de trouver tout type de réponses concernant le Design System LBC (connexion avec FIGMA + codebases dev + ZeroHeight)</t>
  </si>
  <si>
    <t>Global status main projects</t>
  </si>
  <si>
    <t>Avoir un assistant (gemini ou autre) qui te donne un status clair d'avancement sur n'importe quel sujet lbc en crawlant g drive, slack, jira, etc
Nice to have</t>
  </si>
  <si>
    <t>Insight</t>
  </si>
  <si>
    <t xml:space="preserve">text to insight pour suivi des métriques produits </t>
  </si>
  <si>
    <t>Inclus dans le plan de transfo Data - dépendance avec la data quality</t>
  </si>
  <si>
    <t>Help on Data</t>
  </si>
  <si>
    <t>Bot pour trouver facilement le bon dashboard Tableau pour un KPI donné</t>
  </si>
  <si>
    <t>Patrice Chaperon/ Saadi Kaci</t>
  </si>
  <si>
    <r>
      <rPr>
        <color rgb="FF1155CC"/>
        <u/>
      </rPr>
      <t>Pablo</t>
    </r>
    <r>
      <rPr/>
      <t xml:space="preserve"> v1 y repond deja
La V2 sera mieux quand on aura plug le data catalog, qu'on aura la gouvernance et les meta données</t>
    </r>
  </si>
  <si>
    <t>Help on slack</t>
  </si>
  <si>
    <t>avoir un résumé auto le matin des infos clés échangés la veille sur notre scope et dépendance</t>
  </si>
  <si>
    <t>Priscilla MORIENNE</t>
  </si>
  <si>
    <t>Intégration Chatgpt dans Slack ?</t>
  </si>
  <si>
    <t>Help on slides</t>
  </si>
  <si>
    <t xml:space="preserve">fournir le contenu d’un kick off et avoir une génération auto d’une prez roadmap (template ok et format impactant) Priscillia Morienne </t>
  </si>
  <si>
    <t>GPT / Gemini</t>
  </si>
  <si>
    <t>Création ticket JIRA automatique depuis thread Slack</t>
  </si>
  <si>
    <t xml:space="preserve">Une discussion autour d'un bug ou d'une petite évo dans Slack, le ticket est automatiquement créé dans JIRA </t>
  </si>
  <si>
    <t>Priscilla Morienne</t>
  </si>
  <si>
    <t>Le GPT fonctionnel MVP existe, il manque : 
- la prise en comptes des liens (bloqués au Create JIRA pour le moment, demande à Benjamin L)
- la prise en compte des images
- récupérer la bonne EPIC et les bons composants</t>
  </si>
  <si>
    <t>IDE Data</t>
  </si>
  <si>
    <t>Outiller les data analysts d’un IDE spécifique data (Nao, Hex, Databricks…)</t>
  </si>
  <si>
    <t>Horizon moyen long terme (S2 2026)
Databricks dans le plan de transfo répondra à cet usage</t>
  </si>
  <si>
    <t>Keydates generation</t>
  </si>
  <si>
    <t>Remplir automatiquement le fichier existant, ou définir un nouveau process</t>
  </si>
  <si>
    <t>Réduire/Automatiser watchman data support Patrice</t>
  </si>
  <si>
    <t>Automatiser certaines tâches watchman data</t>
  </si>
  <si>
    <t>Screenshots de la prod</t>
  </si>
  <si>
    <t xml:space="preserve">Screenshots de la prod par parcours + link Figma </t>
  </si>
  <si>
    <t>Tagging plan</t>
  </si>
  <si>
    <t>Bot d'aide sur la formalisation du tagging plan</t>
  </si>
  <si>
    <t>Davide Duina</t>
  </si>
  <si>
    <t>Sujet à cadrer/prioriser
Davide Duina a déjà développé un bot NotebookLM pour aider les PMs à faire un PDM</t>
  </si>
  <si>
    <t>Product/UX</t>
  </si>
  <si>
    <t>Wireframes</t>
  </si>
  <si>
    <t>- Création de wireframes sans UX
- Revue automatisée des maquettes produites par les UX designers
- Déclinaison Automatique des maquettes apps &lt;&gt; desktop</t>
  </si>
  <si>
    <r>
      <rPr/>
      <t xml:space="preserve">Pour la review il y a déjà </t>
    </r>
    <r>
      <rPr>
        <color rgb="FF1155CC"/>
        <u/>
      </rPr>
      <t>Pixel</t>
    </r>
    <r>
      <rPr/>
      <t xml:space="preserve"> </t>
    </r>
  </si>
  <si>
    <t>produit spécifique ?</t>
  </si>
  <si>
    <t>Design review</t>
  </si>
  <si>
    <t>Review design d'écrans pour checker la conformité avec les standards</t>
  </si>
  <si>
    <t>Pixel</t>
  </si>
  <si>
    <t>Abderrahmane Abdallahoum Gilles Lalyre</t>
  </si>
  <si>
    <t>Gilles</t>
  </si>
  <si>
    <t>Documentation et partage des analyses Data</t>
  </si>
  <si>
    <t>Génération automatique de la documentation des analyses des Data Analyses (en utilisant Bedrock dans une Github Action)
Partage du résumé de l'analyse en automatique dans Confluence et Slack (via n8n)</t>
  </si>
  <si>
    <t>P&amp;T - Business</t>
  </si>
  <si>
    <t>Visibilité des analyses
Gain de temps et clarté</t>
  </si>
  <si>
    <t>Développé sur GHA et n8n (instance de stagging)
Dispo ensuite ici #lbc-data-analyses-public</t>
  </si>
  <si>
    <t>Bedrock - n8n</t>
  </si>
  <si>
    <t>Entretien users</t>
  </si>
  <si>
    <t>Analyse des entretiens utilisateurs</t>
  </si>
  <si>
    <t>User research</t>
  </si>
  <si>
    <t>NotebookLM</t>
  </si>
  <si>
    <t>customGPT</t>
  </si>
  <si>
    <t xml:space="preserve">PPP Head of </t>
  </si>
  <si>
    <t>Automatisation de la génération du PPP des Crew &gt; Tribe</t>
  </si>
  <si>
    <t>Gilles Lalyre / Johana PAZ / Margaux Chenard</t>
  </si>
  <si>
    <t>PPP PM Challenger</t>
  </si>
  <si>
    <t>Aide à la rédaction du PPP + Challenge des PM pour optimisation de leur PPP</t>
  </si>
  <si>
    <t>Product Strat Challenger</t>
  </si>
  <si>
    <t>Se faire challenger sur la strat produit par un Product master</t>
  </si>
  <si>
    <t>Pauline MINARY</t>
  </si>
  <si>
    <t>Release note</t>
  </si>
  <si>
    <t>Automatisation de la génération des notes de version (release notes)</t>
  </si>
  <si>
    <t>UX Writing (Capello)</t>
  </si>
  <si>
    <t>Pouvoir demander de reformuler un texte en suivant les guidelines ux writing leboncoin</t>
  </si>
  <si>
    <t>Capello</t>
  </si>
  <si>
    <t>Jérémy/Gilles Lalyre</t>
  </si>
  <si>
    <t>Writing specs</t>
  </si>
  <si>
    <t>Rédaction et mise à jour des tickets Jira</t>
  </si>
  <si>
    <t>Gilles Lalyre</t>
  </si>
  <si>
    <t>P&amp;T</t>
  </si>
  <si>
    <t>Le GPT Storymatic existe , par contre reste à interfacer chatgpt avec JIRA pour ajouter des user stories</t>
  </si>
  <si>
    <t>Custom GPT: leboncoin spec scribe</t>
  </si>
  <si>
    <t>From Slack to production</t>
  </si>
  <si>
    <t>Soumettre des changements de wordings et éléments front basiques en prod</t>
  </si>
  <si>
    <t>Melanie Meng Eliott Lujan Abderrahmane Abdallahoum</t>
  </si>
  <si>
    <t>Publicité</t>
  </si>
  <si>
    <t>New biz</t>
  </si>
  <si>
    <t>Optimisation strategie</t>
  </si>
  <si>
    <t>definir une strategie d optimisation sur une campagne specifique. ex CTR, visibilite via une requete slack</t>
  </si>
  <si>
    <t>Franck Pantel / Nicolas Desplobins</t>
  </si>
  <si>
    <t>Mediatrading</t>
  </si>
  <si>
    <t xml:space="preserve">gain de temps une simple request dans slack afin de booster les KPIs d'une campagne specifique </t>
  </si>
  <si>
    <t>en attente de la vesion n8n prod, connexion slack ok</t>
  </si>
  <si>
    <t xml:space="preserve">-&gt; Insertion en BigQuery de la donnée (faire les vérifications du LI pour insertion ou trouver une méthode pour gérer la bonne insertion d'un LI)
</t>
  </si>
  <si>
    <t>- n8n (créer les scénarios et gérer les requêtes)
- chatgpt en api</t>
  </si>
  <si>
    <t>Base campagne request</t>
  </si>
  <si>
    <t xml:space="preserve">Via slack , on pourra requeter les informations de campagnes en cours avec les kPI souhaites </t>
  </si>
  <si>
    <t>Sales / traffic</t>
  </si>
  <si>
    <t xml:space="preserve">gain de temps une simple request dans slack afin d'obtenir les infos de campagnes precises. </t>
  </si>
  <si>
    <t>qq tests de fait , non priorise</t>
  </si>
  <si>
    <t>Savoir faire la connection GAM sur n8n afin de récupérer les informations de bases lineitems.</t>
  </si>
  <si>
    <t>Base Forecasting request</t>
  </si>
  <si>
    <t xml:space="preserve">Via slack, on pourra demander les potentiels inventaires sur une periode precise </t>
  </si>
  <si>
    <t>une simple request dans slack afin d'obtenir les potentiels sur un inventaire precis</t>
  </si>
  <si>
    <t>Je pense ici au final, il est péférable de rester sur notre interface forecast où cela sera beaucoup plus simple à gérer. Et on pourrait intégrer le 'vrai' forecast et pas une estimation sur les dernières jours/mois, etc..</t>
  </si>
  <si>
    <t>Base segment data request</t>
  </si>
  <si>
    <t>Via slack, on pourra demander les potentiels sur des segments data</t>
  </si>
  <si>
    <t>une simple request dans slack afin d'obtenir les tailles des segments</t>
  </si>
  <si>
    <t xml:space="preserve">-&gt; logique &gt; Récupérer la tailles des audiences
--&gt; On pourrait juste se connecter en API à gam et interroger cette dernière pour obtenir les volumes
Savoir faire la connection GAM sur n8n poujr la partie audience
</t>
  </si>
  <si>
    <t>interrogation base sales force</t>
  </si>
  <si>
    <t>infos clients par vertical, signature clients , niveau activite pour les sales</t>
  </si>
  <si>
    <t>franck pantel</t>
  </si>
  <si>
    <t>Sales / strat</t>
  </si>
  <si>
    <t>en cours mais bloque par le manque d'acces</t>
  </si>
  <si>
    <t>n8n, sales force, chat gpt</t>
  </si>
  <si>
    <t>chat gpt + sales force</t>
  </si>
  <si>
    <t>n8n (connection bases sales force)</t>
  </si>
  <si>
    <t xml:space="preserve">Historisation des optis </t>
  </si>
  <si>
    <t>Pouvoir retrouver l'entièreté des optis faites et voir une analyse</t>
  </si>
  <si>
    <t>Gain comprendre ce qu'a fait l'outils et pouvoir donner le pouvoir au traffick d'analyser</t>
  </si>
  <si>
    <t xml:space="preserve">en test , base sur la plateforme N8N en test. attente de la prod </t>
  </si>
  <si>
    <t>bigQuery.
chatGpt api
n8n</t>
  </si>
  <si>
    <t>Avoir les informations GAM qui remontent directement dans Monday (budget, trend... ?)</t>
  </si>
  <si>
    <t>Sales / AM / Mediatrading</t>
  </si>
  <si>
    <t>Permet de centraliser l'intégralité de nos données dans un seul outil - gain de temps pour la recherche</t>
  </si>
  <si>
    <t>L'IA est-elle nécessaire ?</t>
  </si>
  <si>
    <t>N8N ?</t>
  </si>
  <si>
    <t>ChatGPT + monday</t>
  </si>
  <si>
    <t>Trade</t>
  </si>
  <si>
    <t>Pouvoir demander un benchmark spécifique par format par catégories et par offre (EA ou Display)</t>
  </si>
  <si>
    <t>A déterminer côté Trade</t>
  </si>
  <si>
    <t>Gain de temps dans la recherche d'informations</t>
  </si>
  <si>
    <t>Spé tech</t>
  </si>
  <si>
    <t xml:space="preserve">La validation des spécs des formats reçus est chronophage et répétitive. Un agent paramétré par nos soins devrait pouvoir valider de façon rapide et claire les spécs d’un format et donner des indications précises en cas de corrections. 
Cet agent serait principalement utilisé par les mediatraders mais pourrait être mis en amont à la disposition des Sales.
</t>
  </si>
  <si>
    <t>Kelly Chomeau / Molka Saibi</t>
  </si>
  <si>
    <t>Gain de temps pour la programmation et les échanges clients</t>
  </si>
  <si>
    <t>Va être réalisé par les MT suite à la formation avec Himaya</t>
  </si>
  <si>
    <t>Pèse OI</t>
  </si>
  <si>
    <t>Deux OIs ne se valent pas en termes de complexité de programmation et de suivi.  Le monitoring de la charge et de la répartition de travail au sein de l'équipe Mediatrading ne devrait pas se baser sur une simple addition des OIs pilotés mais sur leurs niveaux de comlexité (et donc de temps passés). Nous étudions la possibilité de créer un Agent qui ingérerait un OI et, grâce aux paramétrages de notre prompt, donnerait une "note" de complexité à l'OI. Note qui serait reprotée sur Monday et affinerait le monitoring de la charge de travail des MTs.</t>
  </si>
  <si>
    <t>Feycal Bengana</t>
  </si>
  <si>
    <t>Permet de scorer un bon de commande afin d'évaluer sa complexité et de le prendre en compte dans les audits d'équipe</t>
  </si>
  <si>
    <t xml:space="preserve">Création de bilan de campagne </t>
  </si>
  <si>
    <t>Agent permettant d'éditer un bilan complet contenant les données avec un document pré-formaté aux couleurs de la régie</t>
  </si>
  <si>
    <t>Productivité : 20 à 30 min par bilan.</t>
  </si>
  <si>
    <t>Privacy consentless</t>
  </si>
  <si>
    <t xml:space="preserve">Afin de débloquer de l’inventaire en consentless tout en utilisant le format html5 (banni car pouvant contenir des trackers difficilement décelables), création d’un agent scannant les formats html5 et confirmant si leur utilisation est safe et donc possible ou non.
Mise en production de l’agent en attente de la validation du Légal.
Future utilisation : pour l’ensemble de l’équipe mediatrading en priorité (mais peut être ouvert plus largement si n écessaire)
</t>
  </si>
  <si>
    <t>Elodie Dixmier</t>
  </si>
  <si>
    <t>Gain d'inventaire et donc de productivité pour les MTs (alternative à la multiplication des optimisations nécessaires pour gérer la sous-livraison de certaines campagnes)</t>
  </si>
  <si>
    <t>En attente de la finalisation des CGV côté Privacy pour déploiement</t>
  </si>
  <si>
    <t>RDV Client agricole</t>
  </si>
  <si>
    <t>Ce dispositif permet d’arriver à un rendez-vous parfaitement préparé grâce à une analyse approfondie du prospect, de son environnement et de son profil, afin d’anticiper ses attentes et ses freins. Il aide ensuite à conduire un entretien structuré et impactant, en identifiant les besoins réels, en posant des questions pertinentes et en positionnant le commercial comme un partenaire stratégique plutôt qu’un simple vendeur.
Après le rendez-vous, il facilite l’analyse des échanges en mettant en lumière les enjeux, les non-dits et les opportunités commerciales, afin d’optimiser les chances de conversion. Enfin, il accompagne le suivi et le closing en structurant un plan d’action clair, en adaptant l’offre aux besoins du client et en proposant un message de relance efficace. L’ensemble est spécifiquement conçu pour les commerciaux du secteur du matériel professionnel.</t>
  </si>
  <si>
    <t>Florent Jouanneau</t>
  </si>
  <si>
    <t>Gain de temps pour la préparation en amont des RDV</t>
  </si>
  <si>
    <t>Assistant commercial pré-campagne EA</t>
  </si>
  <si>
    <t>Agent interne qui guide les équipes Sales et MT pas à pas pour obtenir le process d'activation exact d'une campagne média EA, selon la plateforme et l'objectif, avant lancement. Donne de l'autonomie aux Sales, réduit les sollicitations MTs et gain de temps en intervenant dès la prise de prise de brief</t>
  </si>
  <si>
    <t>https://chatgpt.com/g/g-69679b96ae3c81a49be65c9fd73065fa-lea-votre-copilote-pour-vendre-l-ea</t>
  </si>
  <si>
    <t>Molka Saibi</t>
  </si>
  <si>
    <t>Concrètement, pour le Sales, l’agent permet de :
- Qualifier une demande client sans dépendre du Médiatrader
- Anticiper les bloquants techniques (tracking, accès, créas, catalogues, formulaires, etc.)
- Collecter dès le brief commercial les bons éléments auprès du client
- Sécuriser le discours commercial avec des process réels et documentés
Valeurs pour le Sales : 
- Moins d’allers-retours avec les équipes Média Trading
- Moins de rework après la vente
- Moins de refus ou de retards au moment de l’activation
- Une vente plus fluide et plus crédible côté client</t>
  </si>
  <si>
    <t>-</t>
  </si>
  <si>
    <r>
      <rPr>
        <rFont val="Arial"/>
      </rPr>
      <t xml:space="preserve">Prez : </t>
    </r>
    <r>
      <rPr>
        <rFont val="Arial"/>
        <color rgb="FF1155CC"/>
        <u/>
      </rPr>
      <t>https://docs.google.com/presentation/d/1d793Js5IHi9Nmedvb7jGaEbU0Dmm2wIJ_NTGrqnNbAU/edit?slide=id.g3d05b199339_0_3020#slide=id.g3d05b199339_0_3020</t>
    </r>
  </si>
  <si>
    <t>Assistant Régie pub leboncoin "Neo"</t>
  </si>
  <si>
    <t>Il s'agit d'un notebook structuré qui centralise l'ensemble de nos ressources opérationnelles sur les solutions publicitaires leboncoin. Concrètement, c'est une base de connaissances interactive, pensée pour répondre aux briefs clients de A à Z, sans avoir à chercher dans dix fichiers différents. Il fonctionne comme un agent gpt mais qui n'hallucine jamais.</t>
  </si>
  <si>
    <t>https://notebooklm.google.com/notebook/e4394101-e9fb-4eef-96aa-512e7ce262f3/preview</t>
  </si>
  <si>
    <t>Sara Tabi</t>
  </si>
  <si>
    <t>Gagner du temps, éviter les approximations techniques, et monter en puissance sur nos recommandations clients.</t>
  </si>
  <si>
    <t>Segments DATA "Lebonsegment"</t>
  </si>
  <si>
    <t>Transformer un brief annonceur en recommandations de ciblage data, en mettant en avant les segments les plus adaptés aux objectifs de campagne ainsi que le volume de users associé.</t>
  </si>
  <si>
    <t>https://chatgpt.com/g/g-69c3f20a4c2081a4b780c08b74e4bcc2-lebonsegment</t>
  </si>
  <si>
    <t>Jérémy Le Bris</t>
  </si>
  <si>
    <t>Gain de temps et recommandations + pertinentes</t>
  </si>
  <si>
    <t>Analyse des bilans de campagnes en extension d'audience</t>
  </si>
  <si>
    <t>Un assistant GPT pour l'analyse des bilans de campagnes EA (extension d'audience). Le prompt détaillé est déjà intégré dans l'assistant, le MT n'a plus qu'à uploader le bilan et donner des informations propres à sa campagne pour obtenir une analyse.</t>
  </si>
  <si>
    <t>https://chatgpt.com/g/g-68c1ac6aee5081a4802039e023983fdf-mt-assistant-bilans-ea</t>
  </si>
  <si>
    <t>Productivité : gain de temps considérable gagné sur l'analyse et la proposition de pistes d'optimisations et de recommandations. Pas besoin de copier/coller le prompt, il est déjà intégré.</t>
  </si>
  <si>
    <t>Analyse des bilans de campagnes display</t>
  </si>
  <si>
    <t>Un assistant GPT pour l'analyse des bilans de campagnes display. Le prompt détaillé est déjà intégré dans l'assistant, le MT n'a plus qu'à uploader le bilan et donner des informations propres à sa campagne pour obtenir une analyse.</t>
  </si>
  <si>
    <t>https://chatgpt.com/g/g-687f3e4cc7b881a4bcdd3a46f0731cab-mediatrading-assistant-bilans</t>
  </si>
  <si>
    <t>Chat GPT</t>
  </si>
  <si>
    <t>Assistant exemples de prog</t>
  </si>
  <si>
    <t>Un assistant GPT qui envoie des liens de programmation pour exemple de certains formats (Habillage &amp; Interstitiel Video, Godzilla...)</t>
  </si>
  <si>
    <t>https://chatgpt.com/g/g-687f595dc3e481a49901fabd5c97e862-mt-assistant-exemples-de-programmation</t>
  </si>
  <si>
    <t>Productivité : gain de temps car plus besoin de solliciter les équipes via Slack pour que quelqu'un partage son exemple de programmation et attendre une réponse qui nous bloque pour avancer. Tous les exemples sont regroupés dans l'assitant.</t>
  </si>
  <si>
    <t>Relations clients</t>
  </si>
  <si>
    <t>Project &amp; tooling</t>
  </si>
  <si>
    <t>Analyse des search sans resultats</t>
  </si>
  <si>
    <t>Aujourd'hui, nous avons un dashboard explore qui remonte toutes les recherches dans résultats du centre d'aide. On parle de 500 à 600 demandes par semaines. Un rapport est fait tous les 6 mois sur une semaine test en raison de la quantité de données à traiter à la main. L'IA permettrai de faire ce rapport avec une fréquence plus rapprochée, et donc d'obrenir des résultats plus fiables. Les résultats de ces rapports peuvent aider à la rédaction des articles, pour en créer de nouveaux ou améliorer les mots clés de recherches pour faciliter le self service</t>
  </si>
  <si>
    <t>Mathilde Morel</t>
  </si>
  <si>
    <t>PMO Customer care
Chargée 
Business Process &amp; Admin Manager
Ces informations sont parfois communiquées aux équipes produits</t>
  </si>
  <si>
    <t xml:space="preserve">Aujourd'hui, ce reporting prends jusqu'à 1,5 à 2 jours de travail pour analyser une semaine de data. </t>
  </si>
  <si>
    <t>Tests  réalisés avec premiers résultats très interessants. Live. Réduction de moitié du temps passé</t>
  </si>
  <si>
    <t>Rapport -&gt; non IA
Aide à la rédaction des articles -&gt; ChatGPT</t>
  </si>
  <si>
    <t>Service Client</t>
  </si>
  <si>
    <t xml:space="preserve">Assistant Site Le bon Coin </t>
  </si>
  <si>
    <t xml:space="preserve">Connecter ChatGPT sur les CGV, CGU et les RDD </t>
  </si>
  <si>
    <t>Lydie LEVENT</t>
  </si>
  <si>
    <t xml:space="preserve">L'ensemble des équipes de la RC </t>
  </si>
  <si>
    <t xml:space="preserve">Réduction du temps consacré à chercher le bon paragraphe ou la bonne information juridique à mettre en avant dans une réponse 
</t>
  </si>
  <si>
    <t>Assistant Jurique fiable à 50% 
Tests Maître Coin effectués et partagés le 23/02 &gt; suite échange avec le juridique de nouveaux tests seront effectués en S10/S11</t>
  </si>
  <si>
    <t>Scaled Operations</t>
  </si>
  <si>
    <t>CR de réunions</t>
  </si>
  <si>
    <t xml:space="preserve">En tant que manager j'ai en moyenne 15 réunions hebdomadaires, ma priorité est de capturer les décisions et actions, puis d'assurer leur suivi. Ce travail me prend 20h/semaine en plus des réunions. Je dois soit déléguer la prise de notes et le suivi, soit accepter une baisse d'efficacité dans l'exécution des décisions. Ma proposition : activer la transcription systématiquement et mettre en place un prompt pour formaliser mes CR (fond, forme, logique) et inclure dans le CR la formalisation des tâches à réaliser (owner + échéance). </t>
  </si>
  <si>
    <t>Cecile Polard</t>
  </si>
  <si>
    <t>Manager / responsable d'activité / superviseur (potentiellement plus : chargés projet, chargés de prod, chargés de processus - avec estimation à faire)</t>
  </si>
  <si>
    <t>20H par semaine &gt;&gt; 4h par semane = 16h gagnées par semaine par personne (première estimation de Cécile, à affiner en tenant compte du volume de réunions moyen si population étendue)</t>
  </si>
  <si>
    <t xml:space="preserve">Test lancé sur Scaled Ops et prompt partagé à tous les managers de la RC pour tester. 
Idée d'amélioration du cas d'usage : déclencher la transcription de chaque réunion en automatique, puis déclencher la formalisation automatique du CR sur la base du prompt défini et extraire automatiquement les actions avec les assignations de responsables et les transfère vers les outils de gestion de projet appropriés (comme Monday).
</t>
  </si>
  <si>
    <t>Gemini + GPT pour le CR</t>
  </si>
  <si>
    <t>Gemini + GPT</t>
  </si>
  <si>
    <t>Estimation de costs Formation initiale &amp; ramp-up d'activités périodiques</t>
  </si>
  <si>
    <t>Avec pour objectif de modéliser budgétairement des activités et afin de respecter les contraintes contractuelles, il est possible d'utiliser l'IA afin de construire une estimation financière spécifique selon différents paramètres. Cela permet de gagner un temps non négligeable et de vérifier la faisabilité budgétaire rapidement.</t>
  </si>
  <si>
    <t>Quentin Michalik</t>
  </si>
  <si>
    <t>Customer Relationship Director, Responsable partenaires, Chargé de perf</t>
  </si>
  <si>
    <t>Gain sur utilisation des scénarios et jonglage entre les matrices minimisé.</t>
  </si>
  <si>
    <r>
      <rPr>
        <rFont val="Arial"/>
        <b/>
        <color theme="1"/>
      </rPr>
      <t>24 mars:</t>
    </r>
    <r>
      <rPr>
        <rFont val="Arial"/>
        <color theme="1"/>
      </rPr>
      <t xml:space="preserve"> en cours (ChatGPT + Appscrit) - succession de tests - cas d'école avril/mai pour tester avec un cas concret - pas besoin d'aide - en cours</t>
    </r>
  </si>
  <si>
    <t>En indiquant avec précision les bons paramètres, l'IA offre une bonne estimation des couts. La sensibilité du sujet nécessite néanmoins une vérification manuelle.</t>
  </si>
  <si>
    <t>Fraude &amp; modération</t>
  </si>
  <si>
    <t>Assistant Guide de Modération</t>
  </si>
  <si>
    <t>Connecter ChatGPT directement au guide de modération sur LUMAPP.
Objectif
Permettre aux modérateurs d’interroger ChatGPT de façon simple et rapide afin d’obtenir :
une recherche guidée et simplifiée des règles de modération ;
des réponses contextualisées directement basées sur le guide officiel ;
une réduction du temps de recherche d’informations précises dans la documentation.</t>
  </si>
  <si>
    <t>Benjamin MEGIE</t>
  </si>
  <si>
    <t>L'ensemble des collaborateurs côté Modé et SC</t>
  </si>
  <si>
    <t>Gain de temps dans la prise de décision.
Amélioration de la qualité et de l’homogénéité des modérations.
Diminution des erreurs ou des interprétations divergentes grâce à une assistance instantanée.</t>
  </si>
  <si>
    <r>
      <rPr>
        <rFont val="Arial"/>
        <color theme="1"/>
      </rPr>
      <t xml:space="preserve">Mayday va couvrir solution trouvée (testing à faire notamment) - Avril target
</t>
    </r>
    <r>
      <rPr>
        <rFont val="Arial"/>
        <b/>
        <color theme="1"/>
      </rPr>
      <t>24 mars</t>
    </r>
    <r>
      <rPr>
        <rFont val="Arial"/>
        <color theme="1"/>
      </rPr>
      <t>: check Juliette Patry avec Cécile sur la target - pas besoin d'aide
26 mars : tests IA en cours, déploiement non démarré. Pas de point bloquant.</t>
    </r>
  </si>
  <si>
    <t>Besoin de cadrer le sujet avec un dev (n8n possible ?) &gt; c'est ce qui avait été évoqué en atelier</t>
  </si>
  <si>
    <t>chatGPT/n8n (Confluence + Lumapp)</t>
  </si>
  <si>
    <t>Données techniques dans nos modules</t>
  </si>
  <si>
    <t>Durant l'écriture de nos modules, nous devons souvent utilisés des données techniques du genre regex assez complexes</t>
  </si>
  <si>
    <t>Brahim Boukhriss</t>
  </si>
  <si>
    <t xml:space="preserve">Fraud Analyst </t>
  </si>
  <si>
    <t>Réduction du temps consacré à l'écriture technique</t>
  </si>
  <si>
    <t xml:space="preserve">Mayday - outil IA pour accompagner les agents </t>
  </si>
  <si>
    <t xml:space="preserve">mise en place d'un outil de knowledge augmenté afin de proposer par ex sur les tickets Zendesk le processus adapté et appliquer la macro directement, mest à dispo des arbres de décision ainsi qu'une académie de formation augmentée </t>
  </si>
  <si>
    <t>Tous les agents internes et externes (250 personnes)</t>
  </si>
  <si>
    <r>
      <rPr>
        <rFont val="Arial"/>
        <color theme="1"/>
      </rPr>
      <t xml:space="preserve">Déploiement en cours depuis janvier
</t>
    </r>
    <r>
      <rPr>
        <rFont val="Arial"/>
        <b/>
        <color theme="1"/>
      </rPr>
      <t>24 mars</t>
    </r>
    <r>
      <rPr>
        <rFont val="Arial"/>
        <color theme="1"/>
      </rPr>
      <t>: dernier scope doit être ouvert d'ici mi-avril target pour le passer en done - pas besoin d'aide
26 mars : tout le scope SC live depuis mi mars</t>
    </r>
  </si>
  <si>
    <t>Mayday</t>
  </si>
  <si>
    <t>Oui quand le déploiement sera fini</t>
  </si>
  <si>
    <t>Outil Qualité Service Client</t>
  </si>
  <si>
    <t xml:space="preserve">Outil d'évaluation qualité sur les traitements du SC, avec analyses par l'IA sur des critères d'évaluation promptés. </t>
  </si>
  <si>
    <t>Carine RINALDI</t>
  </si>
  <si>
    <t>4 chargés de qualité</t>
  </si>
  <si>
    <t>Permettra d'évaluer l'intégralité des tickets du SC sur certains critères (vs une petite proportion de pickings actuellement) afin d'avoir une meilleure visibilité sur la qualité globale et mettre rapidement en place des actions correctives si nécessaire.</t>
  </si>
  <si>
    <r>
      <rPr>
        <rFont val="Arial"/>
        <color theme="1"/>
      </rPr>
      <t xml:space="preserve">Déploiement en cours depuis janvier
En attente Zendesk qui met à disposition quelqu'un la smaine prochaine 
</t>
    </r>
    <r>
      <rPr>
        <rFont val="Arial"/>
        <b/>
        <color theme="1"/>
      </rPr>
      <t>24 mars:</t>
    </r>
    <r>
      <rPr>
        <rFont val="Arial"/>
        <color theme="1"/>
      </rPr>
      <t xml:space="preserve"> outil déjà actif sur la partie manuelle - sur la partie automatique en attente de Zendesk - escalade en cours pour changer d'interlocuteur car pas au niveau - retour en attente (cette semaine?)</t>
    </r>
  </si>
  <si>
    <t>Zendesk Quality Analytics</t>
  </si>
  <si>
    <t>Analyse verbatims de la Csat mensuelle vs trimestrielle avant</t>
  </si>
  <si>
    <t>Analyse par l'IA des verbatims clients recueillis grâce à l'enquête CSAT, mettant en évidence les principales sources d'insatisfaction.</t>
  </si>
  <si>
    <t>Equipe qualité SC (4)</t>
  </si>
  <si>
    <t>Pour le même effort de production, capacité à produire les rapports mensuellement versus trimestriellement</t>
  </si>
  <si>
    <r>
      <rPr>
        <rFont val="Arial"/>
        <b/>
        <color theme="1"/>
      </rPr>
      <t>24 mars</t>
    </r>
    <r>
      <rPr>
        <rFont val="Arial"/>
        <color theme="1"/>
      </rPr>
      <t>: live</t>
    </r>
  </si>
  <si>
    <t>Partenaires</t>
  </si>
  <si>
    <t>Automatisation des reportings</t>
  </si>
  <si>
    <t>Remplissage automatique des différents reportings de prod et qualité grâce à l'outil Appscript</t>
  </si>
  <si>
    <t>Appscript</t>
  </si>
  <si>
    <t>Laurent Dimatera</t>
  </si>
  <si>
    <t>RC</t>
  </si>
  <si>
    <t>Plusieurs heures par semaine (déjà 4h sur la partie contrôle qualité)</t>
  </si>
  <si>
    <r>
      <rPr>
        <rFont val="Arial"/>
        <b/>
        <color theme="1"/>
      </rPr>
      <t>24 mars:</t>
    </r>
    <r>
      <rPr>
        <rFont val="Arial"/>
        <color theme="1"/>
      </rPr>
      <t xml:space="preserve"> live depuis 3 semaines </t>
    </r>
  </si>
  <si>
    <t>Assistant FAQ</t>
  </si>
  <si>
    <t xml:space="preserve">Connecter ChatGPT à la FAQ </t>
  </si>
  <si>
    <t>Lydie Levent</t>
  </si>
  <si>
    <t xml:space="preserve">Gagner du temps dans la recherche d'une information sur la FAQ, ce qui permettrait d'augmenter son taux d'utilisation qui est assez faible côté partenaire </t>
  </si>
  <si>
    <t>https://chatgpt.com/g/g-69a1afcc74a481a48bb3bb7d578c74ce-professeur-lbc</t>
  </si>
  <si>
    <t>Comm' hebdo RC</t>
  </si>
  <si>
    <t>Automatiser la création de notre communication hebdo intra RC (avancement des projets, MEP, actu...) sur la base du PPP</t>
  </si>
  <si>
    <t>Juliette Patry</t>
  </si>
  <si>
    <t>4 collaborateurs des équipes support</t>
  </si>
  <si>
    <t>Gain de 15 min par personne par semaine (soit 1H hebdo)</t>
  </si>
  <si>
    <t>Assistant GPT</t>
  </si>
  <si>
    <t>Low risk si le contenu généré est revu avant d'être utilisé/envoyé</t>
  </si>
  <si>
    <t>Tooling and prject / Scaled Ops</t>
  </si>
  <si>
    <t>Challenger le contenu des articles FAQ</t>
  </si>
  <si>
    <t>Aujourd'hui, nous faisons une compéltion et revue manuelle du contenu de la FAQ. L'IA pourrait nous aider à identifier les articles qui performent le mieux, les tournures de phrase à améliorer, les trous dans la raquette, le contenu redondant ou incohérent...</t>
  </si>
  <si>
    <t>Gain de temps : diviser par 2 le temps de rédaction et d'analyse des performances</t>
  </si>
  <si>
    <t>GPT / n8n</t>
  </si>
  <si>
    <t>Analyse demandes clients sur les Stores</t>
  </si>
  <si>
    <t>Réaliser une synthèse hebdo des remontées clients sur les Stores Android et IOS</t>
  </si>
  <si>
    <t>Nicolas Doré</t>
  </si>
  <si>
    <t>Managers RC</t>
  </si>
  <si>
    <t>Auparavant cette démarche était réalisée manuellement. Gain de temps 30 mn / semaine avec cette synthèse Chat GPT qui intégrera l'intégralité des demandes clienis de la semaine</t>
  </si>
  <si>
    <t>Analyse des besoins Roadmap</t>
  </si>
  <si>
    <t>Lors de la remontée des besoins pour la roadmap, les demandes sont souvent exprimées sous forme de problèmes spécifiques accompagnés de propositions de solutions. Cela conduit à une liste de besoins variés, traités individuellement. L’utilisation de l’IA pourrait permettre de regrouper et d’analyser ces demandes afin d’identifier des thématiques récurrentes, de définir des priorités et d’élaborer une vision cohérente à court, moyen et long termes. L’objectif serait de faciliter l’articulation des besoins d’un trimestre à l’autre et de favoriser leur alignement avec les orientations stratégiques.</t>
  </si>
  <si>
    <t>Les managers de la RC et leur sup (toutes personne qui remonte des besoins roadmap)
+ l'équipe projet qui gère la priorisation et remonté des besoins</t>
  </si>
  <si>
    <t>Gain de temps sur la préparation de la remonté des besoins roadmap, amélioration de la pertinence des besoins remontés, identification de problématiques à plus forte valeur ajoutée et donc potentiellement gain de temps de traitement, de facturation et économie sur plusieurs sujet selon le scope</t>
  </si>
  <si>
    <t xml:space="preserve">A tester avec Chat GPT, les résultats avec Ada étaient satisfaisants mais je pense que nous pouvons faire mieux et à discuter avec les managers </t>
  </si>
  <si>
    <t>Analyse verbatims Csat</t>
  </si>
  <si>
    <t>Synthèse argumentée de l'ensemble des verbatims clients récoltés dans les enquêtes de satisfaction</t>
  </si>
  <si>
    <t>Carine Rinaldi</t>
  </si>
  <si>
    <t>Gain de temps pour analyser et synthétiser les verbatims clients = passer de 2 à 3 jours à 1H avant mise en forme</t>
  </si>
  <si>
    <t>n8n (GDrive/MIM?)</t>
  </si>
  <si>
    <t>Assistant expression de besoins</t>
  </si>
  <si>
    <t>Dès lors qu'un besoin métier / opérationnel /outil émerge, une expression de besoins doit être formalisée. Cette étape prend du temps car faite manuellement et aujourd'hui les expressions de besoins ne sont pas toujours du même niveau / formalisées de la même manière et sont très souvent incomplètes (pas de KPI, remontée de solution vs besoin, etc)</t>
  </si>
  <si>
    <t>Juliette PATRY</t>
  </si>
  <si>
    <t>chef de projet, chargé de processus, manager/superviseur, autre</t>
  </si>
  <si>
    <t>Réduire de 50% le temps de formalisation des EB. Avoir 90% des informations nécessaires/pré-requis dans chaque EB</t>
  </si>
  <si>
    <t>En test</t>
  </si>
  <si>
    <t>Gestion macros</t>
  </si>
  <si>
    <t>Automatiser la mise à jour des outils (monday, com...) de gestion des macros en cas de création et modification</t>
  </si>
  <si>
    <t>Théo Caviale</t>
  </si>
  <si>
    <t>chargés de processus (3 personnes)</t>
  </si>
  <si>
    <t>Gain de 2 min par macro</t>
  </si>
  <si>
    <r>
      <rPr>
        <rFont val="Arial"/>
        <color theme="1"/>
      </rPr>
      <t xml:space="preserve">Pas vu Cécile 
</t>
    </r>
    <r>
      <rPr>
        <rFont val="Arial"/>
        <b/>
        <color theme="1"/>
      </rPr>
      <t>24 mars:</t>
    </r>
    <r>
      <rPr>
        <rFont val="Arial"/>
        <color theme="1"/>
      </rPr>
      <t xml:space="preserve"> Peu de gain - pas prio? - Juliette Patry check 
Sujet arbitré, pas de valeur donc ne sera pas fait</t>
    </r>
  </si>
  <si>
    <t>6/02 différents outils qui sont mis à jour pour Chaque macro =&gt; indiquer à l'autre outils -&gt; RC rediscuter le besoin avec Cécile</t>
  </si>
  <si>
    <t>Mesures // Attributs personnalisés ZD</t>
  </si>
  <si>
    <t xml:space="preserve">Créer des KPI ou des filtres personnalisés en ZQL afin d'affiner la précision de nos KPI, essentiellement ceux contractuels en N1. L'IA permet de s'affranchir de l'apprentissage du langage et de directement demander la rédaction de blocs de code à partir de prompts définis. </t>
  </si>
  <si>
    <t>Chargé de perf, Responsable partenaire, Admin zendesk, Chargés de partenaires.</t>
  </si>
  <si>
    <t>Gain sur viabilité des KPI et informations facturables.
Légitimité du modèle de monitoring des datas.</t>
  </si>
  <si>
    <r>
      <rPr>
        <rFont val="Arial"/>
        <b/>
        <color theme="1"/>
      </rPr>
      <t>24 mars</t>
    </r>
    <r>
      <rPr>
        <rFont val="Arial"/>
        <color theme="1"/>
      </rPr>
      <t>: pas prio tout de suite versus autre use case en cours (cf. formation initiale)</t>
    </r>
  </si>
  <si>
    <t xml:space="preserve">Prompt à tester sur des uses case spécifiques afin de cibler le challenge de certaines mesures personnalisées dans un premier temps.
Par la suite, à développer sur des indicateurs en interne.
6/02 Revenir vers Jérémy </t>
  </si>
  <si>
    <t>n8n + connecteur zendesk</t>
  </si>
  <si>
    <t>Chattermill</t>
  </si>
  <si>
    <t xml:space="preserve">Analyse mensuelle pour le Comex portant sur l'évolution des thèmes abordés dans les échanges avec le SC, du score du "net sentiment" des utilisateurs durant les échanges, et des principaux irritants. Analyses ponctuelles ciblées sur des thèmes spécifiques. </t>
  </si>
  <si>
    <t>Déployé depuis 2024</t>
  </si>
  <si>
    <t>Optimiser le reporting dans Monday</t>
  </si>
  <si>
    <t xml:space="preserve">Le suivi des projets dans Monday peut être très chronophage. 
Toute automatisation de cette tâche aiderait beaucoup à réduire ce temps. 
Par exemple, il serait possible de lier Monday et la suite google pour mettre à jour les statuts, créer des tâches, ajouter des comptes-rendus, etc... de manière automatique dans Monday. </t>
  </si>
  <si>
    <t>Elodie BAUDIN</t>
  </si>
  <si>
    <t>chef de projet, CDP, chargé de prod... toute personne étant amenée à suivre ses sujets dans Monday</t>
  </si>
  <si>
    <t>gestion optimisée du temps permettant de se concentrer sur des tâches à forte valeur ajoutée humaine, contrairement aux activités de reporting qui en présentent moins.
20 minutes / jour / personne concernée</t>
  </si>
  <si>
    <r>
      <rPr>
        <rFont val="Arial"/>
        <b/>
        <color theme="1"/>
      </rPr>
      <t>24 mars</t>
    </r>
    <r>
      <rPr>
        <rFont val="Arial"/>
        <color theme="1"/>
      </rPr>
      <t xml:space="preserve">: pas d'avancement - arrêt maladie </t>
    </r>
  </si>
  <si>
    <t>6/02 Mise à jour des outils de travail =&gt; si pas de connecteur qui permet de lier Monday avec le reste on a un pb
18/02 En attente de savoir comment faire</t>
  </si>
  <si>
    <t>n8n (GDrive + Monday access)</t>
  </si>
  <si>
    <t>Chatbot sur le centre d'aide</t>
  </si>
  <si>
    <t>Mise en place d'un chatbot permettant de répondre en temps réel aux utilisateurs et de limiter la création de tickets à gérer manuellement par le Service Client</t>
  </si>
  <si>
    <t>Tous les utilisateurs connectés du boncoin</t>
  </si>
  <si>
    <t>Réduire de 15% le nombre de tickets entrants</t>
  </si>
  <si>
    <t xml:space="preserve">Déployé depuis mi-janvier, sur les inputs de la base de connaissance uniquement. A partir de Q2, chatbot enrichi avec des informations utilisateurs (API TRX et classified) </t>
  </si>
  <si>
    <t xml:space="preserve">Chatbot IA Zendesk </t>
  </si>
  <si>
    <t>Oui</t>
  </si>
  <si>
    <t xml:space="preserve">creer le one pager agent </t>
  </si>
  <si>
    <t>afin de donner la visibilité à la DRC, automatisation  de la création d'une one pager à partir du PPP</t>
  </si>
  <si>
    <t>Collab DRC</t>
  </si>
  <si>
    <t>faire une synthèse du débreif comex</t>
  </si>
  <si>
    <t>à partir des commentaires sur le débreif comex et le support créer une version digeste pour tous niveaux</t>
  </si>
  <si>
    <t>créer un linéaire de formation</t>
  </si>
  <si>
    <t>Conçois et structure des programmes de formation linéaires, opérationnels et prêts à l’emploi, avec un déroulé horaire précis, des contenus de slides copy-paste et des supports formateur adaptés à un public professionnel</t>
  </si>
  <si>
    <t xml:space="preserve">formateurs </t>
  </si>
  <si>
    <t xml:space="preserve">crtique d'une formation </t>
  </si>
  <si>
    <t>Analyser un module de formation, en structurer les contenus, identifier les points forts et les axes d’amélioration, et évaluer son efficacité pédagogique</t>
  </si>
  <si>
    <t>Chatbot RH - collaborateurs</t>
  </si>
  <si>
    <t>Identifier les cases 'simples' les plus fréquents adressés à l'équipe Paie, HRBP, TA et Ops et permettre au collaborateur d'avoir des réponses directes à ce propos</t>
  </si>
  <si>
    <t xml:space="preserve">25/02 : Siit RH - Délivré en fin Q2
22/04: démission Selma - en attente </t>
  </si>
  <si>
    <t>Implémentation via Siit =&gt; amélioration en cours des réponses générées via IA</t>
  </si>
  <si>
    <t>chat gpt + documentation RH associée (drive spécifique)</t>
  </si>
  <si>
    <t>Chatbot RH équipe</t>
  </si>
  <si>
    <t>Solliciter le chatbot pour avoir des réponses spécifiques sur les dossiers employées  (IA associée à Drive pour recherche d’un historique)</t>
  </si>
  <si>
    <t>Paul Etienne/
Jérémy SMADJA</t>
  </si>
  <si>
    <t xml:space="preserve">25/02: en attente de la nomenclature (Karine côté Paye + Chaineze côté RH) - en attente définition date cible 
22/04: en pause - pas de bande passante - en attente point Soria </t>
  </si>
  <si>
    <t>chat gpt + Drive RH</t>
  </si>
  <si>
    <t>chatGPT (GDrive)</t>
  </si>
  <si>
    <t>HRBP</t>
  </si>
  <si>
    <t>Chatbot RRH</t>
  </si>
  <si>
    <t xml:space="preserve">Generation de courriers disciplinaire RH à partir de notre template </t>
  </si>
  <si>
    <t>25/02: fin mars 
22/04: done</t>
  </si>
  <si>
    <t>Chat gpt + templates courrier</t>
  </si>
  <si>
    <t>TA</t>
  </si>
  <si>
    <t>Feedback</t>
  </si>
  <si>
    <t>Feedback structuré au candidat</t>
  </si>
  <si>
    <t>Paul Etienne</t>
  </si>
  <si>
    <t>22/04: cadre légal à confirmé en prérequis</t>
  </si>
  <si>
    <t>Chat gpt + scorecard HM interviews</t>
  </si>
  <si>
    <t>HR Admin</t>
  </si>
  <si>
    <t xml:space="preserve">Génération contrats et avenant </t>
  </si>
  <si>
    <t>Sur la base des template, creation d'un contrat et/ou un avenant  au contrat de travail</t>
  </si>
  <si>
    <t>https://github.mpi-internal.com/leboncoin/google-super-publipostage</t>
  </si>
  <si>
    <t>Google App Script</t>
  </si>
  <si>
    <t>Job Description</t>
  </si>
  <si>
    <t>Harmonisation des Job descriptions</t>
  </si>
  <si>
    <t>Paul Etienne/Jérémy SMADJA</t>
  </si>
  <si>
    <t>25/02: Récupère les job descs en ligne pour identifier via la norme iso pour identifier ce qu'il manque =&gt; blocker méfiance + stimulant mentalement</t>
  </si>
  <si>
    <t>re-scraper les jobs annoncés publiquement et recheck (diversité, harmonisation) =&gt; highlight des problèmes (check leboncoin corporate = source de vérité)</t>
  </si>
  <si>
    <t>Chat gpt + drive avec ancienne JD</t>
  </si>
  <si>
    <r>
      <rPr/>
      <t>chatGPT "</t>
    </r>
    <r>
      <rPr>
        <color rgb="FF1155CC"/>
        <u/>
      </rPr>
      <t>RH Job Checker</t>
    </r>
    <r>
      <rPr/>
      <t>"</t>
    </r>
  </si>
  <si>
    <t>Low risk si contenu revu avant d'être utilisé</t>
  </si>
  <si>
    <t xml:space="preserve">Kick off meetings </t>
  </si>
  <si>
    <t>Génération d'une template de scorecard à partir de kick off meeting &amp; de la job description</t>
  </si>
  <si>
    <t xml:space="preserve">25/02: GPT existant, à affiner : deadline 15/03
22/04: à cascader à l'équipe </t>
  </si>
  <si>
    <r>
      <rPr/>
      <t>voir customGPT: "</t>
    </r>
    <r>
      <rPr>
        <color rgb="FF1155CC"/>
        <u/>
      </rPr>
      <t>The Profiler</t>
    </r>
    <r>
      <rPr/>
      <t>"</t>
    </r>
  </si>
  <si>
    <t>Chat gpt + kick off meeting</t>
  </si>
  <si>
    <t>Scorecard generation</t>
  </si>
  <si>
    <t>Générer une scorecard structurée à partir des notes du recruteur et faire une ossature compentency-based</t>
  </si>
  <si>
    <t>22/04: Test en cours avec Martin - deadline 27/04 validation finale - prévu design + tech + business + support</t>
  </si>
  <si>
    <r>
      <rPr/>
      <t>voir customGPT: "</t>
    </r>
    <r>
      <rPr>
        <color rgb="FF1155CC"/>
        <u/>
      </rPr>
      <t>The Profiler</t>
    </r>
    <r>
      <rPr/>
      <t>"</t>
    </r>
  </si>
  <si>
    <t>Paie</t>
  </si>
  <si>
    <t>Veille Juridique</t>
  </si>
  <si>
    <t>Agents pour réaliser une veille concernant le sujets paie</t>
  </si>
  <si>
    <t>chat gpt + connecteurs à des sites externes (legifrance, sites législatifs) + drive avec documentation RH spécifique</t>
  </si>
  <si>
    <t>Exit Interview analyse</t>
  </si>
  <si>
    <t xml:space="preserve">Definir les tendances generales des raisons des departs des nos collaborateurs </t>
  </si>
  <si>
    <t>Odile Perrin</t>
  </si>
  <si>
    <t>22/04: en attente retour sécu Data studio</t>
  </si>
  <si>
    <t xml:space="preserve">Analyse KPI RH </t>
  </si>
  <si>
    <t>Creation de dashboard de suivi des KPI HRBP</t>
  </si>
  <si>
    <t>22/04: validation par Jérémy de la faisabilité par Data studio &amp; en attente du retour sécu avant tentative côté RH avec l'aide de Jérémy</t>
  </si>
  <si>
    <t>AI validation and fix on Pull Request</t>
  </si>
  <si>
    <t>Validation et correction des Pull request par une IA en cas de rejet</t>
  </si>
  <si>
    <t>Clement Delpech</t>
  </si>
  <si>
    <t>Dev</t>
  </si>
  <si>
    <t>n8n (code) / produit ?</t>
  </si>
  <si>
    <t>Aide SQL</t>
  </si>
  <si>
    <t>Bot permettant de créer ou optimiser des requêtes sql</t>
  </si>
  <si>
    <t>Frédéric Prost</t>
  </si>
  <si>
    <t>On a pas trop avancé dessus, on commence sur le sujet. (J. Lubin, 24/04)</t>
  </si>
  <si>
    <t>Chatbot pour aider à optimiser des requêtes SQL sur la base de documents de supports SQL =&gt; Low risk si le résultat généré est revu avant utilisation</t>
  </si>
  <si>
    <t>Analyse de commentaires utilisateurs sur plateforme externe (type totalbug)</t>
  </si>
  <si>
    <t>Extraction et analyse des commentaires utilisateurs sur des sites type totalbug, classification (domaine, pertinence, severity) puis clusterisation afin de détecter des problèmes sur la plateforme.</t>
  </si>
  <si>
    <t>Ludovic Vielle</t>
  </si>
  <si>
    <t>Gain de temps (fait manuellement aujourd'hui)
Gain d'efficacité (analyse exhaustive difficile manuellement)</t>
  </si>
  <si>
    <t>Manque de temps et difficulté à définir le usecase précisement pour le crew paymen</t>
  </si>
  <si>
    <t>Gerrit AI Code Review</t>
  </si>
  <si>
    <r>
      <rPr/>
      <t xml:space="preserve">Review de code assisté par IA grâce au </t>
    </r>
    <r>
      <rPr>
        <color rgb="FF1155CC"/>
        <u/>
      </rPr>
      <t>plugin</t>
    </r>
    <r>
      <rPr/>
      <t xml:space="preserve"> Gerrit que veut mettre en place FXP, mais il leur faudrait une interconnexion par exemple avec LiteLLM car il ne supporte pas Bedrock</t>
    </r>
  </si>
  <si>
    <t>Jérémy Smadja</t>
  </si>
  <si>
    <t>Amélioration de la qualité du code et gain de temps</t>
  </si>
  <si>
    <t>Remonté par Romain Louvet</t>
  </si>
  <si>
    <t>LiteLLM</t>
  </si>
  <si>
    <t>En attente contrats N8N et Lite LLM</t>
  </si>
  <si>
    <t>Pull Request Score Complexity</t>
  </si>
  <si>
    <t>Auto-valider une PR en fonction du score de complexité.</t>
  </si>
  <si>
    <t>Paul Drappier / Alexis Destrez</t>
  </si>
  <si>
    <t>Guilde QA</t>
  </si>
  <si>
    <t>Générations d'UATs pour tests manuels ou automatisables</t>
  </si>
  <si>
    <t>Custom-GPT (phase 2)
Génération de UATs (à base d'image, Figma model, diagram) + guidelines &amp; specs pour la stratégie de tests</t>
  </si>
  <si>
    <t>Romain Saillant / Axel Goncalves / Whitney Nerestan / Gildas Salün</t>
  </si>
  <si>
    <t>PM/QA</t>
  </si>
  <si>
    <t>Les UATs générés par GPT-Custom (5.2 Thinking) et Gem-Custom (Gemini Pro) ont atteint une efficiente proche de 100%. Des guidelines ont été produites pour permettre aux QA/PM de créer des sources primaires de qualité suffiisantes pour êtrte parfaitement interprétées par les LLM.</t>
  </si>
  <si>
    <t>Dispo immédiate</t>
  </si>
  <si>
    <t>chatGPT / Gemini</t>
  </si>
  <si>
    <t>Tests exploratoires pilotés par IA</t>
  </si>
  <si>
    <t>Agents Playwright chassant les bugs sur les env. de staging et prod</t>
  </si>
  <si>
    <t>Romain Saillant</t>
  </si>
  <si>
    <t>QA</t>
  </si>
  <si>
    <t>En pause, sera repris mai et juin afin de finaliser ce process et le mettre en “prod” sur la FT IMMO 9 durant Q3 (en plus d’autres FT potentiellement intéressées).</t>
  </si>
  <si>
    <t>Annonces autom</t>
  </si>
  <si>
    <t>Générer des annonces automatiquement pour faire des tests</t>
  </si>
  <si>
    <t>Auto-PPP</t>
  </si>
  <si>
    <t>Génération automatique du PPP en se basant sur les tickets Jira, les reviews de code Gerrit, Backstage...</t>
  </si>
  <si>
    <t>Auto-PPP (ISS)</t>
  </si>
  <si>
    <t>Dev/Ops</t>
  </si>
  <si>
    <t>Gain de temps et meilleur exhaustivité du rapport (car on oublie vite ce qui a pu être fait !)</t>
  </si>
  <si>
    <t>Claude Skill</t>
  </si>
  <si>
    <r>
      <rPr/>
      <t xml:space="preserve">un exemple existe déjà (utilisé par ISS): </t>
    </r>
    <r>
      <rPr>
        <color rgb="FF1155CC"/>
        <u/>
      </rPr>
      <t>https://github.mpi-internal.com/jeremy-smadja/auto-ppp</t>
    </r>
    <r>
      <rPr/>
      <t>, exemple de résultats: https://confluence.ets.mpi-internal.com/display/LBCCORE/ISS-Weekly+-+2025-07-30</t>
    </r>
  </si>
  <si>
    <t>n8n (Slack + Gerrit + Jira + Confluence access)</t>
  </si>
  <si>
    <t>En attente contrat N8N</t>
  </si>
  <si>
    <t>Automatisation fichiers Swagger</t>
  </si>
  <si>
    <t>Génération et vérification des fichiers Swagger</t>
  </si>
  <si>
    <t>n8n (Gerrit access) IA vraiment necessaire ? ça ressemble à du scaffolding</t>
  </si>
  <si>
    <t>Automatisation schema Avro</t>
  </si>
  <si>
    <t>Génération et vérification des schémas Avro</t>
  </si>
  <si>
    <t>Automatiser la doc backstage</t>
  </si>
  <si>
    <t>Permettre d'avoir une documentation à jour et uniforme pour toutes les APIs</t>
  </si>
  <si>
    <t>n8n (Backstage + code access)</t>
  </si>
  <si>
    <t>Conformité vulcan</t>
  </si>
  <si>
    <t>Remédiation de conformité et de vulnérabilités vulcan</t>
  </si>
  <si>
    <t>claude code</t>
  </si>
  <si>
    <t>n8n (vulcan)</t>
  </si>
  <si>
    <t>Data extract</t>
  </si>
  <si>
    <t>Automatisation des réquisitions (demande -&gt; SQL -&gt; exec -&gt; extract)</t>
  </si>
  <si>
    <t>n8n (bdd + mail)</t>
  </si>
  <si>
    <t>Erreurs logs</t>
  </si>
  <si>
    <t>Vérification des erreurs dans les logs de la CI de Zul</t>
  </si>
  <si>
    <t>n8n (Zuul + Gerrit access)</t>
  </si>
  <si>
    <t>Générateur résumé PR</t>
  </si>
  <si>
    <t>Générateur de résumé de PR : Lorsqu’une PR est ouverte, l’agent : Résume : Ce qui a changé (fichiers, fonctionnalités), Les commits clés, L’impact sur les tests (couverture, nouveaux fichiers de test)</t>
  </si>
  <si>
    <t>Génération de Doc</t>
  </si>
  <si>
    <t>Génération de documentation de code aka Readme automatique (CI)</t>
  </si>
  <si>
    <t>Jérémy: pas sur que ce soit une bonne idée en CI car il faut probablement passer derrière non  ? Je l'aurai fait en cours de dev via IA</t>
  </si>
  <si>
    <t>vibe coding</t>
  </si>
  <si>
    <t>Génération de prompts</t>
  </si>
  <si>
    <t>Intégration avec l’outil Ursa (outil backend monorepo) avec génération intelligente de prompts</t>
  </si>
  <si>
    <t>to refine</t>
  </si>
  <si>
    <t>Génération rapport Gherkix</t>
  </si>
  <si>
    <t>Générer un rapport de test à partir de Gherkix</t>
  </si>
  <si>
    <t>n8n (Gherkix access)</t>
  </si>
  <si>
    <t>Incident helper</t>
  </si>
  <si>
    <t>Brouillon de post-mortem automatisé à partir des logs, captures d’écran et échanges Slack</t>
  </si>
  <si>
    <t>Incident IO est censé le faire pour nous. Jérémy Smadja, Jean Francois BRUEL</t>
  </si>
  <si>
    <t>n8n (Slack + Confluence + code/infra access)</t>
  </si>
  <si>
    <t>Identification des bonnes personnes pour la gestion d’incidents (IMASS)</t>
  </si>
  <si>
    <t>n8n (Slack + Backstage access)</t>
  </si>
  <si>
    <t>Analyseur d’incident de production (assistant d’astreinte)</t>
  </si>
  <si>
    <t>n8n (Slack + code + infra access)</t>
  </si>
  <si>
    <t>Optim cout</t>
  </si>
  <si>
    <t>Optimisation des coûts AWS ?</t>
  </si>
  <si>
    <t>produit</t>
  </si>
  <si>
    <t>Pré aperçu PR</t>
  </si>
  <si>
    <t>Pré-aperçu (vérification des guidelines dans Backstage, enrichissement de la PR avec le contexte global de la feature)</t>
  </si>
  <si>
    <t>Quality gates</t>
  </si>
  <si>
    <t>Quality gates (vérifications de code produites par l’IA)</t>
  </si>
  <si>
    <t>Résumé bonnes pratiques</t>
  </si>
  <si>
    <t>Fourniture de résumés de bonnes pratiques pour la résolution de problèmes et les types d’algorithmes</t>
  </si>
  <si>
    <t>Revue de code</t>
  </si>
  <si>
    <t>Bot pour revue de code</t>
  </si>
  <si>
    <t>n8n (Gerrit access)</t>
  </si>
  <si>
    <t>Slack Chatbot Support</t>
  </si>
  <si>
    <t>Chatbot Slack sur chaque channel de support technique qui intervient à chaque nouvelle requête : Valide si la demande est faite sur le bon channel, ajoute des précisions et du contexte manquant en se basant sur Backstage ou autres sources d'infrastructures, propose des solutions potentielles...</t>
  </si>
  <si>
    <t>Gain de temps autant pour le demandeur que le support, réduction du nombre de messages et de l'attente</t>
  </si>
  <si>
    <t>Haut</t>
  </si>
  <si>
    <t>Support migration</t>
  </si>
  <si>
    <t>Support pour les migrations (ex : OpenTelemetry) et le dimensionnement des services en production</t>
  </si>
  <si>
    <t>Soundcheck</t>
  </si>
  <si>
    <t>Andy Ladjadj</t>
  </si>
  <si>
    <t>Soundcheck dans Backstage est censé nous aider (Sans IA)</t>
  </si>
  <si>
    <t>Tâches watchman</t>
  </si>
  <si>
    <t>Génération de suivi de tâches watchman : avoir un digest chaque matin, de ce qui a été fait et des sujets encore à traiter</t>
  </si>
  <si>
    <t>n8n (Slack access)</t>
  </si>
  <si>
    <t>Tests de non régression</t>
  </si>
  <si>
    <t>Agent exécutant automatiquement des tests de non-régression</t>
  </si>
  <si>
    <t>Vibe Coding</t>
  </si>
  <si>
    <t>Accès a des outils de Vibe Coding (WindSurf, Cursor...) en utilisant des modèles divers (par exemple ceux disponible sur AWS Bedrock. Quid de claude code proposé par Adevinta  (note: pb de latence car en ireland) ?</t>
  </si>
  <si>
    <t>Utilisation de Claude Code Adevinta</t>
  </si>
  <si>
    <t>LiteLLM/produit(Claude,Codex...)</t>
  </si>
  <si>
    <t>En attente décision sur un outil de Vibe Coding puis négociation d'un contrat avec cet outil</t>
  </si>
  <si>
    <t>ADR Assistant</t>
  </si>
  <si>
    <t>Génération automatique des ADR (Architecture Decision Record) avec aide à la décision, pros/cons...</t>
  </si>
  <si>
    <t>Architecte ADR</t>
  </si>
  <si>
    <t>Gain de temps et de qualité</t>
  </si>
  <si>
    <t>J'ai vu que Léo à fait un GPT "Architecte ADR", mais je n'ai pas creusé.</t>
  </si>
  <si>
    <t>Jérémy</t>
  </si>
  <si>
    <t>AI paper digest</t>
  </si>
  <si>
    <t>Bot Slack qui réume les papiers de recherches autour de l'AI les plus trendy</t>
  </si>
  <si>
    <t>Youness Nadir</t>
  </si>
  <si>
    <t>Tech interested in AI</t>
  </si>
  <si>
    <t>n8n, liteLLM, Bedrock, Slack</t>
  </si>
  <si>
    <t>n8n, liteLLM, Bedrock, Slack (plus nécessaire quand on aura un connecteur slack dans chatGPT)</t>
  </si>
  <si>
    <t>Custome GPT pour aider à générer et relire des ADR structurés avec des questions collaboratives.</t>
  </si>
  <si>
    <t>Léo Babut</t>
  </si>
  <si>
    <t>Assistant QA</t>
  </si>
  <si>
    <t xml:space="preserve">Custom GPT pour aider les QA dans leurs tâches quotidiennes </t>
  </si>
  <si>
    <t xml:space="preserve"> Stanislas Gourévitch</t>
  </si>
  <si>
    <t>AWS Services Knowledge</t>
  </si>
  <si>
    <t>Notebooklm Pro pour les services d'AWS</t>
  </si>
  <si>
    <t>Jonathan Lubin</t>
  </si>
  <si>
    <t>Chatbot qui répond à des questions sur la base de la documentation AWS =&gt; Low risk si résultat revu avant d'être utilisé</t>
  </si>
  <si>
    <t>Backend monorepo docs</t>
  </si>
  <si>
    <t>Custom GPT spécialisé dans la documentation du monorepo backend de Leboncoin, conçu pour répondre avec précision aux questions techniques</t>
  </si>
  <si>
    <t>Paul Dennetiere</t>
  </si>
  <si>
    <t>Backend</t>
  </si>
  <si>
    <t>Configuration dépot dynamique</t>
  </si>
  <si>
    <t>Un chat bot qui permet d'expliquer/générer une configuration pour le formulaire de dépot</t>
  </si>
  <si>
    <t>Yohan Koehler</t>
  </si>
  <si>
    <r>
      <rPr/>
      <t xml:space="preserve">GPT : </t>
    </r>
    <r>
      <rPr>
        <color rgb="FF1155CC"/>
        <u/>
      </rPr>
      <t>https://chatgpt.com/g/g-688746f035ac81a4ba2648c600aae516-expert-depot-dynamique</t>
    </r>
  </si>
  <si>
    <t>Guilde DS</t>
  </si>
  <si>
    <t xml:space="preserve">Data Science Guild Onboarder
</t>
  </si>
  <si>
    <t>Custom GPT pour simplifier l'Onboarding des nouveaux Data scientists et Machine learning engineers</t>
  </si>
  <si>
    <t>Data scientist et machine learning engineer</t>
  </si>
  <si>
    <t>Expert Dépôt Dynamique</t>
  </si>
  <si>
    <t>Custom GPT spécialisé dans l’analyse, la validation et le débogage des formulaires JSON complexes du moteur du "Dépôt Dynamique".</t>
  </si>
  <si>
    <t>Yohan KOEHLER</t>
  </si>
  <si>
    <t>Développeurs web travaillant avec le moteur "Dépôt Dynamique"</t>
  </si>
  <si>
    <t>Expert Review/Création d’UAT Gherkin</t>
  </si>
  <si>
    <t>Custom GPT expert en création et review de scénarios UAT Gherkin API et UI</t>
  </si>
  <si>
    <t>T&amp;T</t>
  </si>
  <si>
    <t>Mim Helper</t>
  </si>
  <si>
    <t>Bot Slack pour répondre aux questions des utilisateurs de Mim Transac</t>
  </si>
  <si>
    <t>Utilisateurs de Mim: service client, partenaire de modération, ...</t>
  </si>
  <si>
    <t>Infra</t>
  </si>
  <si>
    <t>Storage GPT</t>
  </si>
  <si>
    <t>Custom GPT de l'équpe Storage</t>
  </si>
  <si>
    <t>Chatbot qui répond aux questions sur nos bases de données (configurations, modifications, accès) sur la base d'informations issues de nos repositories Gerrit =&gt; Low risk si usage interne et résultat généré revu avant d'être utilisé</t>
  </si>
  <si>
    <t>Table explorer</t>
  </si>
  <si>
    <t>Custom GPT to explore Data from our Data Warehouse</t>
  </si>
  <si>
    <t>Terraform Killer</t>
  </si>
  <si>
    <t>Custom GPT qui fait l'analyse technique et visuelle d'outputs Terraform avec vue tabulaire et dépendances</t>
  </si>
  <si>
    <t xml:space="preserve">Low risk  </t>
  </si>
  <si>
    <t>UAT</t>
  </si>
  <si>
    <t>Custom GPT (phase 1)
Rédaction et réalisation des UATs</t>
  </si>
  <si>
    <t>Standardisation rédactionnelle, préparation à l'automatisation des tests</t>
  </si>
  <si>
    <t>chatGPT (rédaction) / produit</t>
  </si>
  <si>
    <t>Info finder</t>
  </si>
  <si>
    <t>Recherche universelle : bot qui trouve une information en se basant sur l'intégralité des data (Drive, Slack, données, etc.)</t>
  </si>
  <si>
    <t>Low risk si accès à la data maitrisé par type d'utilisateur</t>
  </si>
  <si>
    <t>Slack summarization</t>
  </si>
  <si>
    <t>Résumé de canaux Slack entiers sur des périodes définies</t>
  </si>
  <si>
    <t>Bibliothèque de prompts</t>
  </si>
  <si>
    <t>Bot permettant de retrouver facilement un prompt par cas d’usage : création de ticket Jira, discovery d’un nouveau sujet, communication de nouvelles features, etc.</t>
  </si>
  <si>
    <t>Backstage P&amp;T Org</t>
  </si>
  <si>
    <t>Custom GPT helps you explore Leboncoin’s Product &amp; Tech org</t>
  </si>
  <si>
    <t>Génération d'images pour présentation</t>
  </si>
  <si>
    <t>Custom GPT qui permet d'être guidé dans la génération d'illustrations pour des présentations afin de générer des images personnalisées</t>
  </si>
  <si>
    <t>Slide Buddy</t>
  </si>
  <si>
    <t>Olivier Buchy</t>
  </si>
  <si>
    <t>Onboarding</t>
  </si>
  <si>
    <t>Un bot permettant de répondre à toutes les questions des nouveaux arrivants (liste des accès à demander etc)</t>
  </si>
  <si>
    <t>Assistant Onboarding</t>
  </si>
  <si>
    <t>Tableau Assistant</t>
  </si>
  <si>
    <t>Custom GPT de test pour répondre à des questions Tableau de tout ordre, technique ou non</t>
  </si>
  <si>
    <t>Patrice Chaperon</t>
  </si>
  <si>
    <t>Pablo</t>
  </si>
  <si>
    <t>1ere Review automatique par Claude Code</t>
  </si>
  <si>
    <t>Permet d'avoir une 1ère review des Pull Requests par Claude Code, avant review humaine. (disponible pour les PR des DE et DA)</t>
  </si>
  <si>
    <t>Vincent Demeules</t>
  </si>
  <si>
    <r>
      <rPr>
        <rFont val="Arial"/>
        <b/>
        <color theme="1"/>
      </rPr>
      <t>productivité</t>
    </r>
    <r>
      <rPr>
        <rFont val="Arial"/>
        <color theme="1"/>
      </rPr>
      <t xml:space="preserve">. Gain de temps important pour les Data Eng (DPE), car une 1ère review automatique peut permettre d'identifier / corriger un bon nombre d'erreurs ou d'imprécisions dans le code </t>
    </r>
  </si>
  <si>
    <r>
      <rPr/>
      <t xml:space="preserve">lien du message de Vincent Demeules: </t>
    </r>
    <r>
      <rPr>
        <color rgb="FF1155CC"/>
        <u/>
      </rPr>
      <t>https://adevinta.slack.com/archives/G01832QUQRM/p1766401671690559</t>
    </r>
    <r>
      <rPr/>
      <t xml:space="preserve"> </t>
    </r>
  </si>
  <si>
    <t>Claude Code + CI Github</t>
  </si>
  <si>
    <t>Creation d'un agent IA</t>
  </si>
  <si>
    <t>Développé un chatbot sur Gpt qui est censé répondre aux questions, en se basant sur toutes les informations qui lui ont été transmises</t>
  </si>
  <si>
    <t>Florine Moutoussamy</t>
  </si>
  <si>
    <t>5 personnes</t>
  </si>
  <si>
    <t>Permettre d'obtenir une information rapidement sur le scope BDC Import</t>
  </si>
  <si>
    <t xml:space="preserve">Génération de script de répartation </t>
  </si>
  <si>
    <t>Utilisation de l'IA pour générer des scripts pour appliquer des règles de répartitions pour les réseaux multibénéfiaires par l'équipe sur googleshee</t>
  </si>
  <si>
    <t xml:space="preserve">Gain de temps et réduit le nombre d'actions manuelles nécessaire lors de ma miise à jour d'un réseau </t>
  </si>
  <si>
    <t>Marketing opérationel</t>
  </si>
  <si>
    <t>N8N - Agent IA relation publique</t>
  </si>
  <si>
    <t>Intégration de trois agents IA dans notre reporting RP (Google Sheet), capables de déterminer la tonalité de chaque article vis-à-vis de LBC, d’identifier si l’article mentionne des concurrents et de détecter s’il cite un porte-parole.</t>
  </si>
  <si>
    <t>Junjie YOU</t>
  </si>
  <si>
    <t>3 personnes</t>
  </si>
  <si>
    <t>Gain de temps considérable et simplification de la récupération des informations issues des relations presse</t>
  </si>
  <si>
    <t>N8N, Googlesheet API, (LLM model) Claude API, APIFY (web scrapping)</t>
  </si>
  <si>
    <t>Aide : Cadrage d'ateliers</t>
  </si>
  <si>
    <t>En tant que facilitateur, je souhaite générer automatiquement à partir de mes notes et conversations Slack une note de cadrage en quatre sections (avant, après, objectif, indicateurs) afin de valider avec la personne en demande ma bonne compréhension de son besoin.</t>
  </si>
  <si>
    <t>https://chatgpt.com/g/g-691ee8d1f91881a49b96e794e089bc2a-aide-cadrage</t>
  </si>
  <si>
    <t>Wilfrid LANCELLE</t>
  </si>
  <si>
    <t>Aide : Brief du Vendredi</t>
  </si>
  <si>
    <t>En tant que membre d’équipe, je veux générer chaque vendredi un message récapitulatif clair et sympa, afin de partager mes dispos de la semaine prochaine sans y passer trop de temps</t>
  </si>
  <si>
    <t>https://chatgpt.com/g/g-690dc2619bf081a487bd688deb887605-aide-brief-du-vendredi</t>
  </si>
  <si>
    <t>Baromètre de Preuve Rigoureux</t>
  </si>
  <si>
    <t>En tant que coach·e ou facilitateur·rice,
je souhaite disposer d’une analyse scientifique rigoureuse fondée sur la hiérarchie OCEBM pour connaître le niveau de preuve d’un outil, d’un concept, d’une méthode ou d’une approche,
afin de pouvoir appuyer mes pratiques, interventions ou formations sur des données réellement probantes,
et distinguer clairement ce qui est solidement validé empiriquement de ce qui relève encore de l’intuition, de l’observation ou de l’innovation émergente.</t>
  </si>
  <si>
    <t>https://chatgpt.com/g/g-690a2bfafb7081a4898113fa2ee21edc-barometre-de-preuve-rigoureux</t>
  </si>
  <si>
    <t>Baromètre de Preuve Vulgarisé</t>
  </si>
  <si>
    <t>En tant que coach·e, facilitateur·rice ou formateur·rice,
je veux obtenir une évaluation rapide, claire et visuelle du niveau de solidité scientifique d’un concept, d’une méthode ou d’une théorie,
afin de pouvoir expliquer simplement à mes participant·es, collègues ou clients ce que la science montre réellement, à quel niveau de certitude, et rendre mes interventions plus pédagogiques et transparentes.</t>
  </si>
  <si>
    <t>https://chatgpt.com/g/g-69034b576a0c81a487a2415b1d840f91-barometre-de-preuve-vulgarise</t>
  </si>
  <si>
    <t>Baromètre de Preuve Hybride</t>
  </si>
  <si>
    <t>En tant que  coach·e, facilitateur·rice ou formateur·rice,
je souhaite bénéficier à la fois d’une analyse scientifique rigoureuse fondée sur la hiérarchie OCEBM et d’une restitution visuelle intuitive du niveau de preuve,
afin de pouvoir appuyer mes décisions et conceptions pédagogiques sur des données probantes tout en communiquant ces résultats de manière accessible, synthétique et immédiatement compréhensible pour différents publics.</t>
  </si>
  <si>
    <t>https://chatgpt.com/g/g-6937e05ce10481a4bb0d65f6f582e82c-barometre-de-preuve-hybride</t>
  </si>
  <si>
    <t>Guide outil online - groupMaker</t>
  </si>
  <si>
    <t>En tant qu’ facilitateur souhant créer de groupes aléatoires,
je veux être guidé pas à pas pour utiliser le l'outil en ligne GroupMaker,
afin de créer facilement des groupes équilibrés à partir d’une liste de participants, sans stress et sans erreur.</t>
  </si>
  <si>
    <t>https://chatgpt.com/g/g-68cd5f0001bc81a48e3f0912fb67441a-guide-outil-online-groupmaker</t>
  </si>
  <si>
    <t>Guide d’atelier “mode d’emploi”</t>
  </si>
  <si>
    <t>En tant qu’ animateur ou animatrice de l’atelier Mode d’emploi,
je veux disposer d’un assistant numérique clair, pratique et toujours disponible,
afin de préparer, animer et conclure efficacement l’atelier, tout en respectant ses objectifs et son esprit.</t>
  </si>
  <si>
    <t>https://chatgpt.com/g/g-68c7d374dcc881a4951cdb59debec85a-guide-datelier-mode-demploi</t>
  </si>
  <si>
    <t>Coache virtuelle Satir : iceberg</t>
  </si>
  <si>
    <t>En tant que collaborateur·rice LBC en quête de compréhension de moi-même, 
je veux être accompagné·e par un coach virtuel basé sur le modèle de l’Iceberg de Satir 
afin d’explorer mes dynamiques internes et de les transformer en actions concrètes.</t>
  </si>
  <si>
    <t>https://chatgpt.com/g/g-68b01154657081a4bff749b2021aad97-coache-virtuelle-satir-iceberg</t>
  </si>
  <si>
    <t>Coache virtuelle Satir : assouplir les règles</t>
  </si>
  <si>
    <t>En tant que collaborateur·rice LBC souhaitant augmenter mes possibles,
je veux être accompagné·e par un coach bienveillant inspiré de Virginia Satir,
afin de repérer mes règles internes rigides et d’apprendre à les assouplir pour vivre plus librement et sereinement.</t>
  </si>
  <si>
    <t>https://chatgpt.com/g/g-68adb268e4d081a4a81312f91155bc65-coache-virtuelle-satir-assouplir-les-regles</t>
  </si>
  <si>
    <t xml:space="preserve">Aide : Écrire un message
</t>
  </si>
  <si>
    <t>En tant que collaborateur·rice LBC souhaitant écrire un message clair et concis, 
je veux pouvoir fournir un brouillon 
afin d’obtenir une version corrigée, une vision plus claire de ce que je souhaite exprimer, ainsi qu’une version courte et concise.</t>
  </si>
  <si>
    <t>https://chatgpt.com/g/g-68ad73343d4881a48095d7197a33face-aide-ecrire-un-message</t>
  </si>
  <si>
    <t>Coach.e virtuel.le solution focus</t>
  </si>
  <si>
    <t>En tant que collaborateur.rice LBC confrontée à une situation que je souhaite améliorer,
je veux être accompagné.e par un coach virtuel qui m’aide à clarifier ce que je veux, reconnaître ce qui fonctionne déjà, et identifier les petits pas possibles,
afin que je puisse progresser concrètement vers mon objectif sans m’enliser dans l’analyse des problèmes.</t>
  </si>
  <si>
    <t>https://chatgpt.com/g/g-688cc739cff481a49e829d6636a57eba-coach-e-virtuel-le-solution-focus</t>
  </si>
  <si>
    <t>Guide d'atelier "mieux se connaitre"</t>
  </si>
  <si>
    <t>En tant qu’animateur·rice du jeu “Mieux se connaître”,
je veux être accompagné·e par un facilitateur bienveillant et structuré,
afin de préparer, animer et ajuster le jeu en toute sérénité, créer du lien dans mon groupe et proposer un cadre sécurisé où chacun·e peut s’exprimer à son rythme.</t>
  </si>
  <si>
    <t>https://chatgpt.com/g/g-688b446d10d881a48289bef0d8cc9519-guide-d-atelier-mieux-se-connaitre</t>
  </si>
  <si>
    <t xml:space="preserve">Gestion / migration de fichiers data </t>
  </si>
  <si>
    <t>Tous les mois, pour chaque client auto, un fichier google sheets est généré, avec la liste de ses annonces et contacts
nous souhaitons disposer d'un fichier de synthèse par client, qui se met à jour tous les mois avec les nouvelles données</t>
  </si>
  <si>
    <t>Pierre Nordmann Erwan Brouttier</t>
  </si>
  <si>
    <t>Gain de temps / réduction du temps de traitement des fichiers data par les commerciaux</t>
  </si>
  <si>
    <t>Création d'accès à l'outil n8n</t>
  </si>
  <si>
    <t>Finance Chatbot</t>
  </si>
  <si>
    <t xml:space="preserve">Création d'un Chatbot pour repondre aux questions sur les process Finance. </t>
  </si>
  <si>
    <t>https://chatgpt.com/g/g-68bedf687c1c81a49170de70ef4b15da-ton-assistant-p2p</t>
  </si>
  <si>
    <t>Jean Paul/Cléo</t>
  </si>
  <si>
    <t>Payment</t>
  </si>
  <si>
    <t>App Store Reviewer Classifier</t>
  </si>
  <si>
    <t>Analyse des commentaires sur les APP Store pour identifier et reporter des tendances (positives ou négatives) remontés par nos utilisateurs en lien avec le paiement ou la vérification d'identité</t>
  </si>
  <si>
    <t>Caroline Lor/Romain Murail</t>
  </si>
  <si>
    <t>Identifier les problèmes et frictions identifiés par nos utilisateurs avant que la situation ne se dégrade</t>
  </si>
  <si>
    <t>Jérémy Smadja n8n workflow en place pour android et ios et zendesk</t>
  </si>
  <si>
    <t>Zendesk Reviewer Classifier</t>
  </si>
  <si>
    <t>Analyse des commentaires sur Zendesk pour identifier et reporter des tendances (positives ou négatives) remontés par nos utilisateurs en lien avec le paiement ou la vérification d'identité (voir use-case App Store Reviewer Classifier, cellule C362)</t>
  </si>
  <si>
    <t>Apprentissage et coaching IA</t>
  </si>
  <si>
    <t>Formation interne pour rédiger de bons prompts et gagner en efficacité</t>
  </si>
  <si>
    <t>Prompt Optimizer</t>
  </si>
  <si>
    <t>Georges Antoine SALAS</t>
  </si>
  <si>
    <t>CustomGPT: Prompt Optimizer</t>
  </si>
  <si>
    <t>Préparation et synthèse d’entretien de recrutement</t>
  </si>
  <si>
    <t>Génération automatique de questions et synthèse d’entretien</t>
  </si>
  <si>
    <t xml:space="preserve">Résumé agents </t>
  </si>
  <si>
    <t>Résumé global et non par ticket par un client Agent IA  (si plusieurs plaintes)</t>
  </si>
  <si>
    <t>40 (équipe SC)</t>
  </si>
  <si>
    <r>
      <rPr>
        <rFont val="Arial"/>
        <b/>
        <color theme="1"/>
      </rPr>
      <t>24 mars</t>
    </r>
    <r>
      <rPr>
        <rFont val="Arial"/>
        <color theme="1"/>
      </rPr>
      <t xml:space="preserve">: pas de ROI important - à supprimer? </t>
    </r>
  </si>
  <si>
    <t>6/02: A discuter côté RC
18/02: pas de solution encore</t>
  </si>
  <si>
    <t>dev backend</t>
  </si>
  <si>
    <t>Synthèse hebdo des flux et des performances</t>
  </si>
  <si>
    <t>Analyser les écarts quantitatifs à la semaine et au mois en partant des données du Top flows, a minima sur le flux entrant, sur les actes réalisés et sur le backlog, au regard des jours travaillés</t>
  </si>
  <si>
    <t>Fabrice Barbé</t>
  </si>
  <si>
    <t>Managers SC et équipe Partenaires</t>
  </si>
  <si>
    <t>Tableau de bord disponible à tout instant sur la dynamique dles flux entrants et sortants. Gain de temps sur le point prod hebdo et vision sur l'ensemble des flux.</t>
  </si>
  <si>
    <r>
      <rPr>
        <rFont val="Arial"/>
        <b/>
        <color theme="1"/>
      </rPr>
      <t>24 mars</t>
    </r>
    <r>
      <rPr>
        <rFont val="Arial"/>
        <color theme="1"/>
      </rPr>
      <t>: pas clair sur ce qu'on veut - pas de visu - arrêt maladie</t>
    </r>
  </si>
  <si>
    <t>6/02: Retester - avant dans le retraitement des chiffres</t>
  </si>
  <si>
    <t>n8n + mim</t>
  </si>
  <si>
    <t xml:space="preserve">Assistant Confluence </t>
  </si>
  <si>
    <t>Connecter ChatGPT à Confluence</t>
  </si>
  <si>
    <t>"Réduction du temps consacré à chercher la bonne procédure dans la documentation interne.
Cela pourrait encourager une utilisation plus fréquente de ces outils "</t>
  </si>
  <si>
    <r>
      <rPr>
        <rFont val="Arial"/>
        <b/>
        <color theme="1"/>
      </rPr>
      <t>24 mars</t>
    </r>
    <r>
      <rPr>
        <rFont val="Arial"/>
        <color theme="1"/>
      </rPr>
      <t xml:space="preserve">: certaines équipes ont leur base de connaissance </t>
    </r>
  </si>
  <si>
    <t>Diabolocom</t>
  </si>
  <si>
    <t>Analyser automatiquement des emails et envoyer vers Diabolocom si reponse positive</t>
  </si>
  <si>
    <t>Strat Produit</t>
  </si>
  <si>
    <t>Analyse de Sentiment &amp; Catégorisation de Verbatims</t>
  </si>
  <si>
    <t>Transformation de verbatims bruts en données structurées afin d’identifier les motifs de satisfaction et d’insatisfaction grâce à une catégorisation prédéfinie. Analyse de la corrélation entre les volumes de messages et les notes moyennes pour identifier les thématiques les plus critiques.</t>
  </si>
  <si>
    <t>Eva Corba / Lucien Mouret</t>
  </si>
  <si>
    <t>RC / Strat produit / CV</t>
  </si>
  <si>
    <t>- Gain opérationnel : Suppression du traitement manuel des commentaires
- Gain stratégique : Hiérarchisation indiscutable des retours clients + détecter les nouvelles tendances + monitoring global
OBJ : Accélérer la remontée d’informations clés issues de la voix du client afin d’éclairer plus rapidement les décisions produit, opérationnelles et stratégiques.</t>
  </si>
  <si>
    <t>Tooling and project</t>
  </si>
  <si>
    <t>Assistant prompt pour le chatbot</t>
  </si>
  <si>
    <t>Nous mettons en place des prompts dans le chatbot IA sur la FAQ pour adresser le plus finement possible les situations rencontrées par les utilisateurs. Dans ce cadre, nous utilisons chat gpt pour nous assister dans la création de prompts afin de gagner en rapidité de conception et en pertinence de prompt</t>
  </si>
  <si>
    <t>4 personnes</t>
  </si>
  <si>
    <t>Division par 2 du temps nécessaire à la création d'un prompt</t>
  </si>
  <si>
    <t>25 mars : live</t>
  </si>
  <si>
    <t>Mise en place d'un chatbot IA conversationnelle sur le centre d'aide leboncoin visant à diminuer à fin d'année de 30% le nombre de tickets traités en manuel au SC. Lot 1 : ouverture du bot sur la base de connaissances (sans données API)</t>
  </si>
  <si>
    <t>users leboncoin et tous les agents SC de la RC</t>
  </si>
  <si>
    <t>-30ù de contacts traités en manuel</t>
  </si>
  <si>
    <t>Lot 1 MEP, Lot 2 avec API prévu Q2/Q3</t>
  </si>
  <si>
    <t>Zendesk natif</t>
  </si>
  <si>
    <t>Oui et déjà fait en interne (newsletter produit)</t>
  </si>
  <si>
    <t>Pro BDC</t>
  </si>
  <si>
    <t xml:space="preserve">Amélioration des listes de prospection </t>
  </si>
  <si>
    <t>Analyse et scrapping de liste de prospection et de prospect</t>
  </si>
  <si>
    <t>Maximilian KESSELRING</t>
  </si>
  <si>
    <t>oui</t>
  </si>
  <si>
    <t>Identification des faux particuliers</t>
  </si>
  <si>
    <t>Identification des pros utilisant des comptes particuliers</t>
  </si>
  <si>
    <t>Charlotte ASTRE</t>
  </si>
  <si>
    <t>Analyse d'appel et de feedback</t>
  </si>
  <si>
    <r>
      <rPr/>
      <t xml:space="preserve">outil comme </t>
    </r>
    <r>
      <rPr>
        <color rgb="FF1155CC"/>
        <u/>
      </rPr>
      <t>Modjo.ai</t>
    </r>
  </si>
  <si>
    <t>Alix BERLOTY</t>
  </si>
  <si>
    <t>réponse automatique des questions de niveau 1 des clients Pro</t>
  </si>
  <si>
    <t>Sonia ABBOU</t>
  </si>
  <si>
    <t>Calculette NBM</t>
  </si>
  <si>
    <t>Amélioration de la calculette NBM</t>
  </si>
  <si>
    <t>Mise à jour du CA réel</t>
  </si>
  <si>
    <t>Connecter Tableau à l'Excel d'analyse</t>
  </si>
  <si>
    <t>une demi journée / mois</t>
  </si>
  <si>
    <t>Cas à prioriser 2</t>
  </si>
  <si>
    <t>Vérifier avec Moana</t>
  </si>
  <si>
    <t>Comparaison de l'UX des concurrents avec leboncoin</t>
  </si>
  <si>
    <t>Comparer l'UX et les adviews des concurrents avec leboncoin</t>
  </si>
  <si>
    <t xml:space="preserve">quelques heures / trimestre </t>
  </si>
  <si>
    <t>Cas à prioriser 3</t>
  </si>
  <si>
    <r>
      <rPr>
        <rFont val="Arial"/>
        <color theme="1"/>
      </rPr>
      <t xml:space="preserve">Faire des briefs pour P&amp;T pour pousser et justifier le développement d’une fonctionnalité / offre </t>
    </r>
    <r>
      <rPr>
        <rFont val="Arial"/>
        <b/>
        <color theme="1"/>
      </rPr>
      <t>pour les particuliers</t>
    </r>
  </si>
  <si>
    <t>1. Identifier les acteurs qui ont les mêmes fonctionnalités que leboncoin
2. Faire la comparaison en termes de fonctionnalités
3. Faire la comparaison en termes d'offre et de pricing
4. Faire un potentiel business pour leboncoin</t>
  </si>
  <si>
    <t>Fournir la documentation (trade P&amp;T) pour définir ce qu'on veut comparer</t>
  </si>
  <si>
    <r>
      <rPr>
        <rFont val="Arial"/>
        <color theme="1"/>
      </rPr>
      <t xml:space="preserve">Faire des briefs pour P&amp;T pour pousser et justifier le développement d’une fonctionnalité / offre </t>
    </r>
    <r>
      <rPr>
        <rFont val="Arial"/>
        <b/>
        <color theme="1"/>
      </rPr>
      <t>pour les professionnels</t>
    </r>
  </si>
  <si>
    <t>1. Identifier les acteurs qui ont les mêmes fonctionnalités que leboncoin
2. Faire la comparaison en termes de fonctionnalités
3. Faire un potentiel business pour leboncoin</t>
  </si>
  <si>
    <t>Mise à jour d'un doc de suivi des nouveautés produit</t>
  </si>
  <si>
    <t xml:space="preserve">Migrer de Slack vers un Google Sheet les différentes infos liées au produit </t>
  </si>
  <si>
    <t>Cas à prioriser 1</t>
  </si>
  <si>
    <t>Mise à jour du RE product suivi projet P&amp;T</t>
  </si>
  <si>
    <t>Aider à la rédaction du doc de centralisation des infos du produit pour le trade</t>
  </si>
  <si>
    <t>1h / mois</t>
  </si>
  <si>
    <t xml:space="preserve">Mise à jour du reporting hebdo </t>
  </si>
  <si>
    <t xml:space="preserve">1. Extraire les données de KPIs dans tableau
2. Mettre en lumière les changements d'une semaine à l'autre
3. Comparer au budget Excel </t>
  </si>
  <si>
    <t xml:space="preserve">1h / semaine </t>
  </si>
  <si>
    <t>Documenter le type de données + le format</t>
  </si>
  <si>
    <t>Création d'un assistant data dans Tableau</t>
  </si>
  <si>
    <t xml:space="preserve">Aider dans la création de tableaux sans passer par la prio data </t>
  </si>
  <si>
    <t>Génération de slides à partir de la FPI</t>
  </si>
  <si>
    <t>1. Extraire les fichiers de la conference de presse sur le site de la FPI
2. Créer des slides avec les points clés</t>
  </si>
  <si>
    <t>Sophie</t>
  </si>
  <si>
    <t>une demi journée / trimestre</t>
  </si>
  <si>
    <t>Reformulation du CR de Gemini dans ChatGPT</t>
  </si>
  <si>
    <t xml:space="preserve">Améliorer le recap avec ChatGPT </t>
  </si>
  <si>
    <t>Rangement des fichiers reçus dans le dossier correspondant</t>
  </si>
  <si>
    <t>E.g. Ajouter automatiquement l'Excel Joreca dans la boite à outil</t>
  </si>
  <si>
    <t>Aide au pilotage de la boite de reception</t>
  </si>
  <si>
    <t>Rappeler des tâches à faire dans la boîte de réception</t>
  </si>
  <si>
    <t xml:space="preserve">Suivi de l'avancée des projets de l'équipe </t>
  </si>
  <si>
    <t>Reporting et suivi des projets de chacune de l'équipe dans un Excel</t>
  </si>
  <si>
    <t>Fanny</t>
  </si>
  <si>
    <t>PPP consolidé sur la base de notre reporting</t>
  </si>
  <si>
    <t>Compte rendu des informations de l'Excel Reporting d'équipe dans le format du PPP</t>
  </si>
  <si>
    <t>1h / semaine</t>
  </si>
  <si>
    <t>Lebonwording</t>
  </si>
  <si>
    <t>Gérer simplement les wordings de nos fronts à travers une interface disponible sur Backstage</t>
  </si>
  <si>
    <t>Pierre Abi-Aad Andy Ladjadj</t>
  </si>
  <si>
    <t>Plugin Claude Code pour PMs</t>
  </si>
  <si>
    <t>Création d'un repo regroupant des plugins/skills discovery, strategy, exécution, data, GTM... qui s'invoquent avec une commande / directement dans Claude Code</t>
  </si>
  <si>
    <t>Lien repo</t>
  </si>
  <si>
    <t>Product / UX</t>
  </si>
  <si>
    <t>Création de tickets jira</t>
  </si>
  <si>
    <t>Dans le cadre de la taskforce data, création de tickets et epic jira respectant un template et des labels via Claude Code à partir de livrables menés en discovery</t>
  </si>
  <si>
    <t>Céline To Jean-Eudes Peloye</t>
  </si>
  <si>
    <t>Pour le moment expérimental et peu structuré côté Céline</t>
  </si>
  <si>
    <t>Création de boards miro</t>
  </si>
  <si>
    <t>Dans le cadre de la taskforce data, initialisation d'un board pour un workshop sur l'access management avec Data Gouv/DA/DE à partir de questions techniques alimentées par les DE</t>
  </si>
  <si>
    <t>Céline To</t>
  </si>
  <si>
    <t>Création paramètre de campagne Piano</t>
  </si>
  <si>
    <r>
      <rPr>
        <rFont val="Arial"/>
        <color theme="1"/>
      </rPr>
      <t xml:space="preserve">Création d'un "GPT" et d'une </t>
    </r>
    <r>
      <rPr>
        <rFont val="Arial"/>
        <color rgb="FF000000"/>
      </rPr>
      <t>claude.md</t>
    </r>
    <r>
      <rPr>
        <rFont val="Arial"/>
        <color theme="1"/>
      </rPr>
      <t xml:space="preserve"> qui guident l'utilisateur dans la création d'un url/paramètre de campagne selon les normes de Piano et qui suit les récos du "campaign url builder". Possibilité entre autres de générer des liens "en masse" selon des règles métiers (ex. une campagne décliné par tous les verticales ou x formats etc.)</t>
    </r>
  </si>
  <si>
    <t>https://chatgpt.com/g/g-69f06df35d1881a4986915cb868144c6-campaign-url-builder</t>
  </si>
  <si>
    <t xml:space="preserve">PM / Com / CRM </t>
  </si>
  <si>
    <t>Claude MD</t>
  </si>
  <si>
    <t>Claude Code / ChatGPt</t>
  </si>
  <si>
    <t>COUNTA of Etat d'avancement</t>
  </si>
  <si>
    <t>Total général</t>
  </si>
  <si>
    <t>Ratio</t>
  </si>
  <si>
    <t>OKR</t>
  </si>
  <si>
    <t>Baseline</t>
  </si>
  <si>
    <t>Nb total use case 1er janvier</t>
  </si>
  <si>
    <t>Target</t>
  </si>
  <si>
    <t>S1</t>
  </si>
  <si>
    <t>%</t>
  </si>
  <si>
    <t>Nombre de use case à atteindre</t>
  </si>
  <si>
    <t>EoY</t>
  </si>
  <si>
    <t xml:space="preserve">Progress </t>
  </si>
  <si>
    <t>NB use cases manquants pour atteindre l'obj.</t>
  </si>
  <si>
    <t xml:space="preserve">% </t>
  </si>
  <si>
    <t>Nb use case actuel</t>
  </si>
  <si>
    <t>Objectif %</t>
  </si>
  <si>
    <t>Objectif nb</t>
  </si>
  <si>
    <t>Departement</t>
  </si>
  <si>
    <t>Done</t>
  </si>
  <si>
    <t>Ongoing</t>
  </si>
  <si>
    <t>Not started</t>
  </si>
  <si>
    <t>Total</t>
  </si>
  <si>
    <t>Client relations</t>
  </si>
  <si>
    <t>Mobility</t>
  </si>
  <si>
    <t>Real Estate</t>
  </si>
  <si>
    <t>Product</t>
  </si>
  <si>
    <t>Advertising</t>
  </si>
  <si>
    <t>HR</t>
  </si>
  <si>
    <t>Sales operations</t>
  </si>
  <si>
    <t>Pro CG</t>
  </si>
  <si>
    <t>Département:;</t>
  </si>
  <si>
    <t>Grand Total</t>
  </si>
  <si>
    <t>Number of employees concerned</t>
  </si>
  <si>
    <t>Lien vers le prompt 
Il faut potentiellement migrer le prompt vers un custom GPT</t>
  </si>
  <si>
    <t>Notebook LM +
Générateur de Prompt</t>
  </si>
  <si>
    <t>Préparation de rdv FS yc des call téléphoniques
Connaissance du client et de son environnement</t>
  </si>
  <si>
    <t>Gain de tempps préparation du rdv 
- quel est l'historique du client ? = Synthèse
- environnement concurrentiel via son adresse
- combien il diffuse sur son site et sur seloger
- contexte du marché
- reco d'offre?</t>
  </si>
  <si>
    <t xml:space="preserve">
Un bon FS a un tx de transfo 33%
Ex : Naf avec super préparation de chaque rdv a un tx de transfo à 80% mais a peu de rdv client : FS premium.</t>
  </si>
  <si>
    <t>Gain de temps pour redesiegner les slides
Gain en qualité si plus visuel et impactant</t>
  </si>
  <si>
    <t>Avoir une vue au client du contrat et du diffusé en ligne</t>
  </si>
  <si>
    <t>Se fait dans salesforce via le résumé de compte</t>
  </si>
  <si>
    <t>Compte -rendu de rdv sur salesforce pour un FS</t>
  </si>
  <si>
    <t>Paris : il existe déjà un gform pour que les commerciaux remplisse un max. d'infos
Région : le faire en vocal via app Salesforce</t>
  </si>
  <si>
    <t>equipes salesforce</t>
  </si>
  <si>
    <t>Se fait dans salesforce</t>
  </si>
  <si>
    <t>chatGPT (desktop record) ou Salesforce IA ?</t>
  </si>
  <si>
    <t>customgpt Marketing Radar + scheduled task
https://chatgpt.com/g/g-693036e29d4481a49a74953b20c6f5b7-marketing-radar</t>
  </si>
  <si>
    <t>A voir comment faire évoluer ce process en reliant directement au drive où se situent les données pour ne pas avoir à télécharger le pdf à chaque fois. Prompt: https://docs.google.com/spreadsheets/d/1eB5mJD-O89cHfso_jwm5ycQ5JdQqXm263l_Qzt7Ae3Y/edit?gid=487742801#gid=487742801</t>
  </si>
  <si>
    <t>Test outil Notebook LM 
pour entrainer et former commerciaux à partir des supports Marketing Trade</t>
  </si>
  <si>
    <t xml:space="preserve">Interne: déjà utilisé
"Externe": selection des testeurs ok =&gt; communication prête =&gt; mais en attente d'ouverture des droits à tous =&gt; Prévu pour lundi 26
Test prévu pendant 1 mois =&gt; prévu fin février
Ajout des notes hébergeurs par l'équipe juridique
Update 4 février: En attente retour Lydie et Jeremy de la modé, on pourrait le sortir avant février 
20 février: attente retour Lydie - Test PM/Head of Statut d'hébergeur
9 mars: entraintement sur la DoA </t>
  </si>
  <si>
    <t>Pablo v1 y repond deja
La V2 sera mieux quand on aura plug le data catalog, qu'on aura la gouvernance et les meta données</t>
  </si>
  <si>
    <t xml:space="preserve">Pour la review il y a déjà Pixel </t>
  </si>
  <si>
    <t xml:space="preserve">Aide à préparation d'un rendez vous avec un prospect </t>
  </si>
  <si>
    <t>Prez : https://docs.google.com/presentation/d/1d793Js5IHi9Nmedvb7jGaEbU0Dmm2wIJ_NTGrqnNbAU/edit?slide=id.g3d05b199339_0_3020#slide=id.g3d05b199339_0_3020</t>
  </si>
  <si>
    <t>Déploiement en cours depuis janvier
24 mars: dernier scope doit être ouvert d'ici mi-avril target pour le passer en done - pas besoin d'aide
26 mars : tout le scope SC live depuis mi mars</t>
  </si>
  <si>
    <t>24 mars: live</t>
  </si>
  <si>
    <t xml:space="preserve">24 mars: live depuis 3 semaines </t>
  </si>
  <si>
    <t>chatGPT "RH Job Checker"</t>
  </si>
  <si>
    <t>GPT : https://chatgpt.com/g/g-688746f035ac81a4ba2648c600aae516-expert-depot-dynamique</t>
  </si>
  <si>
    <t xml:space="preserve">productivité. Gain de temps important pour les Data Eng (DPE), car une 1ère review automatique peut permettre d'identifier / corriger un bon nombre d'erreurs ou d'imprécisions dans le code </t>
  </si>
  <si>
    <t xml:space="preserve">lien du message de Vincent Demeules: https://adevinta.slack.com/archives/G01832QUQRM/p1766401671690559 </t>
  </si>
  <si>
    <t xml:space="preserve">Conception des books de formation </t>
  </si>
  <si>
    <t>Abandonné</t>
  </si>
  <si>
    <t>Connaissance Client</t>
  </si>
  <si>
    <t>Avoir toutes les données chiffrées d’un client sur d’autres sites comme nos concurrents, son propre site</t>
  </si>
  <si>
    <t>Doublon versus Salesforce - dashboard pro - maps etc ? Impossible d'en créer un prompt car ça demande du scrapping et que les IA n'ont pas le droit de faire ça</t>
  </si>
  <si>
    <t>Améliorer méthode et organisation des FS pour prise de RDV</t>
  </si>
  <si>
    <t xml:space="preserve"> 
Idée de TO DO venant de salesforce et arrivant dans Gagenda
Que chatgpt puisse pousser ds google agenda la To Do qui vient de salesforce - tache / alerte  / rappel upsell ou cross-sell ou acquisition : quels clients voir asap - Voire à terme l'envoi l'email aux clients avec lien pour prendre rdv</t>
  </si>
  <si>
    <t>Objectif de 10 rdv terrain / semaine = stt en acquisition
La grosse difficulté des FS aujd : réussir à remplir son rdv avec des rdv client
(Même si ils ont 2h / jour de prospection terrain et phoning)</t>
  </si>
  <si>
    <t>Connexion à Salesforce pas dispo</t>
  </si>
  <si>
    <t>Abandonné car connexion Salesforce aujd pas possible. 
L'IA est-elle vraiment nécessaire ?
Maps et territory ds salesforce devrait débloquer la situation</t>
  </si>
  <si>
    <t>Analyse et relance mail pour les commerciaux d’un Gsheet pour client pas vu depuis + de 100 jours BC</t>
  </si>
  <si>
    <t>Assistant Managers commerciaux</t>
  </si>
  <si>
    <t xml:space="preserve">
Reporting et analyse par région sur les FS
Un manager FS récupère tous les Compte rendus rdv des sales issu de "Suivi Générale Sales Immo 2025" 
Puis fait une restitution région par région -  quantifié ! avec verbatims etc.
Sur chaque semaine. avec données marché etc</t>
  </si>
  <si>
    <t>Pas de connecteurs drive</t>
  </si>
  <si>
    <t>Projet - Optimisation des reportings FS : Gsheet en cascade actuels fonctionne bien même si fragile. Attente d’avoir la possibilité des connexions avec drive et de créer des workflows pour le re produire via gpt de manière plus solide.
=&gt; A voir post formation n8n et dès que vous avez du nouveau sur les connecteurs drive. :)</t>
  </si>
  <si>
    <t>ChatGPT/Gemini</t>
  </si>
  <si>
    <t>Briefs créatifs pour offre pub social affinity Lisa A</t>
  </si>
  <si>
    <t xml:space="preserve">Local affinity n'est plus vendu par les équipes FS immo </t>
  </si>
  <si>
    <t>Création de rapports dans salesforce</t>
  </si>
  <si>
    <t>Créer des rapports salesforce (pourrait-on à partir d’une intention automatiser la création de rapports)-</t>
  </si>
  <si>
    <t>Mkg Trade et Sales</t>
  </si>
  <si>
    <t>Créer des rapports ds salesforce est hyper compliqué
Grosse perte de temps</t>
  </si>
  <si>
    <t>Connexion à Salesforce possible ?</t>
  </si>
  <si>
    <t xml:space="preserve">Effectuer une veille concurrentielle mensuelle du nombre d’annonce en ligne sur un site - </t>
  </si>
  <si>
    <t>Pour savoir usage client sur site concurrent</t>
  </si>
  <si>
    <t>Meilleure conversion vente car meilleure connaissance client</t>
  </si>
  <si>
    <t>Sujet en cours via A voir avec les crawler + Joreca etc - sujet market database ds Salesforce</t>
  </si>
  <si>
    <t>Enrichir BDD client / prospect pour enrichir/cleaner Salesforce</t>
  </si>
  <si>
    <t>exemple : (Nom d’entreprise, email, téléphone, SIREN… tout récupéré automatiquement, gratuitement, et sans aucune limite grâce au site du gouvernement.)
L’État met déjà tout à disposition :
 → La base SIRENE complète
 → Les dirigeants
 → Les adresses
 → Les codes APE
 → Les effectifs
 → Et un quota : 400 appels par minute. Gratuit. 
Comment ça fonctionne :
→ n8n parcourt automatiquement toutes les pages Data Gouv
→ Data Gouv renvoie les entreprises selon votre secteur, votre zone et vos mots-clés
 → Perplexity enrichit chaque entreprise avec :
site web
email du dirigeant
numéro de téléphone
prénom / nom / rôle
→ Airtable se remplit seul, sans action manuelle
→ Résultat : 10 000 contacts, enrichis et directement exploitables</t>
  </si>
  <si>
    <t>Sales, Mkt Op</t>
  </si>
  <si>
    <t>n8n
Perplexity ?
Chatgpt</t>
  </si>
  <si>
    <t>Feedback téléventes sur les nouvelles offres</t>
  </si>
  <si>
    <t>Analyser les calls audio des téléventes après la mise en place de nouvelles offres pour obtenir des retours négatifs/positifs</t>
  </si>
  <si>
    <t>Attention ; serait un doublon vs DeepSpeach outil en test côté Aline ?</t>
  </si>
  <si>
    <t>autre produit</t>
  </si>
  <si>
    <t>Garde fou sur tableau (ex. alerting)</t>
  </si>
  <si>
    <t>Maxime VINIANE</t>
  </si>
  <si>
    <t>Pas de connexion tableau ??</t>
  </si>
  <si>
    <t>Mail recap hebdo avec extracts SF des données quantis individuelles de chaque sales BC AK</t>
  </si>
  <si>
    <t>salesforces + n8n</t>
  </si>
  <si>
    <t xml:space="preserve">Préparation d'itinéraire commercial FS </t>
  </si>
  <si>
    <t xml:space="preserve">Je suis dans telle ville : quels clients dois je aller visiter ?
Organisation prospection : peux-tu m’organise ma prospection agences immobilière Avenue Victor Hugo dans le 16ème
En attendant maps / territory ds salesforce </t>
  </si>
  <si>
    <t>Gain de productivité et de perf co important</t>
  </si>
  <si>
    <t>Connexion à Salesforce KO</t>
  </si>
  <si>
    <t>Besoin de connexion à Salesforce
A voir si trop doublon vs sujets maps et territory prévus</t>
  </si>
  <si>
    <t xml:space="preserve">Préparation des rendez-vous clients : design des maquettes </t>
  </si>
  <si>
    <t>Personnalisation des maquettes (captures d'écran) avec nom du client et logo du client</t>
  </si>
  <si>
    <t>Virginie Rudelle
Lisa Assanto</t>
  </si>
  <si>
    <t>Mkg Op
Sales</t>
  </si>
  <si>
    <t>Prompt Gemini qui fonctionne bien pour 
remplacer le logo sur une annonce, 
en revanche les images générées intègrent 
automatiquement un watermark en bas de page. 
Reco alternative : utiliser un template facilement modifiable dans les slides KAM/SKAM, plutôt que de passer par une génération IA pour ce type d’adaptation !</t>
  </si>
  <si>
    <t>nano banana ? Gamma ?</t>
  </si>
  <si>
    <t>Main KPIs Weekly report &amp; analysis (Patrice)</t>
  </si>
  <si>
    <t>Rapport hebdomadaire des principaux KPI (d'une FT? d'un crew ?) et analyse de ces KPI</t>
  </si>
  <si>
    <t>Pas sur que ce soit un use case IA; Tableau le fait deja
On pourrait avoir une version plus user friendly - mais dépendance avec la transfo data et d'avoir de la bonne qualité de données en amont</t>
  </si>
  <si>
    <t>Notes Helper</t>
  </si>
  <si>
    <t>Avoir un RAG perso sur ses notes</t>
  </si>
  <si>
    <t xml:space="preserve"> Hugo Blum</t>
  </si>
  <si>
    <t>Non pertinent maintenant, on peut utliser notebook LM</t>
  </si>
  <si>
    <t>PPP 4 Directors</t>
  </si>
  <si>
    <t>production automatique des PPP pour les director</t>
  </si>
  <si>
    <t>Gain assea faible; on a deja un peu de Claude code qui le fait</t>
  </si>
  <si>
    <t xml:space="preserve">Tableau dashboard review process </t>
  </si>
  <si>
    <t>Avoir un assistant qui revoit et check la qualité d'un dashboard Tableau avant qu'il soit publié
Pour qu'il respecte des bonnes pratiques (taille, type de connexion, etc.)
Il se trouve que Tableau propose déjà un assistant comme ça en fait; donc pas sur qu'on ait besoin de le dev en interne</t>
  </si>
  <si>
    <t>Base yield request</t>
  </si>
  <si>
    <t>Via slack, on pourra demander les performances du reseau, des formats, des categs... sur leboncoin</t>
  </si>
  <si>
    <t>Toute la regie</t>
  </si>
  <si>
    <t>plus besoin de demander a l'equipe yield, chaque personne pourra de maniere autonome acceder aux infos et on les comparant sur des periodes precises</t>
  </si>
  <si>
    <t>remplace par projet : creation d'un fichier avec tous les documents accesibles via un agent GPT</t>
  </si>
  <si>
    <t>-&gt; Logique :
--&gt; On pourrait utiliser adomic &gt; mais à checker si adomik a une API et ensuite découvrir si je peux faire un module n8n pour se connecter à ce dernier.
&gt; Puisque ce n'est pas natif à n8n (ou autre plateforme) &gt; faudra faire du custom.
--&gt; On pourrait juste automatiser des rapports Gam &gt; afin d'insérer la donné en BigQuery et ensuite demander à l'agent chatgpt d'interpréter la demande pour sortir ce que l'on souhaite.
(problème ici, faudrait voir si les rapport GAM sont clean et comment gérer les 'erreurs' prog pour avoir la bonne donnée)."
-&gt; Complexité
--&gt; Si on passse par adomik &gt; La grosse complexité ici c'est l'api adomik.
&gt; Après, cela devrait dérouler sans trop de difficulté.
--&gt; Si on passe par bigquery &gt; La complexité va être de gérer les bons rapports."</t>
  </si>
  <si>
    <t xml:space="preserve">Vérifier si le contrat Adomik est suffisant </t>
  </si>
  <si>
    <t>Commerce</t>
  </si>
  <si>
    <t>profil prospect analyser</t>
  </si>
  <si>
    <t>Suivre une méthode spécifique pour analyser le profil du prospect et fournir une séquence de mails adaptée au profil</t>
  </si>
  <si>
    <t>L'idée a été revisitée par l'équipe Sales</t>
  </si>
  <si>
    <t>Agent historique top annonceur</t>
  </si>
  <si>
    <t>Regrouper tous les bilans des dernières années, des infos €, tout ce qu'il y a à savoir sur l'annonceur pour avoir un assistant qui a tous les éléments en tête et peut aider à prendre du recul sur le client. Pratique en cas de back-up sur ces sujets si la personne qui reprend la main a des questions ou des infos qu'on ne lui aurait pas partagé.</t>
  </si>
  <si>
    <t>Abandonné car non prioritaire à date et à voir si réellement pertinent</t>
  </si>
  <si>
    <t>ChatGPT + connecteurs ?</t>
  </si>
  <si>
    <t>Automatiser une partie des picking qualité</t>
  </si>
  <si>
    <t>Faire faire le check qualité de la modé/post-modé par l’IA</t>
  </si>
  <si>
    <t xml:space="preserve">6 personnes </t>
  </si>
  <si>
    <t>Gain de temps considérable, vision plus exhaustive de la qualité délivrée par les partenaires, meilleure lutte contre la fraude + fort impact sur les factures</t>
  </si>
  <si>
    <t>Trop complexe à priori (conclusion du workshop de septembre)</t>
  </si>
  <si>
    <t>Assistant IT Modération</t>
  </si>
  <si>
    <t xml:space="preserve">Connecter ChatGPT aux instructions de travail et aux process de modération disponible actuellement sur Lumapp.
Objectif
Donner aux collaborateurs la possibilité d’interroger ChatGPT afin d’obtenir rapidement des réponses sur :
les process de modération ;
les process IT associés. (SDA, SDP, File SER et Messagerie, Litige, SC) ;
</t>
  </si>
  <si>
    <t>Réduction du temps consacré à chercher la bonne procédure dans la documentation interne.
Meilleure conformité aux process définis.
Uniformité dans l’application des process
Support direct pour les collaborateurs, notamment lors de la gestion de cas complexes.</t>
  </si>
  <si>
    <t>Mayday va couvrir ça</t>
  </si>
  <si>
    <t>6/02 Cas via Mayday, il va y avoir plusieurs agents voir comment itérer</t>
  </si>
  <si>
    <t>Assistant Tableau IA</t>
  </si>
  <si>
    <t>Connecter Tableau et l'IA pour permettre une rapide analyse des données peu importe la source de données</t>
  </si>
  <si>
    <t>Keith Khoshaba</t>
  </si>
  <si>
    <t>Team Partenaires</t>
  </si>
  <si>
    <t>Réduction du temps consacré à l'analyse des chiffres Prod et formalisation des Plans d'Action en fonction des résultats</t>
  </si>
  <si>
    <t>feature dans tableau, voir si possible de la tester en Q2</t>
  </si>
  <si>
    <t>6/02 Laetitia check avec la data</t>
  </si>
  <si>
    <t>CoPilote</t>
  </si>
  <si>
    <t>Connecter notre suivi à l'IA pour permettre une analyse rapide de la situation et mise en évidence des risques encouru</t>
  </si>
  <si>
    <t>Chargés de partenaires</t>
  </si>
  <si>
    <t>Réduction du temps consacré à la compilation puis l'analyse des données de la veille, puis formalisation du PA qui prend environ 1h30 minimum par jour, et un peu plus le lundi</t>
  </si>
  <si>
    <t>6/02 Clarifier avec Laurent qu'est ce qui est considéré comme "suivi"</t>
  </si>
  <si>
    <t>n8n (?)</t>
  </si>
  <si>
    <t>Connecter IA aux fichiers de reporting interne afin de pouvoir consolider les datas et sortir une synthèse hebdo/mmensuelle selon des paramètres préalablement définis, sur support excel ou ppt</t>
  </si>
  <si>
    <t>Idriss SI HASSEN</t>
  </si>
  <si>
    <t>Remplacé par ligne 374</t>
  </si>
  <si>
    <t>6/02 RC discute avec Laurent</t>
  </si>
  <si>
    <t>n8n (GDrive)</t>
  </si>
  <si>
    <t>Résumé des conv Serenity</t>
  </si>
  <si>
    <t xml:space="preserve">Pouvoir avoir un résumé des conversations et retrouver une conversation avec un mot-clé spécifique dans une discussion
</t>
  </si>
  <si>
    <t>Amélioration du temps de traitement</t>
  </si>
  <si>
    <t xml:space="preserve">Suggérer des améliorations/modifications d'une réponse </t>
  </si>
  <si>
    <t>En fonction de la ou les demandes du client, IA détecte si nous répondons à l'ensemble des demandes clients et/ou nous suggèrent des améliorations sur la réponse à apporter</t>
  </si>
  <si>
    <t xml:space="preserve">Gagner en efficacité avec une réponse complète et éviter des rebonds </t>
  </si>
  <si>
    <t>A voir comment notre nouvel outil Mayday peut répondre au besoin (RC)</t>
  </si>
  <si>
    <t>Suggérer les macros disponibles en fonction de la réclamation</t>
  </si>
  <si>
    <t xml:space="preserve">Même si aujourd'hui ZD fait de la suggestion d'une macro, cela reste très fébrile et cela ne correpond pas toujours aux besoins ou ne pousse pas la bonne marco alors qu'il en existe une  </t>
  </si>
  <si>
    <t>Efficacité et gain de temps</t>
  </si>
  <si>
    <t>Couvert par mayday</t>
  </si>
  <si>
    <t>Assistant facilitateur de création de process</t>
  </si>
  <si>
    <t>Connecter IA sur les outils et mutualiser les utilisations transverses pour rédiger des process</t>
  </si>
  <si>
    <t>40 personnes (RC)</t>
  </si>
  <si>
    <t xml:space="preserve">Gain de temps, et rendre plus efficace la récupération des informations sur plusieurs supports partagés </t>
  </si>
  <si>
    <t>6/02: Mayday</t>
  </si>
  <si>
    <t>Agents pour réaliser une veille sur le droit du travail et accéder aux cas  jurisprudence (réponses spécifiques et / ou d'expertise sur des cases plus complexes  type jurisprudence, site législatif spécifiques, légifrance)</t>
  </si>
  <si>
    <t>Dashboard reviewer</t>
  </si>
  <si>
    <t>Remonter à la data les dashboards tableau obsolètes / en double</t>
  </si>
  <si>
    <t>Gilles LALYRE</t>
  </si>
  <si>
    <t>Data analyst</t>
  </si>
  <si>
    <t>ça sera dans les missions data gouv et la transfo data, pas besoin d'IA à date, on a deja des tools tableau ou autres pour le faire</t>
  </si>
  <si>
    <t>Création automatique de powerpoint</t>
  </si>
  <si>
    <t>Gagner du temps sur la création de PPT</t>
  </si>
  <si>
    <t>Hugo Blum</t>
  </si>
  <si>
    <t>Notebook LM et Gslides s'en rapproche de plus en plus</t>
  </si>
  <si>
    <t>Notebook LM, Gslide</t>
  </si>
  <si>
    <t>Validation XSD</t>
  </si>
  <si>
    <t>Avoir un agent pour tester la conformité structurelle (XSD) des fichiers XML fournis par les clients par rapport à nos specifications techniques</t>
  </si>
  <si>
    <t>Gain de temps sur les tests en QA, minimisation des erreurs, moins besoin d'expertise technique pour faire les tests</t>
  </si>
  <si>
    <t>Besoin expertise technique
Prise contact avec Jérémy à initier</t>
  </si>
  <si>
    <t>L'IA est-elle vraiment nécessaire ? (linter)</t>
  </si>
  <si>
    <t>Utiliser ChatGPT pour créer un script qui permet de vérifier la conformité des annonces récupérées depuis nos sources d'annonces, à nos standards structurels et techniques =&gt; Low risk si pas de risque de bloquer la publication d'une annonce</t>
  </si>
  <si>
    <t>Flux GVA</t>
  </si>
  <si>
    <t>Automatisation des flux Google/Meta via une IA générant les annonces à monter sur les flux ayants le ROI le plus élevé pour le client et pour LBC</t>
  </si>
  <si>
    <t>Marketing</t>
  </si>
  <si>
    <t>Optimisation du budet marketing paid</t>
  </si>
  <si>
    <t>Queries IA</t>
  </si>
  <si>
    <t>Réaliser toute sorte de queries sur les bases de données disponibles via un agent IA</t>
  </si>
  <si>
    <t>Analytics</t>
  </si>
  <si>
    <t>Disponibilités de la data, moins de ressources (non disponibles aujourd'hui), décision plus data-driven</t>
  </si>
  <si>
    <t>attention au guardrail, acces/permission. En première version, l'assistant devrait demander une validation de la requête avant execution</t>
  </si>
  <si>
    <t>Automated reporting (wish list)</t>
  </si>
  <si>
    <t>Automatiser les reporting fréquents (PPP, Operating review) via un agent IA</t>
  </si>
  <si>
    <t>Marc</t>
  </si>
  <si>
    <t xml:space="preserve">Bilan mensuel / annuel GC </t>
  </si>
  <si>
    <t xml:space="preserve">Création d'un dashboard avec statistiques de performancesd'un client </t>
  </si>
  <si>
    <t>https://sites.google.com/adevinta.com/calcul-de-renta/accueil</t>
  </si>
  <si>
    <t>Edward Foxon Lisa Assanto</t>
  </si>
  <si>
    <t>Support à la prise de décision - 
Amélioration de la qualité des RDV client - Valorisation des KPI</t>
  </si>
  <si>
    <t>Alerte PR obsolètes</t>
  </si>
  <si>
    <t>Vérifie les PRs non mises à jour / relues depuis plus de 2 jours et envoie un message sur Slack</t>
  </si>
  <si>
    <t>https://docs.getdx.com/dashboard/slas/</t>
  </si>
  <si>
    <t>getDX est censé le faire pour nous, Andy Ladjadj</t>
  </si>
  <si>
    <t>n8n (Slack + Gerrit access)</t>
  </si>
  <si>
    <t>Tickets bloqués</t>
  </si>
  <si>
    <t>Détection des tickets obsolètes ou bloqués et envoi d’un récapitulatif sur Slack chaque semaine</t>
  </si>
  <si>
    <t>n8n (Slack + Jira access)</t>
  </si>
  <si>
    <t>Départements</t>
  </si>
  <si>
    <t>Priorité</t>
  </si>
  <si>
    <t>Faible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</si>
</sst>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yyyy"/>
    <numFmt numFmtId="166" formatCode="dd/mm"/>
  </numFmts>
  <fonts count="52">
    <font>
      <sz val="10.0"/>
      <color rgb="FF000000"/>
      <name val="Arial"/>
      <scheme val="minor"/>
    </font>
    <font>
      <b/>
      <color theme="1"/>
      <name val="Arial"/>
    </font>
    <font>
      <color theme="1"/>
      <name val="Arial"/>
    </font>
    <font>
      <u/>
      <color theme="1"/>
      <name val="Arial"/>
    </font>
    <font>
      <u/>
      <color theme="1"/>
      <name val="Arial"/>
    </font>
    <font>
      <u/>
      <color rgb="FF1155CC"/>
      <name val="Arial"/>
    </font>
    <font>
      <color rgb="FF0000FF"/>
      <name val="Arial"/>
    </font>
    <font>
      <u/>
      <color rgb="FF0000FF"/>
    </font>
    <font>
      <u/>
      <color theme="1"/>
      <name val="Arial"/>
    </font>
    <font>
      <u/>
      <color rgb="FF0000FF"/>
    </font>
    <font>
      <color rgb="FF000000"/>
      <name val="Arial"/>
    </font>
    <font>
      <u/>
      <color rgb="FF0000FF"/>
      <name val="Arial"/>
    </font>
    <font>
      <u/>
      <color rgb="FF0000FF"/>
      <name val="Arial"/>
    </font>
    <font>
      <u/>
      <color rgb="FF1155CC"/>
      <name val="Arial"/>
    </font>
    <font>
      <u/>
      <color rgb="FF1155CC"/>
      <name val="Arial"/>
    </font>
    <font>
      <u/>
      <color rgb="FF0000FF"/>
      <name val="Arial"/>
    </font>
    <font>
      <u/>
      <color rgb="FF0000FF"/>
      <name val="Arial"/>
    </font>
    <font>
      <u/>
      <color rgb="FF0000FF"/>
      <name val="Arial"/>
    </font>
    <font>
      <u/>
      <color theme="1"/>
      <name val="Arial"/>
    </font>
    <font>
      <u/>
      <color rgb="FF1155CC"/>
      <name val="Arial"/>
    </font>
    <font>
      <u/>
      <color rgb="FF0000FF"/>
    </font>
    <font>
      <u/>
      <color rgb="FF0000FF"/>
      <name val="Arial"/>
    </font>
    <font>
      <u/>
      <color rgb="FF0000FF"/>
      <name val="Arial"/>
    </font>
    <font>
      <u/>
      <color rgb="FF0000FF"/>
    </font>
    <font>
      <strike/>
      <color theme="1"/>
      <name val="Arial"/>
    </font>
    <font>
      <u/>
      <color rgb="FF0000FF"/>
    </font>
    <font>
      <strike/>
      <u/>
      <color theme="1"/>
      <name val="Arial"/>
    </font>
    <font>
      <u/>
      <color theme="1"/>
      <name val="Arial"/>
    </font>
    <font>
      <u/>
      <color rgb="FF0000FF"/>
      <name val="Arial"/>
    </font>
    <font>
      <u/>
      <color rgb="FF0000FF"/>
      <name val="Arial"/>
    </font>
    <font>
      <color rgb="FF222222"/>
      <name val="Arial"/>
    </font>
    <font>
      <u/>
      <color theme="1"/>
      <name val="Arial"/>
    </font>
    <font>
      <u/>
      <color rgb="FF0000FF"/>
    </font>
    <font>
      <u/>
      <color theme="1"/>
      <name val="Arial"/>
    </font>
    <font>
      <color theme="1"/>
      <name val="Arial"/>
      <scheme val="minor"/>
    </font>
    <font>
      <b/>
      <color rgb="FFFFFFFF"/>
      <name val="Arial"/>
    </font>
    <font>
      <color rgb="FFFFFFFF"/>
      <name val="Arial"/>
    </font>
    <font/>
    <font>
      <b/>
      <color rgb="FFFFFFFF"/>
      <name val="Montserrat"/>
    </font>
    <font>
      <i/>
      <color rgb="FF000000"/>
      <name val="Arial"/>
    </font>
    <font>
      <b/>
      <color rgb="FF000000"/>
      <name val="Arial"/>
    </font>
    <font>
      <b/>
      <color rgb="FFEA4335"/>
      <name val="Arial"/>
    </font>
    <font>
      <b/>
      <color rgb="FFFF6D01"/>
      <name val="Arial"/>
    </font>
    <font>
      <b/>
      <color rgb="FF34A853"/>
      <name val="Arial"/>
    </font>
    <font>
      <u/>
      <color rgb="FF0000FF"/>
    </font>
    <font>
      <u/>
      <color theme="1"/>
      <name val="Arial"/>
    </font>
    <font>
      <u/>
      <color rgb="FF1155CC"/>
      <name val="Arial"/>
    </font>
    <font>
      <u/>
      <color theme="1"/>
      <name val="Arial"/>
    </font>
    <font>
      <u/>
      <color theme="1"/>
      <name val="Arial"/>
    </font>
    <font>
      <u/>
      <color rgb="FF0000FF"/>
    </font>
    <font>
      <i/>
      <sz val="11.0"/>
      <color rgb="FF1F1F1F"/>
      <name val="Roboto"/>
    </font>
    <font>
      <u/>
      <color theme="1"/>
      <name val="Arial"/>
    </font>
  </fonts>
  <fills count="12">
    <fill>
      <patternFill patternType="none"/>
    </fill>
    <fill>
      <patternFill patternType="lightGray"/>
    </fill>
    <fill>
      <patternFill patternType="solid">
        <fgColor rgb="FFBDBDBD"/>
        <bgColor rgb="FFBDBDBD"/>
      </patternFill>
    </fill>
    <fill>
      <patternFill patternType="solid">
        <fgColor rgb="FFFFF2CC"/>
        <bgColor rgb="FFFFF2CC"/>
      </patternFill>
    </fill>
    <fill>
      <patternFill patternType="solid">
        <fgColor rgb="FFF6F8F9"/>
        <bgColor rgb="FFF6F8F9"/>
      </patternFill>
    </fill>
    <fill>
      <patternFill patternType="solid">
        <fgColor rgb="FFFFFFFF"/>
        <bgColor rgb="FFFFFFFF"/>
      </patternFill>
    </fill>
    <fill>
      <patternFill patternType="solid">
        <fgColor rgb="FFF3F3F3"/>
        <bgColor rgb="FFF3F3F3"/>
      </patternFill>
    </fill>
    <fill>
      <patternFill patternType="solid">
        <fgColor rgb="FFD9EAD3"/>
        <bgColor rgb="FFD9EAD3"/>
      </patternFill>
    </fill>
    <fill>
      <patternFill patternType="solid">
        <fgColor rgb="FFEFEFEF"/>
        <bgColor rgb="FFEFEFEF"/>
      </patternFill>
    </fill>
    <fill>
      <patternFill patternType="solid">
        <fgColor rgb="FFF4CCCC"/>
        <bgColor rgb="FFF4CCCC"/>
      </patternFill>
    </fill>
    <fill>
      <patternFill patternType="solid">
        <fgColor rgb="FF000000"/>
        <bgColor rgb="FF000000"/>
      </patternFill>
    </fill>
    <fill>
      <patternFill patternType="solid">
        <fgColor rgb="FFCCCCCC"/>
        <bgColor rgb="FFCCCCCC"/>
      </patternFill>
    </fill>
  </fills>
  <borders count="16">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right style="thin">
        <color rgb="FF000000"/>
      </right>
    </border>
    <border>
      <right style="thin">
        <color rgb="FFFFFFFF"/>
      </right>
      <bottom style="thin">
        <color rgb="FFA3B2CC"/>
      </bottom>
    </border>
    <border>
      <left style="thin">
        <color rgb="FFFFFFFF"/>
      </left>
      <right style="thin">
        <color rgb="FFFFFFFF"/>
      </right>
      <bottom style="thin">
        <color rgb="FFA3B2CC"/>
      </bottom>
    </border>
    <border>
      <left style="thin">
        <color rgb="FFFFFFFF"/>
      </left>
      <bottom style="thin">
        <color rgb="FFA3B2CC"/>
      </bottom>
    </border>
    <border>
      <right style="thin">
        <color rgb="FFFFFFFF"/>
      </right>
      <top style="thin">
        <color rgb="FFA3B2CC"/>
      </top>
      <bottom style="thin">
        <color rgb="FFA3B2CC"/>
      </bottom>
    </border>
    <border>
      <left style="thin">
        <color rgb="FFFFFFFF"/>
      </left>
      <right style="thin">
        <color rgb="FFFFFFFF"/>
      </right>
      <top style="thin">
        <color rgb="FFA3B2CC"/>
      </top>
      <bottom style="thin">
        <color rgb="FFA3B2CC"/>
      </bottom>
    </border>
    <border>
      <left style="thin">
        <color rgb="FFFFFFFF"/>
      </left>
      <top style="thin">
        <color rgb="FFA3B2CC"/>
      </top>
      <bottom style="thin">
        <color rgb="FFA3B2CC"/>
      </bottom>
    </border>
  </borders>
  <cellStyleXfs count="1">
    <xf borderId="0" fillId="0" fontId="0" numFmtId="0" applyAlignment="1" applyFont="1"/>
  </cellStyleXfs>
  <cellXfs count="201">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ont="1">
      <alignment horizontal="left" shrinkToFit="0" vertical="center" wrapText="1"/>
    </xf>
    <xf borderId="0" fillId="2" fontId="2" numFmtId="0" xfId="0" applyAlignment="1" applyFont="1">
      <alignment horizontal="center" shrinkToFit="0" vertical="center" wrapText="1"/>
    </xf>
    <xf borderId="0" fillId="3" fontId="1" numFmtId="0" xfId="0" applyAlignment="1" applyFill="1" applyFont="1">
      <alignment horizontal="center" shrinkToFit="0" vertical="center" wrapText="1"/>
    </xf>
    <xf borderId="0" fillId="3" fontId="2" numFmtId="0" xfId="0" applyAlignment="1" applyFont="1">
      <alignment horizontal="center" shrinkToFit="0" vertical="center" wrapText="1"/>
    </xf>
    <xf borderId="0" fillId="4" fontId="2" numFmtId="0" xfId="0" applyAlignment="1" applyFill="1" applyFont="1">
      <alignment shrinkToFit="0" vertical="center" wrapText="1"/>
    </xf>
    <xf borderId="0" fillId="5" fontId="2" numFmtId="0" xfId="0" applyAlignment="1" applyFill="1" applyFont="1">
      <alignment horizontal="center" shrinkToFit="0" vertical="center" wrapText="1"/>
    </xf>
    <xf borderId="0" fillId="5" fontId="2" numFmtId="0" xfId="0" applyAlignment="1" applyFont="1">
      <alignment horizontal="left" shrinkToFit="0" vertical="center" wrapText="1"/>
    </xf>
    <xf borderId="0" fillId="5" fontId="2" numFmtId="0" xfId="0" applyAlignment="1" applyFont="1">
      <alignment shrinkToFit="0" vertical="center" wrapText="1"/>
    </xf>
    <xf borderId="0" fillId="5" fontId="2" numFmtId="0" xfId="0" applyAlignment="1" applyFont="1">
      <alignment horizontal="center" vertical="center"/>
    </xf>
    <xf borderId="0" fillId="6" fontId="2" numFmtId="0" xfId="0" applyAlignment="1" applyFill="1" applyFont="1">
      <alignment horizontal="center" shrinkToFit="0" vertical="center" wrapText="1"/>
    </xf>
    <xf borderId="0" fillId="6" fontId="2" numFmtId="0" xfId="0" applyAlignment="1" applyFont="1">
      <alignment horizontal="left" shrinkToFit="0" vertical="center" wrapText="1"/>
    </xf>
    <xf borderId="0" fillId="6" fontId="2" numFmtId="0" xfId="0" applyAlignment="1" applyFont="1">
      <alignment shrinkToFit="0" vertical="center" wrapText="1"/>
    </xf>
    <xf borderId="0" fillId="5" fontId="2" numFmtId="164" xfId="0" applyAlignment="1" applyFont="1" applyNumberFormat="1">
      <alignment horizontal="center" shrinkToFit="0" vertical="center" wrapText="1"/>
    </xf>
    <xf borderId="0" fillId="5" fontId="2" numFmtId="0" xfId="0" applyAlignment="1" applyFont="1">
      <alignment vertical="center"/>
    </xf>
    <xf borderId="0" fillId="5" fontId="3" numFmtId="0" xfId="0" applyAlignment="1" applyFont="1">
      <alignment horizontal="center" shrinkToFit="0" vertical="center" wrapText="1"/>
    </xf>
    <xf borderId="0" fillId="5" fontId="2" numFmtId="0" xfId="0" applyFont="1"/>
    <xf borderId="0" fillId="6" fontId="4" numFmtId="0" xfId="0" applyAlignment="1" applyFont="1">
      <alignment horizontal="center" shrinkToFit="0" vertical="center" wrapText="1"/>
    </xf>
    <xf borderId="0" fillId="6" fontId="2" numFmtId="0" xfId="0" applyFont="1"/>
    <xf borderId="0" fillId="6" fontId="2" numFmtId="165" xfId="0" applyAlignment="1" applyFont="1" applyNumberFormat="1">
      <alignment horizontal="center" shrinkToFit="0" vertical="center" wrapText="1"/>
    </xf>
    <xf borderId="0" fillId="6" fontId="2" numFmtId="0" xfId="0" applyAlignment="1" applyFont="1">
      <alignment vertical="center"/>
    </xf>
    <xf borderId="0" fillId="5" fontId="5" numFmtId="0" xfId="0" applyAlignment="1" applyFont="1">
      <alignment shrinkToFit="0" vertical="center" wrapText="1"/>
    </xf>
    <xf borderId="0" fillId="5" fontId="2" numFmtId="165" xfId="0" applyAlignment="1" applyFont="1" applyNumberFormat="1">
      <alignment horizontal="center" shrinkToFit="0" vertical="center" wrapText="1"/>
    </xf>
    <xf borderId="0" fillId="5" fontId="6" numFmtId="0" xfId="0" applyAlignment="1" applyFont="1">
      <alignment shrinkToFit="0" vertical="center" wrapText="1"/>
    </xf>
    <xf borderId="0" fillId="6" fontId="2" numFmtId="0" xfId="0" applyAlignment="1" applyFont="1">
      <alignment horizontal="center" vertical="center"/>
    </xf>
    <xf borderId="0" fillId="7" fontId="2" numFmtId="0" xfId="0" applyAlignment="1" applyFill="1" applyFont="1">
      <alignment shrinkToFit="0" vertical="center" wrapText="1"/>
    </xf>
    <xf borderId="0" fillId="6" fontId="6" numFmtId="0" xfId="0" applyAlignment="1" applyFont="1">
      <alignment shrinkToFit="0" vertical="center" wrapText="1"/>
    </xf>
    <xf borderId="0" fillId="5" fontId="7" numFmtId="0" xfId="0" applyAlignment="1" applyFont="1">
      <alignment horizontal="center" shrinkToFit="0" vertical="center" wrapText="1"/>
    </xf>
    <xf borderId="0" fillId="5" fontId="8" numFmtId="0" xfId="0" applyAlignment="1" applyFont="1">
      <alignment horizontal="center" vertical="center"/>
    </xf>
    <xf borderId="0" fillId="6" fontId="9" numFmtId="0" xfId="0" applyAlignment="1" applyFont="1">
      <alignment horizontal="center" shrinkToFit="0" vertical="center" wrapText="1"/>
    </xf>
    <xf borderId="0" fillId="6" fontId="2" numFmtId="164" xfId="0" applyAlignment="1" applyFont="1" applyNumberFormat="1">
      <alignment shrinkToFit="0" vertical="center" wrapText="1"/>
    </xf>
    <xf borderId="0" fillId="5" fontId="2" numFmtId="164" xfId="0" applyAlignment="1" applyFont="1" applyNumberFormat="1">
      <alignment shrinkToFit="0" vertical="center" wrapText="1"/>
    </xf>
    <xf borderId="0" fillId="5" fontId="2" numFmtId="0" xfId="0" applyAlignment="1" applyFont="1">
      <alignment shrinkToFit="0" wrapText="1"/>
    </xf>
    <xf borderId="0" fillId="6" fontId="2" numFmtId="0" xfId="0" applyAlignment="1" applyFont="1">
      <alignment shrinkToFit="0" wrapText="1"/>
    </xf>
    <xf borderId="0" fillId="6" fontId="2" numFmtId="0" xfId="0" applyAlignment="1" applyFont="1">
      <alignment horizontal="left" shrinkToFit="0" vertical="center" wrapText="0"/>
    </xf>
    <xf borderId="0" fillId="5" fontId="2" numFmtId="0" xfId="0" applyAlignment="1" applyFont="1">
      <alignment horizontal="left" shrinkToFit="0" vertical="center" wrapText="0"/>
    </xf>
    <xf borderId="0" fillId="6" fontId="10" numFmtId="0" xfId="0" applyAlignment="1" applyFont="1">
      <alignment horizontal="left" shrinkToFit="0" vertical="center" wrapText="1"/>
    </xf>
    <xf borderId="0" fillId="6" fontId="11" numFmtId="0" xfId="0" applyAlignment="1" applyFont="1">
      <alignment vertical="center"/>
    </xf>
    <xf borderId="0" fillId="6" fontId="2" numFmtId="0" xfId="0" applyAlignment="1" applyFont="1">
      <alignment vertical="bottom"/>
    </xf>
    <xf borderId="0" fillId="6" fontId="2" numFmtId="0" xfId="0" applyAlignment="1" applyFont="1">
      <alignment horizontal="center" vertical="bottom"/>
    </xf>
    <xf borderId="0" fillId="5" fontId="10" numFmtId="0" xfId="0" applyAlignment="1" applyFont="1">
      <alignment horizontal="left" shrinkToFit="0" vertical="center" wrapText="1"/>
    </xf>
    <xf borderId="0" fillId="5" fontId="12" numFmtId="0" xfId="0" applyAlignment="1" applyFont="1">
      <alignment vertical="center"/>
    </xf>
    <xf borderId="0" fillId="5" fontId="2" numFmtId="0" xfId="0" applyAlignment="1" applyFont="1">
      <alignment vertical="bottom"/>
    </xf>
    <xf borderId="0" fillId="5" fontId="2" numFmtId="0" xfId="0" applyAlignment="1" applyFont="1">
      <alignment horizontal="center" vertical="bottom"/>
    </xf>
    <xf borderId="0" fillId="5" fontId="2" numFmtId="0" xfId="0" applyAlignment="1" applyFont="1">
      <alignment shrinkToFit="0" vertical="bottom" wrapText="1"/>
    </xf>
    <xf borderId="0" fillId="6" fontId="13" numFmtId="0" xfId="0" applyAlignment="1" applyFont="1">
      <alignment horizontal="center" shrinkToFit="0" vertical="center" wrapText="1"/>
    </xf>
    <xf borderId="0" fillId="6" fontId="2" numFmtId="0" xfId="0" applyAlignment="1" applyFont="1">
      <alignment horizontal="center" shrinkToFit="0" wrapText="1"/>
    </xf>
    <xf borderId="0" fillId="6" fontId="2" numFmtId="0" xfId="0" applyAlignment="1" applyFont="1">
      <alignment horizontal="center"/>
    </xf>
    <xf borderId="0" fillId="5" fontId="14" numFmtId="0" xfId="0" applyAlignment="1" applyFont="1">
      <alignment horizontal="center" shrinkToFit="0" vertical="center" wrapText="1"/>
    </xf>
    <xf borderId="0" fillId="5" fontId="2" numFmtId="0" xfId="0" applyAlignment="1" applyFont="1">
      <alignment horizontal="center" shrinkToFit="0" wrapText="1"/>
    </xf>
    <xf borderId="0" fillId="5" fontId="2" numFmtId="0" xfId="0" applyAlignment="1" applyFont="1">
      <alignment horizontal="center"/>
    </xf>
    <xf borderId="0" fillId="5" fontId="15" numFmtId="0" xfId="0" applyAlignment="1" applyFont="1">
      <alignment shrinkToFit="0" wrapText="1"/>
    </xf>
    <xf borderId="0" fillId="5" fontId="16" numFmtId="0" xfId="0" applyAlignment="1" applyFont="1">
      <alignment horizontal="center" shrinkToFit="0" vertical="center" wrapText="1"/>
    </xf>
    <xf borderId="0" fillId="6" fontId="2" numFmtId="0" xfId="0" applyAlignment="1" applyFont="1">
      <alignment shrinkToFit="0" vertical="bottom" wrapText="1"/>
    </xf>
    <xf borderId="0" fillId="6" fontId="17" numFmtId="0" xfId="0" applyAlignment="1" applyFont="1">
      <alignment vertical="bottom"/>
    </xf>
    <xf borderId="0" fillId="6" fontId="18" numFmtId="0" xfId="0" applyAlignment="1" applyFont="1">
      <alignment horizontal="center" vertical="center"/>
    </xf>
    <xf quotePrefix="1" borderId="0" fillId="5" fontId="2" numFmtId="0" xfId="0" applyAlignment="1" applyFont="1">
      <alignment horizontal="center" shrinkToFit="0" vertical="center" wrapText="1"/>
    </xf>
    <xf borderId="0" fillId="6" fontId="19" numFmtId="0" xfId="0" applyAlignment="1" applyFont="1">
      <alignment shrinkToFit="0" vertical="center" wrapText="1"/>
    </xf>
    <xf borderId="0" fillId="6" fontId="20" numFmtId="0" xfId="0" applyAlignment="1" applyFont="1">
      <alignment horizontal="left" shrinkToFit="0" vertical="center" wrapText="1"/>
    </xf>
    <xf borderId="0" fillId="5" fontId="21" numFmtId="0" xfId="0" applyAlignment="1" applyFont="1">
      <alignment horizontal="center" vertical="center"/>
    </xf>
    <xf borderId="0" fillId="6" fontId="22" numFmtId="0" xfId="0" applyAlignment="1" applyFont="1">
      <alignment horizontal="center" shrinkToFit="0" vertical="center" wrapText="1"/>
    </xf>
    <xf borderId="0" fillId="5" fontId="23" numFmtId="0" xfId="0" applyAlignment="1" applyFont="1">
      <alignment shrinkToFit="0" vertical="center" wrapText="1"/>
    </xf>
    <xf borderId="0" fillId="8" fontId="2" numFmtId="0" xfId="0" applyAlignment="1" applyFill="1" applyFont="1">
      <alignment horizontal="left" shrinkToFit="0" vertical="center" wrapText="1"/>
    </xf>
    <xf borderId="0" fillId="6" fontId="2" numFmtId="0" xfId="0" applyAlignment="1" applyFont="1">
      <alignment horizontal="center" shrinkToFit="0" vertical="top" wrapText="1"/>
    </xf>
    <xf borderId="0" fillId="6" fontId="24" numFmtId="0" xfId="0" applyAlignment="1" applyFont="1">
      <alignment horizontal="center" shrinkToFit="0" vertical="center" wrapText="1"/>
    </xf>
    <xf borderId="0" fillId="5" fontId="24" numFmtId="0" xfId="0" applyAlignment="1" applyFont="1">
      <alignment horizontal="left" shrinkToFit="0" vertical="center" wrapText="1"/>
    </xf>
    <xf borderId="0" fillId="6" fontId="24" numFmtId="0" xfId="0" applyAlignment="1" applyFont="1">
      <alignment shrinkToFit="0" vertical="center" wrapText="1"/>
    </xf>
    <xf borderId="0" fillId="6" fontId="24" numFmtId="0" xfId="0" applyAlignment="1" applyFont="1">
      <alignment horizontal="left" shrinkToFit="0" vertical="center" wrapText="1"/>
    </xf>
    <xf borderId="0" fillId="5" fontId="25" numFmtId="0" xfId="0" applyAlignment="1" applyFont="1">
      <alignment horizontal="left" shrinkToFit="0" vertical="center" wrapText="1"/>
    </xf>
    <xf borderId="0" fillId="5" fontId="24" numFmtId="0" xfId="0" applyAlignment="1" applyFont="1">
      <alignment horizontal="center" shrinkToFit="0" vertical="center" wrapText="1"/>
    </xf>
    <xf borderId="0" fillId="5" fontId="24" numFmtId="0" xfId="0" applyAlignment="1" applyFont="1">
      <alignment shrinkToFit="0" vertical="center" wrapText="1"/>
    </xf>
    <xf borderId="0" fillId="5" fontId="26" numFmtId="0" xfId="0" applyAlignment="1" applyFont="1">
      <alignment horizontal="center" shrinkToFit="0" vertical="center" wrapText="1"/>
    </xf>
    <xf borderId="0" fillId="5" fontId="27" numFmtId="0" xfId="0" applyAlignment="1" applyFont="1">
      <alignment horizontal="left" shrinkToFit="0" vertical="center" wrapText="1"/>
    </xf>
    <xf borderId="0" fillId="6" fontId="28" numFmtId="0" xfId="0" applyAlignment="1" applyFont="1">
      <alignment horizontal="center" vertical="center"/>
    </xf>
    <xf borderId="0" fillId="6" fontId="29" numFmtId="0" xfId="0" applyAlignment="1" applyFont="1">
      <alignment shrinkToFit="0" vertical="center" wrapText="1"/>
    </xf>
    <xf borderId="0" fillId="5" fontId="30" numFmtId="0" xfId="0" applyAlignment="1" applyFont="1">
      <alignment shrinkToFit="0" vertical="center" wrapText="1"/>
    </xf>
    <xf borderId="0" fillId="7" fontId="2" numFmtId="0" xfId="0" applyAlignment="1" applyFont="1">
      <alignment horizontal="center" shrinkToFit="0" vertical="center" wrapText="1"/>
    </xf>
    <xf borderId="0" fillId="6" fontId="31" numFmtId="0" xfId="0" applyAlignment="1" applyFont="1">
      <alignment horizontal="left" shrinkToFit="0" vertical="center" wrapText="1"/>
    </xf>
    <xf borderId="0" fillId="6" fontId="2" numFmtId="166" xfId="0" applyAlignment="1" applyFont="1" applyNumberFormat="1">
      <alignment horizontal="center" shrinkToFit="0" vertical="center" wrapText="1"/>
    </xf>
    <xf borderId="0" fillId="6" fontId="32" numFmtId="0" xfId="0" applyAlignment="1" applyFont="1">
      <alignment shrinkToFit="0" vertical="center" wrapText="1"/>
    </xf>
    <xf borderId="0" fillId="6" fontId="1" numFmtId="0" xfId="0" applyAlignment="1" applyFont="1">
      <alignment horizontal="center" shrinkToFit="0" vertical="center" wrapText="1"/>
    </xf>
    <xf borderId="0" fillId="6" fontId="1" numFmtId="0" xfId="0" applyAlignment="1" applyFont="1">
      <alignment horizontal="left" shrinkToFit="0" vertical="center" wrapText="1"/>
    </xf>
    <xf borderId="0" fillId="5" fontId="2" numFmtId="0" xfId="0" applyAlignment="1" applyFont="1">
      <alignment readingOrder="0" shrinkToFit="0" vertical="center" wrapText="1"/>
    </xf>
    <xf borderId="0" fillId="6" fontId="2" numFmtId="0" xfId="0" applyAlignment="1" applyFont="1">
      <alignment readingOrder="0" shrinkToFit="0" vertical="center" wrapText="1"/>
    </xf>
    <xf borderId="0" fillId="3" fontId="2" numFmtId="0" xfId="0" applyAlignment="1" applyFont="1">
      <alignment vertical="center"/>
    </xf>
    <xf borderId="0" fillId="9" fontId="2" numFmtId="0" xfId="0" applyAlignment="1" applyFill="1" applyFont="1">
      <alignment horizontal="center" shrinkToFit="0" vertical="center" wrapText="1"/>
    </xf>
    <xf borderId="0" fillId="9" fontId="2" numFmtId="0" xfId="0" applyAlignment="1" applyFont="1">
      <alignment horizontal="center" vertical="center"/>
    </xf>
    <xf borderId="0" fillId="9" fontId="2" numFmtId="0" xfId="0" applyAlignment="1" applyFont="1">
      <alignment vertical="center"/>
    </xf>
    <xf borderId="0" fillId="9" fontId="2" numFmtId="0" xfId="0" applyAlignment="1" applyFont="1">
      <alignment shrinkToFit="0" vertical="center" wrapText="1"/>
    </xf>
    <xf borderId="0" fillId="9" fontId="33" numFmtId="0" xfId="0" applyAlignment="1" applyFont="1">
      <alignment horizontal="center" vertical="center"/>
    </xf>
    <xf borderId="0" fillId="0" fontId="34" numFmtId="0" xfId="0" applyFont="1"/>
    <xf borderId="0" fillId="0" fontId="2" numFmtId="0" xfId="0" applyAlignment="1" applyFont="1">
      <alignment horizontal="center"/>
    </xf>
    <xf borderId="0" fillId="0" fontId="1" numFmtId="0" xfId="0" applyAlignment="1" applyFont="1">
      <alignment horizontal="center"/>
    </xf>
    <xf borderId="0" fillId="0" fontId="1" numFmtId="10" xfId="0" applyAlignment="1" applyFont="1" applyNumberFormat="1">
      <alignment horizontal="center"/>
    </xf>
    <xf borderId="0" fillId="0" fontId="2" numFmtId="10" xfId="0" applyAlignment="1" applyFont="1" applyNumberFormat="1">
      <alignment horizontal="center"/>
    </xf>
    <xf borderId="0" fillId="0" fontId="35" numFmtId="0" xfId="0" applyAlignment="1" applyFont="1">
      <alignment horizontal="center" vertical="center"/>
    </xf>
    <xf borderId="0" fillId="0" fontId="1" numFmtId="0" xfId="0" applyAlignment="1" applyFont="1">
      <alignment horizontal="center" vertical="center"/>
    </xf>
    <xf borderId="0" fillId="0" fontId="36" numFmtId="0" xfId="0" applyAlignment="1" applyFont="1">
      <alignment shrinkToFit="0" wrapText="1"/>
    </xf>
    <xf borderId="0" fillId="0" fontId="36" numFmtId="0" xfId="0" applyAlignment="1" applyFont="1">
      <alignment horizontal="center" vertical="center"/>
    </xf>
    <xf borderId="1" fillId="10" fontId="35" numFmtId="0" xfId="0" applyAlignment="1" applyBorder="1" applyFill="1" applyFont="1">
      <alignment horizontal="center" vertical="center"/>
    </xf>
    <xf borderId="2" fillId="11" fontId="1" numFmtId="0" xfId="0" applyAlignment="1" applyBorder="1" applyFill="1" applyFont="1">
      <alignment horizontal="center" vertical="center"/>
    </xf>
    <xf borderId="3" fillId="0" fontId="37" numFmtId="0" xfId="0" applyBorder="1" applyFont="1"/>
    <xf borderId="4" fillId="10" fontId="36" numFmtId="0" xfId="0" applyAlignment="1" applyBorder="1" applyFont="1">
      <alignment shrinkToFit="0" wrapText="1"/>
    </xf>
    <xf borderId="3" fillId="10" fontId="36" numFmtId="0" xfId="0" applyAlignment="1" applyBorder="1" applyFont="1">
      <alignment horizontal="center" vertical="center"/>
    </xf>
    <xf borderId="5" fillId="0" fontId="37" numFmtId="0" xfId="0" applyBorder="1" applyFont="1"/>
    <xf borderId="5" fillId="11" fontId="1" numFmtId="0" xfId="0" applyAlignment="1" applyBorder="1" applyFont="1">
      <alignment horizontal="center" vertical="center"/>
    </xf>
    <xf borderId="1" fillId="0" fontId="2" numFmtId="0" xfId="0" applyAlignment="1" applyBorder="1" applyFont="1">
      <alignment horizontal="center" vertical="center"/>
    </xf>
    <xf borderId="6" fillId="5" fontId="1" numFmtId="0" xfId="0" applyBorder="1" applyFont="1"/>
    <xf borderId="7" fillId="5" fontId="2" numFmtId="0" xfId="0" applyAlignment="1" applyBorder="1" applyFont="1">
      <alignment horizontal="center"/>
    </xf>
    <xf borderId="8" fillId="0" fontId="37" numFmtId="0" xfId="0" applyBorder="1" applyFont="1"/>
    <xf borderId="6" fillId="5" fontId="2" numFmtId="0" xfId="0" applyAlignment="1" applyBorder="1" applyFont="1">
      <alignment shrinkToFit="0" wrapText="1"/>
    </xf>
    <xf borderId="7" fillId="5" fontId="2" numFmtId="0" xfId="0" applyAlignment="1" applyBorder="1" applyFont="1">
      <alignment horizontal="center" vertical="center"/>
    </xf>
    <xf borderId="1" fillId="6" fontId="2" numFmtId="0" xfId="0" applyAlignment="1" applyBorder="1" applyFont="1">
      <alignment horizontal="center" vertical="center"/>
    </xf>
    <xf borderId="6" fillId="6" fontId="1" numFmtId="0" xfId="0" applyAlignment="1" applyBorder="1" applyFont="1">
      <alignment shrinkToFit="0" wrapText="1"/>
    </xf>
    <xf borderId="7" fillId="6" fontId="2" numFmtId="0" xfId="0" applyAlignment="1" applyBorder="1" applyFont="1">
      <alignment horizontal="center" vertical="center"/>
    </xf>
    <xf borderId="6" fillId="6" fontId="2" numFmtId="0" xfId="0" applyAlignment="1" applyBorder="1" applyFont="1">
      <alignment shrinkToFit="0" wrapText="1"/>
    </xf>
    <xf borderId="1" fillId="11" fontId="1" numFmtId="0" xfId="0" applyAlignment="1" applyBorder="1" applyFont="1">
      <alignment horizontal="center" shrinkToFit="0" vertical="center" wrapText="1"/>
    </xf>
    <xf borderId="4" fillId="0" fontId="2" numFmtId="0" xfId="0" applyAlignment="1" applyBorder="1" applyFont="1">
      <alignment shrinkToFit="0" wrapText="1"/>
    </xf>
    <xf borderId="3" fillId="0" fontId="2" numFmtId="0" xfId="0" applyAlignment="1" applyBorder="1" applyFont="1">
      <alignment horizontal="center" shrinkToFit="0" vertical="center" wrapText="1"/>
    </xf>
    <xf borderId="6" fillId="0" fontId="1" numFmtId="0" xfId="0" applyAlignment="1" applyBorder="1" applyFont="1">
      <alignment shrinkToFit="0" wrapText="1"/>
    </xf>
    <xf borderId="9" fillId="0" fontId="1" numFmtId="2" xfId="0" applyAlignment="1" applyBorder="1" applyFont="1" applyNumberFormat="1">
      <alignment horizontal="center"/>
    </xf>
    <xf borderId="4" fillId="6" fontId="2" numFmtId="0" xfId="0" applyAlignment="1" applyBorder="1" applyFont="1">
      <alignment shrinkToFit="0" wrapText="1"/>
    </xf>
    <xf borderId="3" fillId="6" fontId="2" numFmtId="1" xfId="0" applyAlignment="1" applyBorder="1" applyFont="1" applyNumberFormat="1">
      <alignment horizontal="center" vertical="center"/>
    </xf>
    <xf borderId="7" fillId="6" fontId="1" numFmtId="2" xfId="0" applyAlignment="1" applyBorder="1" applyFont="1" applyNumberFormat="1">
      <alignment horizontal="center" vertical="center"/>
    </xf>
    <xf borderId="0" fillId="0" fontId="2" numFmtId="0" xfId="0" applyAlignment="1" applyFont="1">
      <alignment shrinkToFit="0" wrapText="1"/>
    </xf>
    <xf borderId="0" fillId="0" fontId="2" numFmtId="0" xfId="0" applyAlignment="1" applyFont="1">
      <alignment shrinkToFit="0" vertical="center" wrapText="1"/>
    </xf>
    <xf borderId="0" fillId="0" fontId="2" numFmtId="0" xfId="0" applyAlignment="1" applyFont="1">
      <alignment vertical="center"/>
    </xf>
    <xf borderId="0" fillId="0" fontId="2" numFmtId="0" xfId="0" applyFont="1"/>
    <xf borderId="0" fillId="0" fontId="38" numFmtId="0" xfId="0" applyAlignment="1" applyFont="1">
      <alignment horizontal="center" vertical="center"/>
    </xf>
    <xf borderId="0" fillId="0" fontId="2" numFmtId="2" xfId="0" applyFont="1" applyNumberFormat="1"/>
    <xf borderId="0" fillId="0" fontId="2" numFmtId="10" xfId="0" applyFont="1" applyNumberFormat="1"/>
    <xf borderId="0" fillId="0" fontId="39" numFmtId="0" xfId="0" applyAlignment="1" applyFont="1">
      <alignment shrinkToFit="0" wrapText="1"/>
    </xf>
    <xf borderId="0" fillId="0" fontId="40" numFmtId="0" xfId="0" applyAlignment="1" applyFont="1">
      <alignment horizontal="center" shrinkToFit="0" wrapText="1"/>
    </xf>
    <xf borderId="0" fillId="0" fontId="10" numFmtId="0" xfId="0" applyAlignment="1" applyFont="1">
      <alignment horizontal="center" shrinkToFit="0" wrapText="1"/>
    </xf>
    <xf borderId="0" fillId="0" fontId="41" numFmtId="10" xfId="0" applyAlignment="1" applyFont="1" applyNumberFormat="1">
      <alignment horizontal="center" shrinkToFit="0" wrapText="1"/>
    </xf>
    <xf borderId="0" fillId="0" fontId="42" numFmtId="10" xfId="0" applyAlignment="1" applyFont="1" applyNumberFormat="1">
      <alignment horizontal="center" shrinkToFit="0" wrapText="1"/>
    </xf>
    <xf borderId="0" fillId="0" fontId="43" numFmtId="10" xfId="0" applyAlignment="1" applyFont="1" applyNumberFormat="1">
      <alignment horizontal="center" shrinkToFit="0" wrapText="1"/>
    </xf>
    <xf borderId="10" fillId="0" fontId="35" numFmtId="0" xfId="0" applyAlignment="1" applyBorder="1" applyFont="1">
      <alignment horizontal="center"/>
    </xf>
    <xf borderId="11" fillId="0" fontId="35" numFmtId="0" xfId="0" applyAlignment="1" applyBorder="1" applyFont="1">
      <alignment horizontal="center"/>
    </xf>
    <xf borderId="12" fillId="0" fontId="35" numFmtId="0" xfId="0" applyAlignment="1" applyBorder="1" applyFont="1">
      <alignment horizontal="center"/>
    </xf>
    <xf borderId="13" fillId="0" fontId="2" numFmtId="0" xfId="0" applyBorder="1" applyFont="1"/>
    <xf borderId="14" fillId="0" fontId="2" numFmtId="0" xfId="0" applyBorder="1" applyFont="1"/>
    <xf borderId="14" fillId="0" fontId="2" numFmtId="165" xfId="0" applyBorder="1" applyFont="1" applyNumberFormat="1"/>
    <xf borderId="15" fillId="0" fontId="2" numFmtId="0" xfId="0" applyBorder="1" applyFont="1"/>
    <xf borderId="14" fillId="0" fontId="44" numFmtId="0" xfId="0" applyBorder="1" applyFont="1"/>
    <xf borderId="14" fillId="0" fontId="2" numFmtId="164" xfId="0" applyBorder="1" applyFont="1" applyNumberFormat="1"/>
    <xf borderId="14" fillId="0" fontId="2" numFmtId="166" xfId="0" applyBorder="1" applyFont="1" applyNumberFormat="1"/>
    <xf borderId="0" fillId="6" fontId="1" numFmtId="0" xfId="0" applyAlignment="1" applyFont="1">
      <alignment horizontal="center" shrinkToFit="0" vertical="center" wrapText="1"/>
    </xf>
    <xf borderId="0" fillId="6" fontId="1" numFmtId="0" xfId="0" applyAlignment="1" applyFont="1">
      <alignment horizontal="left" shrinkToFit="0" vertical="center" wrapText="1"/>
    </xf>
    <xf borderId="0" fillId="0" fontId="2" numFmtId="0" xfId="0" applyAlignment="1" applyFont="1">
      <alignment horizontal="center" shrinkToFit="0" vertical="center" wrapText="1"/>
    </xf>
    <xf borderId="0" fillId="8" fontId="1" numFmtId="0" xfId="0" applyAlignment="1" applyFont="1">
      <alignment horizontal="center" shrinkToFit="0" vertical="center" wrapText="1"/>
    </xf>
    <xf borderId="0" fillId="3" fontId="1" numFmtId="0" xfId="0" applyAlignment="1" applyFont="1">
      <alignment horizontal="center" shrinkToFit="0" vertical="center" wrapText="1"/>
    </xf>
    <xf borderId="0" fillId="3" fontId="2" numFmtId="0" xfId="0" applyAlignment="1" applyFont="1">
      <alignment horizontal="center" shrinkToFit="0" vertical="center" wrapText="1"/>
    </xf>
    <xf borderId="0" fillId="4" fontId="2" numFmtId="0" xfId="0" applyAlignment="1" applyFont="1">
      <alignment shrinkToFit="0" vertical="center" wrapText="1"/>
    </xf>
    <xf borderId="0" fillId="0" fontId="2" numFmtId="0" xfId="0" applyAlignment="1" applyFont="1">
      <alignment horizontal="left" shrinkToFit="0" vertical="center" wrapText="1"/>
    </xf>
    <xf borderId="0" fillId="0" fontId="2" numFmtId="0" xfId="0" applyAlignment="1" applyFont="1">
      <alignment shrinkToFit="0" vertical="center" wrapText="1"/>
    </xf>
    <xf borderId="0" fillId="6" fontId="2" numFmtId="0" xfId="0" applyAlignment="1" applyFont="1">
      <alignment horizontal="center" shrinkToFit="0" vertical="center" wrapText="1"/>
    </xf>
    <xf borderId="0" fillId="6" fontId="2" numFmtId="0" xfId="0" applyAlignment="1" applyFont="1">
      <alignment horizontal="left" shrinkToFit="0" vertical="center" wrapText="1"/>
    </xf>
    <xf borderId="0" fillId="0" fontId="10" numFmtId="0" xfId="0" applyAlignment="1" applyFont="1">
      <alignment shrinkToFit="0" vertical="center" wrapText="1"/>
    </xf>
    <xf borderId="0" fillId="0" fontId="2" numFmtId="0" xfId="0" applyAlignment="1" applyFont="1">
      <alignment horizontal="center" shrinkToFit="0" wrapText="1"/>
    </xf>
    <xf borderId="0" fillId="6" fontId="2" numFmtId="0" xfId="0" applyAlignment="1" applyFont="1">
      <alignment vertical="bottom"/>
    </xf>
    <xf borderId="0" fillId="6" fontId="2" numFmtId="0" xfId="0" applyAlignment="1" applyFont="1">
      <alignment horizontal="center" shrinkToFit="0" wrapText="1"/>
    </xf>
    <xf borderId="0" fillId="0" fontId="2" numFmtId="0" xfId="0" applyAlignment="1" applyFont="1">
      <alignment vertical="bottom"/>
    </xf>
    <xf borderId="0" fillId="0" fontId="2" numFmtId="0" xfId="0" applyAlignment="1" applyFont="1">
      <alignment horizontal="center" vertical="bottom"/>
    </xf>
    <xf borderId="0" fillId="6" fontId="2" numFmtId="0" xfId="0" applyAlignment="1" applyFont="1">
      <alignment horizontal="center" vertical="center"/>
    </xf>
    <xf borderId="0" fillId="6" fontId="2" numFmtId="0" xfId="0" applyAlignment="1" applyFont="1">
      <alignment shrinkToFit="0" vertical="bottom" wrapText="1"/>
    </xf>
    <xf borderId="0" fillId="6" fontId="2" numFmtId="0" xfId="0" applyAlignment="1" applyFont="1">
      <alignment horizontal="center" vertical="bottom"/>
    </xf>
    <xf borderId="0" fillId="6" fontId="2" numFmtId="0" xfId="0" applyAlignment="1" applyFont="1">
      <alignment shrinkToFit="0" vertical="bottom" wrapText="0"/>
    </xf>
    <xf borderId="0" fillId="5" fontId="2" numFmtId="0" xfId="0" applyAlignment="1" applyFont="1">
      <alignment vertical="bottom"/>
    </xf>
    <xf borderId="0" fillId="0" fontId="2" numFmtId="0" xfId="0" applyAlignment="1" applyFont="1">
      <alignment vertical="center"/>
    </xf>
    <xf borderId="0" fillId="0" fontId="2" numFmtId="0" xfId="0" applyAlignment="1" applyFont="1">
      <alignment horizontal="center" vertical="center"/>
    </xf>
    <xf borderId="0" fillId="6" fontId="2" numFmtId="0" xfId="0" applyFont="1"/>
    <xf borderId="0" fillId="0" fontId="10" numFmtId="0" xfId="0" applyAlignment="1" applyFont="1">
      <alignment horizontal="left" shrinkToFit="0" vertical="center" wrapText="1"/>
    </xf>
    <xf borderId="0" fillId="6" fontId="2" numFmtId="0" xfId="0" applyAlignment="1" applyFont="1">
      <alignment shrinkToFit="0" vertical="center" wrapText="1"/>
    </xf>
    <xf borderId="0" fillId="5" fontId="2" numFmtId="0" xfId="0" applyAlignment="1" applyFont="1">
      <alignment horizontal="center" vertical="center"/>
    </xf>
    <xf borderId="0" fillId="5" fontId="2" numFmtId="0" xfId="0" applyAlignment="1" applyFont="1">
      <alignment horizontal="center" shrinkToFit="0" vertical="center" wrapText="1"/>
    </xf>
    <xf borderId="0" fillId="5" fontId="2" numFmtId="0" xfId="0" applyAlignment="1" applyFont="1">
      <alignment horizontal="left" shrinkToFit="0" vertical="center" wrapText="1"/>
    </xf>
    <xf borderId="0" fillId="5" fontId="2" numFmtId="0" xfId="0" applyAlignment="1" applyFont="1">
      <alignment shrinkToFit="0" vertical="center" wrapText="1"/>
    </xf>
    <xf borderId="0" fillId="5" fontId="45" numFmtId="0" xfId="0" applyAlignment="1" applyFont="1">
      <alignment horizontal="center" vertical="bottom"/>
    </xf>
    <xf borderId="0" fillId="5" fontId="2" numFmtId="0" xfId="0" applyAlignment="1" applyFont="1">
      <alignment shrinkToFit="0" vertical="bottom" wrapText="1"/>
    </xf>
    <xf borderId="0" fillId="5" fontId="2" numFmtId="0" xfId="0" applyAlignment="1" applyFont="1">
      <alignment horizontal="center" vertical="bottom"/>
    </xf>
    <xf borderId="0" fillId="6" fontId="46" numFmtId="0" xfId="0" applyAlignment="1" applyFont="1">
      <alignment horizontal="center" shrinkToFit="0" wrapText="1"/>
    </xf>
    <xf borderId="0" fillId="0" fontId="2" numFmtId="0" xfId="0" applyFont="1"/>
    <xf borderId="0" fillId="6" fontId="2" numFmtId="0" xfId="0" applyAlignment="1" applyFont="1">
      <alignment shrinkToFit="0" wrapText="1"/>
    </xf>
    <xf borderId="0" fillId="6" fontId="2" numFmtId="0" xfId="0" applyAlignment="1" applyFont="1">
      <alignment horizontal="center"/>
    </xf>
    <xf borderId="0" fillId="6" fontId="2" numFmtId="0" xfId="0" applyAlignment="1" applyFont="1">
      <alignment horizontal="left" vertical="top"/>
    </xf>
    <xf borderId="0" fillId="9" fontId="2" numFmtId="0" xfId="0" applyAlignment="1" applyFont="1">
      <alignment horizontal="center" shrinkToFit="0" vertical="center" wrapText="1"/>
    </xf>
    <xf borderId="0" fillId="9" fontId="2" numFmtId="0" xfId="0" applyAlignment="1" applyFont="1">
      <alignment horizontal="left" shrinkToFit="0" vertical="center" wrapText="1"/>
    </xf>
    <xf borderId="0" fillId="9" fontId="2" numFmtId="0" xfId="0" applyAlignment="1" applyFont="1">
      <alignment shrinkToFit="0" vertical="center" wrapText="1"/>
    </xf>
    <xf borderId="0" fillId="9" fontId="47" numFmtId="0" xfId="0" applyAlignment="1" applyFont="1">
      <alignment horizontal="center" shrinkToFit="0" vertical="center" wrapText="1"/>
    </xf>
    <xf borderId="0" fillId="9" fontId="2" numFmtId="0" xfId="0" applyFont="1"/>
    <xf borderId="0" fillId="0" fontId="48" numFmtId="0" xfId="0" applyAlignment="1" applyFont="1">
      <alignment horizontal="center" shrinkToFit="0" vertical="center" wrapText="1"/>
    </xf>
    <xf borderId="0" fillId="5" fontId="2" numFmtId="0" xfId="0" applyFont="1"/>
    <xf borderId="0" fillId="0" fontId="2" numFmtId="0" xfId="0" applyAlignment="1" applyFont="1">
      <alignment shrinkToFit="0" wrapText="1"/>
    </xf>
    <xf borderId="0" fillId="5" fontId="2" numFmtId="0" xfId="0" applyAlignment="1" applyFont="1">
      <alignment horizontal="center"/>
    </xf>
    <xf borderId="0" fillId="0" fontId="49" numFmtId="0" xfId="0" applyAlignment="1" applyFont="1">
      <alignment horizontal="center" shrinkToFit="0" vertical="center" wrapText="1"/>
    </xf>
    <xf borderId="0" fillId="0" fontId="2" numFmtId="0" xfId="0" applyAlignment="1" applyFont="1">
      <alignment horizontal="left" shrinkToFit="0" vertical="center" wrapText="0"/>
    </xf>
    <xf borderId="0" fillId="5" fontId="50" numFmtId="0" xfId="0" applyFont="1"/>
    <xf borderId="0" fillId="0" fontId="51" numFmtId="0" xfId="0" applyAlignment="1" applyFont="1">
      <alignment horizontal="left" shrinkToFit="0" vertical="center" wrapText="1"/>
    </xf>
    <xf borderId="0" fillId="0" fontId="1" numFmtId="0" xfId="0" applyFont="1"/>
  </cellXfs>
  <cellStyles count="1">
    <cellStyle xfId="0" name="Normal" builtinId="0"/>
  </cellStyles>
  <dxfs count="10">
    <dxf>
      <font>
        <b/>
        <color rgb="FFEA4335"/>
      </font>
      <fill>
        <patternFill patternType="none"/>
      </fill>
      <border/>
    </dxf>
    <dxf>
      <font>
        <b/>
        <color rgb="FF34A853"/>
      </font>
      <fill>
        <patternFill patternType="none"/>
      </fill>
      <border/>
    </dxf>
    <dxf>
      <font>
        <b/>
        <color theme="8"/>
      </font>
      <fill>
        <patternFill patternType="none"/>
      </fill>
      <border/>
    </dxf>
    <dxf>
      <font>
        <color theme="8"/>
      </font>
      <fill>
        <patternFill patternType="none"/>
      </fill>
      <border/>
    </dxf>
    <dxf>
      <font/>
      <fill>
        <patternFill patternType="none"/>
      </fill>
      <border/>
    </dxf>
    <dxf>
      <font/>
      <fill>
        <patternFill patternType="solid">
          <fgColor rgb="FF6C7687"/>
          <bgColor rgb="FF6C7687"/>
        </patternFill>
      </fill>
      <border/>
    </dxf>
    <dxf>
      <font/>
      <fill>
        <patternFill patternType="solid">
          <fgColor rgb="FFEBEFF1"/>
          <bgColor rgb="FFEBEFF1"/>
        </patternFill>
      </fill>
      <border/>
    </dxf>
    <dxf>
      <font/>
      <fill>
        <patternFill patternType="solid">
          <fgColor rgb="FFFFFFFF"/>
          <bgColor rgb="FFFFFFFF"/>
        </patternFill>
      </fill>
      <border/>
    </dxf>
    <dxf>
      <font/>
      <fill>
        <patternFill patternType="solid">
          <fgColor rgb="FFBDBDBD"/>
          <bgColor rgb="FFBDBDBD"/>
        </patternFill>
      </fill>
      <border/>
    </dxf>
    <dxf>
      <font/>
      <fill>
        <patternFill patternType="solid">
          <fgColor rgb="FFF3F3F3"/>
          <bgColor rgb="FFF3F3F3"/>
        </patternFill>
      </fill>
      <border/>
    </dxf>
  </dxfs>
  <tableStyles count="2">
    <tableStyle count="3" pivot="0" name="Detail13-Terminé - Live-style">
      <tableStyleElement dxfId="5" type="headerRow"/>
      <tableStyleElement dxfId="6" type="firstRowStripe"/>
      <tableStyleElement dxfId="7" type="secondRowStripe"/>
    </tableStyle>
    <tableStyle count="3" pivot="0" name="Cas abandonnés-style">
      <tableStyleElement dxfId="8" type="headerRow"/>
      <tableStyleElement dxfId="7" type="firstRowStripe"/>
      <tableStyleElement dxfId="9"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6.xml"/><Relationship Id="rId10" Type="http://schemas.openxmlformats.org/officeDocument/2006/relationships/chartsheet" Target="chartsheets/sheet1.xml"/><Relationship Id="rId13" Type="http://schemas.openxmlformats.org/officeDocument/2006/relationships/worksheet" Target="worksheets/sheet8.xml"/><Relationship Id="rId12" Type="http://schemas.openxmlformats.org/officeDocument/2006/relationships/worksheet" Target="worksheets/sheet7.xml"/><Relationship Id="rId15" Type="http://schemas.openxmlformats.org/officeDocument/2006/relationships/pivotCacheDefinition" Target="pivotCache/pivotCacheDefinition1.xml"/><Relationship Id="rId14"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grouping val="stacked"/>
        <c:ser>
          <c:idx val="0"/>
          <c:order val="0"/>
          <c:tx>
            <c:strRef>
              <c:f>Data!$D$2:$D$3</c:f>
            </c:strRef>
          </c:tx>
          <c:spPr>
            <a:solidFill>
              <a:srgbClr val="F4CCCC"/>
            </a:solidFill>
            <a:ln cmpd="sng">
              <a:noFill/>
            </a:ln>
          </c:spPr>
          <c:cat>
            <c:strRef>
              <c:f>Data!$A$4:$A$15</c:f>
            </c:strRef>
          </c:cat>
          <c:val>
            <c:numRef>
              <c:f>Data!$D$4:$D$15</c:f>
              <c:numCache/>
            </c:numRef>
          </c:val>
        </c:ser>
        <c:ser>
          <c:idx val="1"/>
          <c:order val="1"/>
          <c:tx>
            <c:strRef>
              <c:f>Data!$C$2:$C$3</c:f>
            </c:strRef>
          </c:tx>
          <c:spPr>
            <a:solidFill>
              <a:srgbClr val="FFF2CC"/>
            </a:solidFill>
            <a:ln cmpd="sng">
              <a:noFill/>
            </a:ln>
          </c:spPr>
          <c:cat>
            <c:strRef>
              <c:f>Data!$A$4:$A$15</c:f>
            </c:strRef>
          </c:cat>
          <c:val>
            <c:numRef>
              <c:f>Data!$C$4:$C$15</c:f>
              <c:numCache/>
            </c:numRef>
          </c:val>
        </c:ser>
        <c:ser>
          <c:idx val="2"/>
          <c:order val="2"/>
          <c:tx>
            <c:strRef>
              <c:f>Data!$E$2:$E$3</c:f>
            </c:strRef>
          </c:tx>
          <c:spPr>
            <a:solidFill>
              <a:srgbClr val="B6D7A8"/>
            </a:solidFill>
            <a:ln cmpd="sng">
              <a:noFill/>
            </a:ln>
          </c:spPr>
          <c:cat>
            <c:strRef>
              <c:f>Data!$A$4:$A$15</c:f>
            </c:strRef>
          </c:cat>
          <c:val>
            <c:numRef>
              <c:f>Data!$E$4:$E$15</c:f>
              <c:numCache/>
            </c:numRef>
          </c:val>
        </c:ser>
        <c:overlap val="100"/>
        <c:axId val="1562862330"/>
        <c:axId val="1777577286"/>
      </c:barChart>
      <c:catAx>
        <c:axId val="15628623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a:solidFill>
                  <a:srgbClr val="000000"/>
                </a:solidFill>
                <a:latin typeface="+mn-lt"/>
              </a:defRPr>
            </a:pPr>
          </a:p>
        </c:txPr>
        <c:crossAx val="1777577286"/>
      </c:catAx>
      <c:valAx>
        <c:axId val="17775772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a:solidFill>
                  <a:srgbClr val="000000"/>
                </a:solidFill>
                <a:latin typeface="+mn-lt"/>
              </a:defRPr>
            </a:pPr>
          </a:p>
        </c:txPr>
        <c:crossAx val="1562862330"/>
      </c:valAx>
    </c:plotArea>
    <c:legend>
      <c:legendPos val="r"/>
      <c:overlay val="0"/>
      <c:txPr>
        <a:bodyPr/>
        <a:lstStyle/>
        <a:p>
          <a:pPr lvl="0">
            <a:defRPr b="0" i="0">
              <a:solidFill>
                <a:srgbClr val="1A1A1A"/>
              </a:solidFill>
              <a:latin typeface="+mn-lt"/>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6.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ocumenttasks/documenttask1.xml><?xml version="1.0" encoding="utf-8"?>
<Tasks xmlns="http://schemas.microsoft.com/office/tasks/2019/documenttasks">
  <Task id="{8ed7ef83-d213-454f-ac36-e28416dae418}">
    <Anchor>
      <Comment id="{6c25e680-56f6-4ff2-83fa-69f77c26d1d1}"/>
    </Anchor>
    <History>
      <Event time="2026-04-24T15:00:43.00" id="{fe1c4da4-54a7-4f4c-98b8-cd70ff29e9cb}">
        <Attribution userId="placeholder@email.com" userName="Olivier Buchy" userProvider="google-sheets"/>
        <Anchor>
          <Comment id="{6c25e680-56f6-4ff2-83fa-69f77c26d1d1}"/>
        </Anchor>
        <Create/>
      </Event>
      <Event time="2026-04-24T15:00:43.00" id="{e3051074-2939-4db6-aa57-75c59b77dab8}">
        <Attribution userId="placeholder@email.com" userName="Olivier Buchy" userProvider="google-sheets"/>
        <Anchor>
          <Comment id="{6c25e680-56f6-4ff2-83fa-69f77c26d1d1}"/>
        </Anchor>
        <Assign userId="eliott.lujan@adevinta.com" userName="eliott.lujan@adevinta.com" userProvider="google-sheets"/>
      </Event>
    </History>
  </Task>
  <Task id="{b8f59090-9de6-4416-a30f-d9ee7d53da53}">
    <Anchor>
      <Comment id="{9a8a5b9c-3c30-40bd-957b-81a249e83741}"/>
    </Anchor>
    <History>
      <Event time="2026-02-18T12:02:47.00" id="{9c5665f7-2f4e-400d-908b-4f54204b9119}">
        <Attribution userId="placeholder@email.com" userName="Cecile Polard" userProvider="google-sheets"/>
        <Anchor>
          <Comment id="{9a8a5b9c-3c30-40bd-957b-81a249e83741}"/>
        </Anchor>
        <Create/>
      </Event>
      <Event time="2026-02-18T12:02:47.00" id="{53ed3e89-f490-460e-b57c-7aba5281571d}">
        <Attribution userId="placeholder@email.com" userName="Cecile Polard" userProvider="google-sheets"/>
        <Anchor>
          <Comment id="{9a8a5b9c-3c30-40bd-957b-81a249e83741}"/>
        </Anchor>
        <Assign userId="carine.rinaldi@adevinta.com" userName="carine.rinaldi@adevinta.com" userProvider="google-sheets"/>
      </Event>
    </History>
  </Task>
  <Task id="{10de36c1-7833-4f6c-8a5e-fba185a290f2}">
    <Anchor>
      <Comment id="{a6133f72-f25d-4f7b-a64f-4b0a92f703ee}"/>
    </Anchor>
    <History>
      <Event time="2026-01-07T09:04:01.00" id="{4b0fa990-2336-4ba2-a8eb-a30b56a0866d}">
        <Attribution userId="placeholder@email.com" userName="Abderrahmane Abdallahoum" userProvider="google-sheets"/>
        <Anchor>
          <Comment id="{a6133f72-f25d-4f7b-a64f-4b0a92f703ee}"/>
        </Anchor>
        <Create/>
      </Event>
      <Event time="2026-01-07T09:04:01.00" id="{98cdc1a4-3ab5-4966-998d-c375c73b97fe}">
        <Attribution userId="placeholder@email.com" userName="Abderrahmane Abdallahoum" userProvider="google-sheets"/>
        <Anchor>
          <Comment id="{a6133f72-f25d-4f7b-a64f-4b0a92f703ee}"/>
        </Anchor>
        <Assign userId="laetitia.ferrando@adevinta.com" userName="laetitia.ferrando@adevinta.com" userProvider="google-sheets"/>
      </Event>
    </History>
  </Task>
  <Task id="{baa65b65-6704-49e1-bf30-552692bf08d1}">
    <Anchor>
      <Comment id="{4f096262-0323-4cd6-984c-2b6815faccfc}"/>
    </Anchor>
    <History>
      <Event time="2026-01-15T14:23:08.00" id="{98a3182f-94e3-4cb7-a8b0-23f9f06a6b3e}">
        <Attribution userId="placeholder@email.com" userName="Patrice Chaperon" userProvider="google-sheets"/>
        <Anchor>
          <Comment id="{4f096262-0323-4cd6-984c-2b6815faccfc}"/>
        </Anchor>
        <Create/>
      </Event>
      <Event time="2026-01-15T14:23:08.00" id="{4207db70-af11-439f-96d8-70e6253a32ca}">
        <Attribution userId="placeholder@email.com" userName="Patrice Chaperon" userProvider="google-sheets"/>
        <Anchor>
          <Comment id="{4f096262-0323-4cd6-984c-2b6815faccfc}"/>
        </Anchor>
        <Assign userId="laurent.borel@adevinta.com" userName="laurent.borel@adevinta.com" userProvider="google-sheets"/>
      </Event>
    </History>
  </Task>
  <Task id="{bf62e1d7-19d6-4196-b39c-244b9644443f}">
    <Anchor>
      <Comment id="{21b4fcd9-cedd-4da9-b416-107386e9775a}"/>
    </Anchor>
    <History>
      <Event time="2025-10-14T14:25:26.00" id="{c5a77eff-26a9-447a-8790-abf52a858dbd}">
        <Attribution userId="placeholder@email.com" userName="Patrice Chaperon" userProvider="google-sheets"/>
        <Anchor>
          <Comment id="{21b4fcd9-cedd-4da9-b416-107386e9775a}"/>
        </Anchor>
        <Create/>
      </Event>
      <Event time="2025-10-14T14:25:26.00" id="{b3e8613d-fe61-43df-b77d-284e9829c50e}">
        <Attribution userId="placeholder@email.com" userName="Patrice Chaperon" userProvider="google-sheets"/>
        <Anchor>
          <Comment id="{21b4fcd9-cedd-4da9-b416-107386e9775a}"/>
        </Anchor>
        <Assign userId="laetitia.ferrando@adevinta.com" userName="laetitia.ferrando@adevinta.com" userProvider="google-sheets"/>
      </Event>
    </History>
  </Task>
  <Task id="{b912c210-97e7-4b57-a0b2-f789bcd46a86}">
    <Anchor>
      <Comment id="{807e870a-6946-46bc-9bd9-87ecb6e670ad}"/>
    </Anchor>
    <History>
      <Event time="2025-10-14T14:32:57.00" id="{70ae1de1-1a44-47b6-ac3a-8e40097b30c1}">
        <Attribution userId="placeholder@email.com" userName="Patrice Chaperon" userProvider="google-sheets"/>
        <Anchor>
          <Comment id="{807e870a-6946-46bc-9bd9-87ecb6e670ad}"/>
        </Anchor>
        <Create/>
      </Event>
      <Event time="2025-10-14T14:32:57.00" id="{87f01e2f-5087-458e-b20d-7c88ca7a5398}">
        <Attribution userId="placeholder@email.com" userName="Patrice Chaperon" userProvider="google-sheets"/>
        <Anchor>
          <Comment id="{807e870a-6946-46bc-9bd9-87ecb6e670ad}"/>
        </Anchor>
        <Assign userId="laurent.borel@adevinta.com" userName="laurent.borel@adevinta.com" userProvider="google-sheets"/>
      </Event>
    </History>
  </Task>
  <Task id="{56e46587-8120-4399-968f-33c18d31d771}">
    <Anchor>
      <Comment id="{40fc7e3c-c727-45b5-8ad1-b5959c23f3fe}"/>
    </Anchor>
    <History>
      <Event time="2026-01-15T14:22:36.00" id="{7835c52e-45dc-413c-be90-74d91d927cb0}">
        <Attribution userId="placeholder@email.com" userName="Patrice Chaperon" userProvider="google-sheets"/>
        <Anchor>
          <Comment id="{40fc7e3c-c727-45b5-8ad1-b5959c23f3fe}"/>
        </Anchor>
        <Create/>
      </Event>
      <Event time="2026-01-15T14:22:36.00" id="{545e8134-f078-4769-85a6-e1d1be664de2}">
        <Attribution userId="placeholder@email.com" userName="Patrice Chaperon" userProvider="google-sheets"/>
        <Anchor>
          <Comment id="{40fc7e3c-c727-45b5-8ad1-b5959c23f3fe}"/>
        </Anchor>
        <Assign userId="ludovic.hazart@adevinta.com" userName="ludovic.hazart@adevinta.com" userProvider="google-sheets"/>
      </Event>
    </History>
  </Task>
  <Task id="{29a62f4b-668e-4c50-81d5-87d040e2619d}">
    <Anchor>
      <Comment id="{cb934eae-92ce-42ed-a331-62d154b1ef5d}"/>
    </Anchor>
    <History>
      <Event time="2026-02-05T17:30:38.00" id="{6899f8f3-17c8-49ae-8f4d-e60c80b99ff4}">
        <Attribution userId="placeholder@email.com" userName="Sabrina MALIVARN AMIRI" userProvider="google-sheets"/>
        <Anchor>
          <Comment id="{cb934eae-92ce-42ed-a331-62d154b1ef5d}"/>
        </Anchor>
        <Create/>
      </Event>
      <Event time="2026-02-05T17:30:38.00" id="{e1641aee-a06d-410e-92a0-6971868deb71}">
        <Attribution userId="placeholder@email.com" userName="Sabrina MALIVARN AMIRI" userProvider="google-sheets"/>
        <Anchor>
          <Comment id="{cb934eae-92ce-42ed-a331-62d154b1ef5d}"/>
        </Anchor>
        <Assign userId="jonathan.bensadoun@adevinta.com" userName="jonathan.bensadoun@adevinta.com" userProvider="google-sheets"/>
      </Event>
    </History>
  </Task>
  <Task id="{201a1a0d-420b-4f7d-b6cd-5fef8a0b667b}">
    <Anchor>
      <Comment id="{2af0c785-2631-417d-8fcf-5bd953a700a4}"/>
    </Anchor>
    <History>
      <Event time="2026-02-05T17:29:20.00" id="{195e5b25-1327-4aa0-8dd5-e158e9feac0c}">
        <Attribution userId="placeholder@email.com" userName="Sabrina MALIVARN AMIRI" userProvider="google-sheets"/>
        <Anchor>
          <Comment id="{2af0c785-2631-417d-8fcf-5bd953a700a4}"/>
        </Anchor>
        <Create/>
      </Event>
      <Event time="2026-02-05T17:29:20.00" id="{0f9eae40-1be1-4721-a61d-a9a7c743ddc0}">
        <Attribution userId="placeholder@email.com" userName="Sabrina MALIVARN AMIRI" userProvider="google-sheets"/>
        <Anchor>
          <Comment id="{2af0c785-2631-417d-8fcf-5bd953a700a4}"/>
        </Anchor>
        <Assign userId="jonathan.bensadoun@adevinta.com" userName="jonathan.bensadoun@adevinta.com" userProvider="google-sheets"/>
      </Event>
    </History>
  </Task>
  <Task id="{9d9b6f42-5aad-4d5d-bb61-7a05b7f73f66}">
    <Anchor>
      <Comment id="{de38a3ef-1d93-428e-ae08-5231271fcc9e}"/>
    </Anchor>
    <History>
      <Event time="2025-11-26T14:08:15.00" id="{2dc59da4-4c7d-4bb3-a3bd-c2bdea6c5ba9}">
        <Attribution userId="placeholder@email.com" userName="Cléo Ngokoudi" userProvider="google-sheets"/>
        <Anchor>
          <Comment id="{de38a3ef-1d93-428e-ae08-5231271fcc9e}"/>
        </Anchor>
        <Create/>
      </Event>
      <Event time="2025-11-26T14:08:15.00" id="{c35b5450-5289-4fa2-bdf3-09ee5a2d7e4b}">
        <Attribution userId="placeholder@email.com" userName="Cléo Ngokoudi" userProvider="google-sheets"/>
        <Anchor>
          <Comment id="{de38a3ef-1d93-428e-ae08-5231271fcc9e}"/>
        </Anchor>
        <Assign userId="ibrahim.illiassou@adevinta.com" userName="ibrahim.illiassou@adevinta.com" userProvider="google-sheets"/>
      </Event>
    </History>
  </Task>
  <Task id="{5cd1586c-f551-4bb0-8869-323797c9477f}">
    <Anchor>
      <Comment id="{76718ae1-a166-461d-8c5f-2280943af6b2}"/>
    </Anchor>
    <History>
      <Event time="2026-02-05T17:32:36.00" id="{a0aac08c-f234-4dab-b374-bcd9f067d1cd}">
        <Attribution userId="placeholder@email.com" userName="Sabrina MALIVARN AMIRI" userProvider="google-sheets"/>
        <Anchor>
          <Comment id="{76718ae1-a166-461d-8c5f-2280943af6b2}"/>
        </Anchor>
        <Create/>
      </Event>
      <Event time="2026-02-05T17:32:36.00" id="{489de36b-78d0-400a-b028-30811462b3fc}">
        <Attribution userId="placeholder@email.com" userName="Sabrina MALIVARN AMIRI" userProvider="google-sheets"/>
        <Anchor>
          <Comment id="{76718ae1-a166-461d-8c5f-2280943af6b2}"/>
        </Anchor>
        <Assign userId="jonathan.bensadoun@adevinta.com" userName="jonathan.bensadoun@adevinta.com" userProvider="google-sheets"/>
      </Event>
    </History>
  </Task>
  <Task id="{291e1c39-97a2-454d-89ac-1e8a4bb28bc0}">
    <Anchor>
      <Comment id="{829c6472-410a-487a-a598-7f88fe6bff59}"/>
    </Anchor>
    <History>
      <Event time="2025-09-24T12:38:28.00" id="{34dd09e1-6fa1-4f37-8a0c-3aac5d360411}">
        <Attribution userId="placeholder@email.com" userName="Laetitia Ferrando" userProvider="google-sheets"/>
        <Anchor>
          <Comment id="{829c6472-410a-487a-a598-7f88fe6bff59}"/>
        </Anchor>
        <Create/>
      </Event>
      <Event time="2025-09-24T12:38:28.00" id="{130da1f7-81f3-4072-b804-bda79262c4b6}">
        <Attribution userId="placeholder@email.com" userName="Laetitia Ferrando" userProvider="google-sheets"/>
        <Anchor>
          <Comment id="{829c6472-410a-487a-a598-7f88fe6bff59}"/>
        </Anchor>
        <Assign userId="anaise.blanchet@adevinta.com" userName="anaise.blanchet@adevinta.com" userProvider="google-sheets"/>
      </Event>
    </History>
  </Task>
  <Task id="{6813e2ea-6a55-4267-bd61-b2a5952c51ff}">
    <Anchor>
      <Comment id="{04594844-c02e-4908-b509-958a44d20847}"/>
    </Anchor>
    <History>
      <Event time="2026-02-05T17:30:51.00" id="{bda9a9fc-a943-4b87-a8dc-89ae1e1504ee}">
        <Attribution userId="placeholder@email.com" userName="Sabrina MALIVARN AMIRI" userProvider="google-sheets"/>
        <Anchor>
          <Comment id="{04594844-c02e-4908-b509-958a44d20847}"/>
        </Anchor>
        <Create/>
      </Event>
      <Event time="2026-02-05T17:30:51.00" id="{f9f4b609-4828-453b-8b52-78c151177cb0}">
        <Attribution userId="placeholder@email.com" userName="Sabrina MALIVARN AMIRI" userProvider="google-sheets"/>
        <Anchor>
          <Comment id="{04594844-c02e-4908-b509-958a44d20847}"/>
        </Anchor>
        <Assign userId="jonathan.bensadoun@adevinta.com" userName="jonathan.bensadoun@adevinta.com" userProvider="google-sheets"/>
      </Event>
    </History>
  </Task>
  <Task id="{8774c3c0-a117-4622-98d0-017528787166}">
    <Anchor>
      <Comment id="{33da891e-8a98-413f-a404-ae9bc3772cb6}"/>
    </Anchor>
    <History>
      <Event time="2025-11-06T13:19:34.00" id="{01091767-1676-450e-be82-f4739276e9a2}">
        <Attribution userId="placeholder@email.com" userName="Laetitia Ferrando" userProvider="google-sheets"/>
        <Anchor>
          <Comment id="{33da891e-8a98-413f-a404-ae9bc3772cb6}"/>
        </Anchor>
        <Create/>
      </Event>
      <Event time="2025-11-06T13:19:34.00" id="{b2d2210e-b683-4baf-879f-6709c2175017}">
        <Attribution userId="placeholder@email.com" userName="Laetitia Ferrando" userProvider="google-sheets"/>
        <Anchor>
          <Comment id="{33da891e-8a98-413f-a404-ae9bc3772cb6}"/>
        </Anchor>
        <Assign userId="elsa.cadoux@adevinta.com" userName="elsa.cadoux@adevinta.com" userProvider="google-sheets"/>
      </Event>
    </History>
  </Task>
  <Task id="{7d6728ea-daf2-4e4b-84da-5f03a5384d7e}">
    <Anchor>
      <Comment id="{ef33af26-2821-4733-a6b5-7247efd7d24b}"/>
    </Anchor>
    <History>
      <Event time="2026-03-24T16:48:35.00" id="{4a0bb744-e474-4e19-a936-2da8ce5493f5}">
        <Attribution userId="placeholder@email.com" userName="Laetitia Ferrando" userProvider="google-sheets"/>
        <Anchor>
          <Comment id="{ef33af26-2821-4733-a6b5-7247efd7d24b}"/>
        </Anchor>
        <Create/>
      </Event>
      <Event time="2026-03-24T16:48:35.00" id="{63719978-7df0-46eb-a2af-c3ba1dc74d1c}">
        <Attribution userId="placeholder@email.com" userName="Laetitia Ferrando" userProvider="google-sheets"/>
        <Anchor>
          <Comment id="{ef33af26-2821-4733-a6b5-7247efd7d24b}"/>
        </Anchor>
        <Assign userId="yohan.koehler@adevinta.com" userName="yohan.koehler@adevinta.com" userProvider="google-sheets"/>
      </Event>
    </History>
  </Task>
  <Task id="{30502b57-da6a-4acc-b115-8253aaeb760b}">
    <Anchor>
      <Comment id="{61646381-0e3f-484c-803a-a55d2772d12c}"/>
    </Anchor>
    <History>
      <Event time="2026-01-15T14:24:31.00" id="{907d6ac7-f1c3-42e8-b2b0-ca31bf0637b3}">
        <Attribution userId="placeholder@email.com" userName="Patrice Chaperon" userProvider="google-sheets"/>
        <Anchor>
          <Comment id="{61646381-0e3f-484c-803a-a55d2772d12c}"/>
        </Anchor>
        <Create/>
      </Event>
      <Event time="2026-01-15T14:24:31.00" id="{b13a5d9c-c337-4af9-8c0f-7076246c5f33}">
        <Attribution userId="placeholder@email.com" userName="Patrice Chaperon" userProvider="google-sheets"/>
        <Anchor>
          <Comment id="{61646381-0e3f-484c-803a-a55d2772d12c}"/>
        </Anchor>
        <Assign userProvider="google-sheets"/>
      </Event>
    </History>
  </Task>
  <Task id="{ffc030b0-a39f-4334-a6c2-9de4d9ebcf79}">
    <Anchor>
      <Comment id="{4b281a05-0eea-468b-90f8-979bb54185a1}"/>
    </Anchor>
    <History>
      <Event time="2025-12-15T10:44:16.00" id="{a1c0216c-942c-4d34-82c4-bcd8aeb0bc34}">
        <Attribution userId="placeholder@email.com" userName="Laetitia Ferrando" userProvider="google-sheets"/>
        <Anchor>
          <Comment id="{4b281a05-0eea-468b-90f8-979bb54185a1}"/>
        </Anchor>
        <Create/>
      </Event>
      <Event time="2025-12-15T10:44:16.00" id="{6baf5a0e-4963-47b4-80e4-827024d84d76}">
        <Attribution userId="placeholder@email.com" userName="Laetitia Ferrando" userProvider="google-sheets"/>
        <Anchor>
          <Comment id="{4b281a05-0eea-468b-90f8-979bb54185a1}"/>
        </Anchor>
        <Assign userId="abderrahmane.abdallahoum@adevinta.com" userName="abderrahmane.abdallahoum@adevinta.com" userProvider="google-sheets"/>
      </Event>
    </History>
  </Task>
  <Task id="{18f90802-18f9-4f7e-b834-08b0f5315447}">
    <Anchor>
      <Comment id="{e1d78a47-64d6-4ec7-abca-cc46a8c44830}"/>
    </Anchor>
    <History>
      <Event time="2026-04-02T20:35:58.00" id="{9187a03a-63d5-4c38-be53-44a5efdc99df}">
        <Attribution userId="placeholder@email.com" userName="Martin Berthonneau" userProvider="google-sheets"/>
        <Anchor>
          <Comment id="{e1d78a47-64d6-4ec7-abca-cc46a8c44830}"/>
        </Anchor>
        <Create/>
      </Event>
      <Event time="2026-04-02T20:35:58.00" id="{40326a38-a183-41fd-ad3d-688d341d7700}">
        <Attribution userId="placeholder@email.com" userName="Martin Berthonneau" userProvider="google-sheets"/>
        <Anchor>
          <Comment id="{e1d78a47-64d6-4ec7-abca-cc46a8c44830}"/>
        </Anchor>
        <Assign userId="laetitia.ferrando@adevinta.com" userName="laetitia.ferrando@adevinta.com" userProvider="google-sheets"/>
      </Event>
    </History>
  </Task>
  <Task id="{3f8dc498-1e81-4b5b-ae02-f67a2e7fccb8}">
    <Anchor>
      <Comment id="{b888b48e-e42c-4833-b776-f61ddaedf7a5}"/>
    </Anchor>
    <History>
      <Event time="2026-04-02T20:32:43.00" id="{e5d47163-6e95-47bc-91ad-e4dc308c7083}">
        <Attribution userId="placeholder@email.com" userName="Martin Berthonneau" userProvider="google-sheets"/>
        <Anchor>
          <Comment id="{b888b48e-e42c-4833-b776-f61ddaedf7a5}"/>
        </Anchor>
        <Create/>
      </Event>
      <Event time="2026-04-02T20:32:43.00" id="{b7c2b657-f6cb-467d-97b6-2deff5e36f00}">
        <Attribution userId="placeholder@email.com" userName="Martin Berthonneau" userProvider="google-sheets"/>
        <Anchor>
          <Comment id="{b888b48e-e42c-4833-b776-f61ddaedf7a5}"/>
        </Anchor>
        <Assign userId="patrice.chaperon@adevinta.com" userName="patrice.chaperon@adevinta.com" userProvider="google-sheets"/>
      </Event>
    </History>
  </Task>
  <Task id="{3f8e46d6-a137-478b-9b5b-6afb42439d29}">
    <Anchor>
      <Comment id="{abcf71ec-a8b9-40a5-b6de-df202077a3ac}"/>
    </Anchor>
    <History>
      <Event time="2026-02-18T12:55:00.00" id="{a81006ec-9b55-4522-a77d-f0759796eaf2}">
        <Attribution userId="placeholder@email.com" userName="Cecile Polard" userProvider="google-sheets"/>
        <Anchor>
          <Comment id="{abcf71ec-a8b9-40a5-b6de-df202077a3ac}"/>
        </Anchor>
        <Create/>
      </Event>
      <Event time="2026-02-18T12:55:00.00" id="{24e9a4a4-a1cc-4b27-9fcf-675b847a8df5}">
        <Attribution userId="placeholder@email.com" userName="Cecile Polard" userProvider="google-sheets"/>
        <Anchor>
          <Comment id="{abcf71ec-a8b9-40a5-b6de-df202077a3ac}"/>
        </Anchor>
        <Assign userId="carine.rinaldi@adevinta.com" userName="carine.rinaldi@adevinta.com" userProvider="google-sheets"/>
      </Event>
    </History>
  </Task>
  <Task id="{85db36fa-db76-4afe-ab02-16cd2b0408e1}">
    <Anchor>
      <Comment id="{25208d63-7706-418b-9a6f-73cb338f59e4}"/>
    </Anchor>
    <History>
      <Event time="2026-02-06T15:42:37.00" id="{20d78157-21f2-4761-a6dc-49ffbad52d98}">
        <Attribution userId="placeholder@email.com" userName="Sabrina MALIVARN AMIRI" userProvider="google-sheets"/>
        <Anchor>
          <Comment id="{25208d63-7706-418b-9a6f-73cb338f59e4}"/>
        </Anchor>
        <Create/>
      </Event>
      <Event time="2026-02-06T15:42:37.00" id="{cbd58f79-86bd-46d4-a9c9-f539163e9dfc}">
        <Attribution userId="placeholder@email.com" userName="Sabrina MALIVARN AMIRI" userProvider="google-sheets"/>
        <Anchor>
          <Comment id="{25208d63-7706-418b-9a6f-73cb338f59e4}"/>
        </Anchor>
        <Assign userId="laurent.dimatera@adevinta.com" userName="laurent.dimatera@adevinta.com" userProvider="google-sheets"/>
      </Event>
    </History>
  </Task>
  <Task id="{2f0a768f-d108-414a-a631-a21a1902baa9}">
    <Anchor>
      <Comment id="{49961c29-eeb9-4e4c-963b-94eecd70119e}"/>
    </Anchor>
    <History>
      <Event time="2025-09-26T16:10:22.00" id="{5015023f-b6eb-4d1f-a6ad-8b6e892249de}">
        <Attribution userId="placeholder@email.com" userName="Laetitia Ferrando" userProvider="google-sheets"/>
        <Anchor>
          <Comment id="{49961c29-eeb9-4e4c-963b-94eecd70119e}"/>
        </Anchor>
        <Create/>
      </Event>
      <Event time="2025-09-26T16:10:22.00" id="{5ebf1b55-b182-47f1-a6b7-c8ae42fc4b75}">
        <Attribution userId="placeholder@email.com" userName="Laetitia Ferrando" userProvider="google-sheets"/>
        <Anchor>
          <Comment id="{49961c29-eeb9-4e4c-963b-94eecd70119e}"/>
        </Anchor>
        <Assign userId="pauletienne.bauchet@adevinta.com" userName="pauletienne.bauchet@adevinta.com" userProvider="google-sheets"/>
      </Event>
    </History>
  </Task>
  <Task id="{9b48f48a-57c6-47a5-8cff-4f6638331e1c}">
    <Anchor>
      <Comment id="{0b480fc4-2552-444f-98fc-cdfb3304f163}"/>
    </Anchor>
    <History>
      <Event time="2026-02-06T15:46:19.00" id="{37ebf8e3-8cd8-4521-ad0e-29630c6684ed}">
        <Attribution userId="placeholder@email.com" userName="Sabrina MALIVARN AMIRI" userProvider="google-sheets"/>
        <Anchor>
          <Comment id="{0b480fc4-2552-444f-98fc-cdfb3304f163}"/>
        </Anchor>
        <Create/>
      </Event>
      <Event time="2026-02-06T15:46:19.00" id="{6c7809e4-747b-480d-b8f0-0442fad3e72b}">
        <Attribution userId="placeholder@email.com" userName="Sabrina MALIVARN AMIRI" userProvider="google-sheets"/>
        <Anchor>
          <Comment id="{0b480fc4-2552-444f-98fc-cdfb3304f163}"/>
        </Anchor>
        <Assign userId="cecile.polard@adevinta.com" userName="cecile.polard@adevinta.com" userProvider="google-sheets"/>
      </Event>
    </History>
  </Task>
  <Task id="{9a20bdbb-0fe6-4b8a-9b9e-32ed2ee9570f}">
    <Anchor>
      <Comment id="{cab1bcbc-c95d-4005-9836-977302c6e001}"/>
    </Anchor>
    <History>
      <Event time="2026-04-24T09:17:53.00" id="{605194fa-90c4-444c-aa00-e6c940f5df73}">
        <Attribution userId="placeholder@email.com" userName="Olivier Buchy" userProvider="google-sheets"/>
        <Anchor>
          <Comment id="{cab1bcbc-c95d-4005-9836-977302c6e001}"/>
        </Anchor>
        <Create/>
      </Event>
      <Event time="2026-04-24T09:17:53.00" id="{9cdda208-c741-4db6-84b5-e97255956012}">
        <Attribution userId="placeholder@email.com" userName="Olivier Buchy" userProvider="google-sheets"/>
        <Anchor>
          <Comment id="{cab1bcbc-c95d-4005-9836-977302c6e001}"/>
        </Anchor>
        <Assign userId="laetitia.ferrando@adevinta.com" userName="laetitia.ferrando@adevinta.com" userProvider="google-sheets"/>
      </Event>
    </History>
  </Task>
  <Task id="{ba0e19c8-d3e1-4d83-954e-bb3efd81dd3d}">
    <Anchor>
      <Comment id="{f518c577-7ded-482f-8f58-a0e1fef02671}"/>
    </Anchor>
    <History>
      <Event time="2025-09-05T15:42:01.00" id="{c47aa9fc-dfb2-4ec0-a152-0cc7a074d1ce}">
        <Attribution userId="placeholder@email.com" userName="Laetitia Ferrando" userProvider="google-sheets"/>
        <Anchor>
          <Comment id="{f518c577-7ded-482f-8f58-a0e1fef02671}"/>
        </Anchor>
        <Create/>
      </Event>
      <Event time="2025-09-05T15:42:01.00" id="{e80ab8a0-90a1-4eff-990e-bc8e8da9fa50}">
        <Attribution userId="placeholder@email.com" userName="Laetitia Ferrando" userProvider="google-sheets"/>
        <Anchor>
          <Comment id="{f518c577-7ded-482f-8f58-a0e1fef02671}"/>
        </Anchor>
        <Assign userId="aline.berc@adevinta.com" userName="aline.berc@adevinta.com" userProvider="google-sheets"/>
      </Event>
    </History>
  </Task>
  <Task id="{aca5b23c-6765-431b-bf0a-6013a1ee173f}">
    <Anchor>
      <Comment id="{d3b9a6f9-3d4e-4866-a476-3b88ed410bcf}"/>
    </Anchor>
    <History>
      <Event time="2026-02-02T14:22:44.00" id="{4d6a8b66-8127-4811-8a5d-ddcb83c74f54}">
        <Attribution userId="placeholder@email.com" userName="Pauline Minary" userProvider="google-sheets"/>
        <Anchor>
          <Comment id="{d3b9a6f9-3d4e-4866-a476-3b88ed410bcf}"/>
        </Anchor>
        <Create/>
      </Event>
      <Event time="2026-02-02T14:22:44.00" id="{4f9b3c87-7f88-48b1-9fc1-d3d86ec9d7e9}">
        <Attribution userId="placeholder@email.com" userName="Pauline Minary" userProvider="google-sheets"/>
        <Anchor>
          <Comment id="{d3b9a6f9-3d4e-4866-a476-3b88ed410bcf}"/>
        </Anchor>
        <Assign userId="fiona.vassaux@adevinta.com" userName="fiona.vassaux@adevinta.com" userProvider="google-sheets"/>
      </Event>
    </History>
  </Task>
  <Task id="{7583f55c-8ddb-46d9-b727-5816381afed4}">
    <Anchor>
      <Comment id="{5cbad4dd-cb0d-464c-a3d5-6106bbe46fd6}"/>
    </Anchor>
    <History>
      <Event time="2026-02-02T14:26:40.00" id="{7e131e1e-e8f2-44a0-8c6d-304c6912afdf}">
        <Attribution userId="placeholder@email.com" userName="Pauline Minary" userProvider="google-sheets"/>
        <Anchor>
          <Comment id="{5cbad4dd-cb0d-464c-a3d5-6106bbe46fd6}"/>
        </Anchor>
        <Create/>
      </Event>
      <Event time="2026-02-02T14:26:40.00" id="{c5766c19-693d-4716-a189-0ff03ba0685d}">
        <Attribution userId="placeholder@email.com" userName="Pauline Minary" userProvider="google-sheets"/>
        <Anchor>
          <Comment id="{5cbad4dd-cb0d-464c-a3d5-6106bbe46fd6}"/>
        </Anchor>
        <Assign userId="patrice.chaperon@adevinta.com" userName="patrice.chaperon@adevinta.com" userProvider="google-sheets"/>
      </Event>
    </History>
  </Task>
  <Task id="{656a3b58-bcb7-4acd-9d6c-126c8ecc421d}">
    <Anchor>
      <Comment id="{58fb2288-0245-4f2f-b546-70a4a3461b88}"/>
    </Anchor>
    <History>
      <Event time="2025-11-26T14:07:50.00" id="{60336ea4-7a32-45af-a4c8-1c1b41ba0b65}">
        <Attribution userId="placeholder@email.com" userName="Cléo Ngokoudi" userProvider="google-sheets"/>
        <Anchor>
          <Comment id="{58fb2288-0245-4f2f-b546-70a4a3461b88}"/>
        </Anchor>
        <Create/>
      </Event>
      <Event time="2025-11-26T14:07:50.00" id="{c7a6db69-7e61-4edc-a874-a8b25870d17b}">
        <Attribution userId="placeholder@email.com" userName="Cléo Ngokoudi" userProvider="google-sheets"/>
        <Anchor>
          <Comment id="{58fb2288-0245-4f2f-b546-70a4a3461b88}"/>
        </Anchor>
        <Assign userId="andreas.cayla@adevinta.com" userName="andreas.cayla@adevinta.com" userProvider="google-sheets"/>
      </Event>
    </History>
  </Task>
  <Task id="{6e7756d1-b1b3-42d5-84ec-9731fc3e7a8c}">
    <Anchor>
      <Comment id="{37977d54-e424-4815-a32c-87eab04a6497}"/>
    </Anchor>
    <History>
      <Event time="2026-03-10T16:27:02.00" id="{9f44192c-f074-46a7-8fbe-09f53aa8b974}">
        <Attribution userId="placeholder@email.com" userName="Juliette Patry" userProvider="google-sheets"/>
        <Anchor>
          <Comment id="{37977d54-e424-4815-a32c-87eab04a6497}"/>
        </Anchor>
        <Create/>
      </Event>
      <Event time="2026-03-10T16:27:02.00" id="{bb6e42b9-aa13-47cd-8825-e9b6e880e651}">
        <Attribution userId="placeholder@email.com" userName="Juliette Patry" userProvider="google-sheets"/>
        <Anchor>
          <Comment id="{37977d54-e424-4815-a32c-87eab04a6497}"/>
        </Anchor>
        <Assign userId="juliette.patry@adevinta.com" userName="juliette.patry@adevinta.com" userProvider="google-sheets"/>
      </Event>
    </History>
  </Task>
  <Task id="{4159bcb5-a2d0-40bf-a17a-24bfed28f1d7}">
    <Anchor>
      <Comment id="{18262f90-8fc8-4a7d-8e95-eb5946e4ede5}"/>
    </Anchor>
    <History>
      <Event time="2026-02-06T15:44:27.00" id="{bb8836af-ecbb-40ec-8f28-3865b78e85aa}">
        <Attribution userId="placeholder@email.com" userName="Sabrina MALIVARN AMIRI" userProvider="google-sheets"/>
        <Anchor>
          <Comment id="{18262f90-8fc8-4a7d-8e95-eb5946e4ede5}"/>
        </Anchor>
        <Create/>
      </Event>
      <Event time="2026-02-06T15:44:27.00" id="{b3a031c6-6da6-4702-9b81-aa6a4b9c7202}">
        <Attribution userId="placeholder@email.com" userName="Sabrina MALIVARN AMIRI" userProvider="google-sheets"/>
        <Anchor>
          <Comment id="{18262f90-8fc8-4a7d-8e95-eb5946e4ede5}"/>
        </Anchor>
        <Assign userId="cecile.polard@adevinta.com" userName="cecile.polard@adevinta.com" userProvider="google-sheets"/>
      </Event>
    </History>
  </Task>
  <Task id="{a993c5c8-1e5e-43d7-91e8-35b2175cd983}">
    <Anchor>
      <Comment id="{7af98e20-74ec-4a23-884b-186708aa353b}"/>
    </Anchor>
    <History>
      <Event time="2026-02-18T12:55:34.00" id="{7997ee3d-0ee7-4670-a08c-3a9c97d346f5}">
        <Attribution userId="placeholder@email.com" userName="Cecile Polard" userProvider="google-sheets"/>
        <Anchor>
          <Comment id="{7af98e20-74ec-4a23-884b-186708aa353b}"/>
        </Anchor>
        <Create/>
      </Event>
      <Event time="2026-02-18T12:55:34.00" id="{fb2e4bd8-4e49-4a61-b2c8-6a9092999243}">
        <Attribution userId="placeholder@email.com" userName="Cecile Polard" userProvider="google-sheets"/>
        <Anchor>
          <Comment id="{7af98e20-74ec-4a23-884b-186708aa353b}"/>
        </Anchor>
        <Assign userId="carine.rinaldi@adevinta.com" userName="carine.rinaldi@adevinta.com" userProvider="google-sheets"/>
      </Event>
    </History>
  </Task>
  <Task id="{a812d9c5-baf7-4da6-9eb0-4c1a3dd7e569}">
    <Anchor>
      <Comment id="{714ff0d4-6f33-4c22-8b7a-899539e8f1f7}"/>
    </Anchor>
    <History>
      <Event time="2025-11-26T14:08:42.00" id="{701a2b9c-7bb7-470e-9956-3f95a90d43fe}">
        <Attribution userId="placeholder@email.com" userName="Cléo Ngokoudi" userProvider="google-sheets"/>
        <Anchor>
          <Comment id="{714ff0d4-6f33-4c22-8b7a-899539e8f1f7}"/>
        </Anchor>
        <Create/>
      </Event>
      <Event time="2025-11-26T14:08:42.00" id="{37410121-e7f6-4392-b01e-2791641b3994}">
        <Attribution userId="placeholder@email.com" userName="Cléo Ngokoudi" userProvider="google-sheets"/>
        <Anchor>
          <Comment id="{714ff0d4-6f33-4c22-8b7a-899539e8f1f7}"/>
        </Anchor>
        <Assign userId="stephane.boucher@adevinta.com" userName="stephane.boucher@adevinta.com" userProvider="google-sheets"/>
      </Event>
    </History>
  </Task>
</Tasks>
</file>

<file path=xl/documenttasks/documenttask2.xml><?xml version="1.0" encoding="utf-8"?>
<Tasks xmlns="http://schemas.microsoft.com/office/tasks/2019/documenttask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dreas.cayla@adevinta.com" id="{6d51e774-edde-41d2-8991-a79bfe12ab2b}" userId="andreas.cayla@adevinta.com" providerId="google-sheets"/>
  <x18tc:person displayName="Elisa Gilles" id="{b2d2eefc-2583-49f3-be9a-cc1eadbec332}" providerId="google-sheets"/>
  <x18tc:person displayName="laurent.borel@adevinta.com" id="{a9f5263f-7c12-446b-b4c2-42e47b8f9273}" userId="laurent.borel@adevinta.com" providerId="google-sheets"/>
  <x18tc:person displayName="gilles.lalyre.ext@adevinta.com" id="{84c51d00-98e9-4d9f-ad1a-71c575a6814f}" userId="gilles.lalyre.ext@adevinta.com" providerId="google-sheets"/>
  <x18tc:person displayName="pauletienne.bauchet@adevinta.com" id="{3a08e8a2-4962-4791-9ca5-4758d68da6ff}" userId="pauletienne.bauchet@adevinta.com" providerId="google-sheets"/>
  <x18tc:person displayName="abderrahmane.abdallahoum@adevinta.com" id="{9f9d6f2b-05c8-43db-ad04-24027cc667aa}" userId="abderrahmane.abdallahoum@adevinta.com" providerId="google-sheets"/>
  <x18tc:person displayName="laetitia.sebaoun@adevinta.com" id="{acdce0a4-b582-4764-b9f2-37af0285938c}" userId="laetitia.sebaoun@adevinta.com" providerId="google-sheets"/>
  <x18tc:person displayName="ludovic.hazart@adevinta.com" id="{95ab41fa-7448-454f-8a26-8f06d51b884d}" userId="ludovic.hazart@adevinta.com" providerId="google-sheets"/>
  <x18tc:person displayName="cecile.polard@adevinta.com" id="{c1d48349-6ee7-466e-846d-3ff0ce68a0b6}" userId="cecile.polard@adevinta.com" providerId="google-sheets"/>
  <x18tc:person displayName="Laetitia Ferrando" id="{32233897-40a9-440e-943e-faa9b8b76f15}" providerId="google-sheets"/>
  <x18tc:person displayName="melanie.meng@adevinta.com" id="{98eb6700-baf2-4054-8820-634f5cae03cc}" userId="melanie.meng@adevinta.com" providerId="google-sheets"/>
  <x18tc:person displayName="jonathan.bensadoun@adevinta.com" id="{c245b42f-a977-45be-bf58-4eeaa808a923}" userId="jonathan.bensadoun@adevinta.com" providerId="google-sheets"/>
  <x18tc:person displayName="ibrahim.illiassou@adevinta.com" id="{ec12d866-ec01-4ff9-836f-572f75553935}" userId="ibrahim.illiassou@adevinta.com" providerId="google-sheets"/>
  <x18tc:person displayName="jeremy.smadja@adevinta.com" id="{8caf1087-e6e9-430c-a5f7-35af5fe55d62}" userId="jeremy.smadja@adevinta.com" providerId="google-sheets"/>
  <x18tc:person displayName="yohan.koehler@adevinta.com" id="{0210c571-ef97-4e5f-a7ac-ef003dd89a40}" userId="yohan.koehler@adevinta.com" providerId="google-sheets"/>
  <x18tc:person displayName="laetitia.ferrando@adevinta.com" id="{d7f550f1-3ff4-45ff-9f5c-89d6e21305df}" userId="laetitia.ferrando@adevinta.com" providerId="google-sheets"/>
  <x18tc:person displayName="Laetitia Sebaoun" id="{d8ab5fb5-b6ee-43ed-8f95-11f0305d7f9b}" providerId="google-sheets"/>
  <x18tc:person displayName="Juliette Patry" id="{763bb66f-8e2e-482b-b779-1ba292edabf6}" providerId="google-sheets"/>
  <x18tc:person displayName="Patrice Chaperon" id="{7477dcb4-47cf-479a-899e-759b9b5ec3dd}" providerId="google-sheets"/>
  <x18tc:person displayName="Laurent Dimatera" id="{8b2a762d-98e6-4545-a380-b3a393d9dba9}" providerId="google-sheets"/>
  <x18tc:person displayName="martin.berthonneau@adevinta.com" id="{d7051da2-897b-4999-8e6c-73892d1f7f8e}" userId="martin.berthonneau@adevinta.com" providerId="google-sheets"/>
  <x18tc:person displayName="thibaut.prat@adevinta.com" id="{3720f24b-a5c4-4b80-9faf-87650b063d88}" userId="thibaut.prat@adevinta.com" providerId="google-sheets"/>
  <x18tc:person displayName="elisa.ronchi@adevinta.com" id="{9ade4403-9dba-4b63-9e34-150b471196f8}" userId="elisa.ronchi@adevinta.com" providerId="google-sheets"/>
  <x18tc:person displayName="Fiona Vassaux-Bourges" id="{c7550c49-ffd8-4848-9743-a77fb4d82b8d}" providerId="google-sheets"/>
  <x18tc:person displayName="Julia Langlois" id="{a09761ee-a81a-451d-a216-2e1386bd698c}" providerId="google-sheets"/>
  <x18tc:person displayName="aline.berc@adevinta.com" id="{3cece9fb-145c-4749-8515-b7e0db0882ad}" userId="aline.berc@adevinta.com" providerId="google-sheets"/>
  <x18tc:person displayName="caroline.laurencin@adevinta.com" id="{30d105ef-a35f-426a-b171-0fca1e20c399}" userId="caroline.laurencin@adevinta.com" providerId="google-sheets"/>
  <x18tc:person displayName="lucie.praver@adevinta.com" id="{3c45554a-925d-48c8-b33b-cd9b18a5e0c8}" userId="lucie.praver@adevinta.com" providerId="google-sheets"/>
  <x18tc:person displayName="Lydie Levent" id="{0a170749-f9ae-4bd1-b867-8bc8686a4fb7}" providerId="google-sheets"/>
  <x18tc:person displayName="Cléo Ngokoudi" id="{c3af8187-bff8-44f3-b660-e9cf0d567101}" providerId="google-sheets"/>
  <x18tc:person displayName="Olivier Buchy" id="{5f027feb-3320-437c-b96e-a1b05f457e12}" providerId="google-sheets"/>
  <x18tc:person displayName="florian.girard@adevinta.com" id="{c6f2fe0c-015b-4765-99b9-c1a9ecb6b272}" userId="florian.girard@adevinta.com" providerId="google-sheets"/>
  <x18tc:person displayName="Martin Berthonneau" id="{a6e13c37-408c-4571-87bb-c0becaefa4da}" providerId="google-sheets"/>
  <x18tc:person displayName="Cecile Polard" id="{f9adebae-5648-4bc6-b1d3-e443308a0122}" providerId="google-sheets"/>
  <x18tc:person displayName="Marc Chaperon" id="{380fd131-6778-4f6b-b377-53b5923836d4}" providerId="google-sheets"/>
  <x18tc:person displayName="Jonathan Bensadoun" id="{deff7ef5-f4f4-4af1-869e-c4350f1c5738}" providerId="google-sheets"/>
  <x18tc:person displayName="valentin.lemarec@adevinta.com" id="{aeaa6528-5c89-4b52-a25a-35281949bdc9}" userId="valentin.lemarec@adevinta.com" providerId="google-sheets"/>
  <x18tc:person displayName="imene.sediri@adevinta.com" id="{16e88bb1-45fb-4d85-9751-3f5cfee77c74}" userId="imene.sediri@adevinta.com" providerId="google-sheets"/>
  <x18tc:person displayName="marie.favre@adevinta.com" id="{7bbc9b59-d282-4ae7-b789-54c015dc4f2b}" userId="marie.favre@adevinta.com" providerId="google-sheets"/>
  <x18tc:person displayName="fabrice.barbe@adevinta.com" id="{ea740712-92b1-437f-bd28-d43f6bafce13}" userId="fabrice.barbe@adevinta.com" providerId="google-sheets"/>
  <x18tc:person displayName="Chloé Lasserre" id="{ff1a785a-c467-4cfc-9472-56e589d3fa28}" providerId="google-sheets"/>
  <x18tc:person displayName="Caroline Grangié" id="{1159169f-ca1b-42de-a2e5-796ec55c93ff}" providerId="google-sheets"/>
  <x18tc:person displayName="lydie.levent@leboncoin.fr" id="{d171ebde-b4d2-462d-9108-ba2763995a86}" userId="lydie.levent@leboncoin.fr" providerId="google-sheets"/>
  <x18tc:person displayName="sabrina.amiri@adevinta.com" id="{f5085ad0-8433-4836-a78b-2995a9648ac3}" userId="sabrina.amiri@adevinta.com" providerId="google-sheets"/>
  <x18tc:person displayName="Sabrina MALIVARN AMIRI" id="{081f11c9-3ffc-49d1-a453-9733c326cb95}" providerId="google-sheets"/>
  <x18tc:person displayName="fiona.vassaux@adevinta.com" id="{0b6917bf-2825-4085-98cb-d62b3d4072d7}" userId="fiona.vassaux@adevinta.com" providerId="google-sheets"/>
  <x18tc:person displayName="Ludovic Hazart" id="{e991f77c-a821-43ba-a6fc-533872f53124}" providerId="google-sheets"/>
  <x18tc:person displayName="eliott.lujan@adevinta.com" id="{aeb54795-0514-4f5e-8b0b-6a5dffde701a}" userId="eliott.lujan@adevinta.com" providerId="google-sheets"/>
  <x18tc:person displayName="Abderrahmane Abdallahoum" id="{b021f852-a389-4a33-89a9-e16d3fca11ad}" providerId="google-sheets"/>
  <x18tc:person displayName="elsa.cadoux@adevinta.com" id="{61d73ee8-9fec-467d-836f-6f533cb5f205}" userId="elsa.cadoux@adevinta.com" providerId="google-sheets"/>
  <x18tc:person displayName="Yohan Koehler" id="{ca079952-1fd8-4ebc-88ef-6be9a33a06d9}" providerId="google-sheets"/>
  <x18tc:person displayName="anais.langlet@adevinta.com" id="{4bb2ae8a-f46c-409b-a9c3-70bbbdd0a52d}" userId="anais.langlet@adevinta.com" providerId="google-sheets"/>
  <x18tc:person displayName="Andy Ladjadj" id="{8b3b8b39-3aad-4c3d-8358-b3dbf0d4f4f2}" providerId="google-sheets"/>
  <x18tc:person displayName="patrice.chaperon@adevinta.com" id="{7931c5f7-a81f-4088-9615-e3013a7784ba}" userId="patrice.chaperon@adevinta.com" providerId="google-sheets"/>
  <x18tc:person displayName="laurent.dimatera@adevinta.com" id="{4d1558da-f6af-4716-b305-31a456849ba4}" userId="laurent.dimatera@adevinta.com" providerId="google-sheets"/>
  <x18tc:person displayName="stephane.boucher@adevinta.com" id="{00a13910-cdca-44ac-81ee-e33e1ed4af89}" userId="stephane.boucher@adevinta.com" providerId="google-sheets"/>
  <x18tc:person displayName="Valentin Le Marec" id="{3e0aa1f8-ac1d-4235-9db1-6e7e59c860b5}" providerId="google-sheets"/>
  <x18tc:person displayName="carine.rinaldi@adevinta.com" id="{42e8256e-b5c3-471f-bbaf-664d61463b7c}" userId="carine.rinaldi@adevinta.com" providerId="google-sheets"/>
  <x18tc:person displayName="chloe.lasserre@adevinta.com" id="{85fbc5e6-4106-4bad-bdc7-e6781dd6da95}" userId="chloe.lasserre@adevinta.com" providerId="google-sheets"/>
  <x18tc:person displayName="Anaïse Blanchet" id="{6854bcd7-a0ab-47e5-a5b8-8ff1a9625009}" providerId="google-sheets"/>
  <x18tc:person displayName="robin.leboeuf@adevinta.com" id="{06433b4e-fc87-4a11-b4cb-85cb9a75a0a1}" userId="robin.leboeuf@adevinta.com" providerId="google-sheets"/>
  <x18tc:person displayName="zineb.clauzel@adevinta.com" id="{61529036-e91f-4fb4-90f1-9b41e96a1676}" userId="zineb.clauzel@adevinta.com" providerId="google-sheets"/>
  <x18tc:person displayName="julia.langlois@adevinta.com" id="{433dffa4-a73c-4a84-baa2-660eb1593217}" userId="julia.langlois@adevinta.com" providerId="google-sheets"/>
  <x18tc:person displayName="marc.chaperon@adevinta.com" id="{e0e0e1be-3852-46bf-9c74-c48cec8fd1dd}" userId="marc.chaperon@adevinta.com" providerId="google-sheets"/>
  <x18tc:person displayName="anaise.blanchet@adevinta.com" id="{9d50faf5-0bb7-4ab2-81ed-2b78d10dc59e}" userId="anaise.blanchet@adevinta.com" providerId="google-sheets"/>
  <x18tc:person displayName="Utilisateur supprimé" id="{64e1fad1-1a6d-466a-b68d-85c5db6a5701}" providerId="google-sheets"/>
  <x18tc:person displayName="saadi.kaci@adevinta.com" id="{c0726289-968c-46b7-b1d1-6d44e73cef92}" userId="saadi.kaci@adevinta.com" providerId="google-sheets"/>
  <x18tc:person displayName="antoine.delpech@adevinta.com" id="{805d7f5b-2df2-442d-a572-1e460764ba8a}" userId="antoine.delpech@adevinta.com" providerId="google-sheets"/>
  <x18tc:person displayName="Pauline Minary" id="{71f2e1a7-1479-4edd-a85b-0ba2cea1d0ad}" providerId="google-sheets"/>
  <x18tc:person displayName="Laurent Borel" id="{77ffac8e-99d9-47b0-b9b1-70a75111a4e9}" providerId="google-sheets"/>
  <x18tc:person displayName="juliette.patry@adevinta.com" id="{14097870-fcd7-4b4c-9ad3-c7e56391b7c2}" userId="juliette.patry@adevinta.com"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J2205" sheet="Use cases"/>
  </cacheSource>
  <cacheFields>
    <cacheField name=" Département" numFmtId="0">
      <sharedItems containsBlank="1">
        <s v="Marketing/Com"/>
        <s v="Automobile"/>
        <s v="DDO"/>
        <s v="Finance"/>
        <s v="RH"/>
        <s v="Immobilier"/>
        <s v="Juridique"/>
        <s v="Tech"/>
        <s v="Produit"/>
        <s v="Publicité"/>
        <s v="Relations clients"/>
        <s v="Tous"/>
        <m/>
        <s v="Pro BDC"/>
      </sharedItems>
    </cacheField>
    <cacheField name="Sous département/Tribe" numFmtId="0">
      <sharedItems containsBlank="1">
        <s v="Auto"/>
        <s v="Auto et Mat pro"/>
        <s v="Marketing / Bizdev"/>
        <s v="Trade Marketing"/>
        <s v="Mat Pro"/>
        <s v="Operations"/>
        <s v="Formation"/>
        <s v="DDO"/>
        <s v="All"/>
        <s v="PerfCo"/>
        <s v="Tools"/>
        <s v="Formation x Tools"/>
        <s v="PerfCo x Tools"/>
        <m/>
        <s v="FP&amp;A"/>
        <s v="LBC employees"/>
        <s v="Mkg Trade"/>
        <s v="Strat"/>
        <s v="Biz Dev"/>
        <s v="Etudes"/>
        <s v="Privacy"/>
        <s v="Réseaux Sociaux"/>
        <s v="Produit"/>
        <s v="Produit/UX"/>
        <s v="Data"/>
        <s v="UX"/>
        <s v="Product/UX"/>
        <s v="New biz"/>
        <s v="Trade"/>
        <s v="Mediatrading"/>
        <s v="Sales"/>
        <s v="Project &amp; tooling"/>
        <s v="Service Client"/>
        <s v="Scaled Operations"/>
        <s v="Fraude &amp; modération"/>
        <s v="Partenaires"/>
        <s v="Tooling and prject / Scaled Ops"/>
        <s v="RH"/>
        <s v="HRBP"/>
        <s v="TA"/>
        <s v="HR Admin"/>
        <s v="Paie"/>
        <s v="Guilde QA"/>
        <s v="Guilde DS"/>
        <s v="T&amp;T"/>
        <s v="Infra"/>
        <s v="Marketing opérationel"/>
        <s v="Payment"/>
        <s v="Strat Produit"/>
        <s v="Tooling and project"/>
      </sharedItems>
    </cacheField>
    <cacheField name="Nom du use case " numFmtId="0">
      <sharedItems containsBlank="1">
        <s v="Simba"/>
        <s v="Augmenter productivité et temps de contacts avec les clients"/>
        <s v="Mapping agent"/>
        <s v="Gestion des rdv via un voicebot Rachat Pro"/>
        <s v="Prospection Clients"/>
        <s v="Voicebot first answer"/>
        <s v="Analyse"/>
        <s v="Analyse data "/>
        <s v="Assitant offres / nouveautés Mat Pro "/>
        <s v="Assitant offres / offres data"/>
        <s v="Automatiser le rapport de diffusion pour les clients Grands Comptes Auto"/>
        <s v="Context agent"/>
        <s v="Pilotage"/>
        <s v="Recommandation"/>
        <s v="Traffic / Analyse "/>
        <s v="Agent IA Modération des annonces &amp; comptes"/>
        <s v="Mapping des correspondances"/>
        <s v="Surveillance imports"/>
        <s v="Automatiser réponse niveau 1 support client"/>
        <s v="QA analyst"/>
        <s v="Chatbot"/>
        <s v="Copilot"/>
        <s v="FAQ Agent"/>
        <s v="Formation techniques de ventes"/>
        <s v="QA "/>
        <s v="Revue de presse hebdo"/>
        <s v="Screenrecording"/>
        <s v="Talk summarize"/>
        <s v="Veille concurrentielle/marché"/>
        <s v="Branding"/>
        <s v="Content"/>
        <s v="Gestion de projet"/>
        <s v="Synthèse"/>
        <s v="Intégration automatique de données commerciales pour suivi de l'activité"/>
        <s v="Rapport imports"/>
        <s v="Validation XML"/>
        <s v="Zendesk réponse client niveau 1"/>
        <s v="Voice of Customer"/>
        <s v="Assitant offres / nouveautés Auto "/>
        <s v="Conception des scripts d'appel"/>
        <s v="Alerting et review de documents incohérents"/>
        <s v="Rédaction &amp; mise à jour de documentation process"/>
        <s v="Evaluation d'appels à partir d'une grille précise (QMA)"/>
        <s v="Faire ressortir des verbatims et des tendances d'appel "/>
        <s v="Aide à la planification du temps de travail"/>
        <s v="Analyse automatique des KPI &amp; GRAF"/>
        <s v="Automatisation du calcul des objectifs"/>
        <s v="Base de connaissances + Chatbot interne"/>
        <s v="Centralisation &amp; suivi de To Do"/>
        <s v="Codage Apps Script &amp; automatisation de tâches"/>
        <s v="Détection d’outliers &amp; anomalies"/>
        <s v="Génération de visuels et contenus impactants"/>
        <s v="Organisation automatique de la documentation Confluence"/>
        <s v="Prédiction de comportements clients"/>
        <s v="Structuration d’ateliers et de comités projet"/>
        <s v="Support de présentation"/>
        <s v="Analyse cohérence CV / fiche de poste"/>
        <s v="Création de pas-à-pas et process lors de nouveaux outils / produits"/>
        <s v="Création et explication de formules (Google Sheets / SQL)"/>
        <s v="Budget vs Actual"/>
        <s v="Etudes bases de données"/>
        <s v="Historic data and comments for finance by verticals "/>
        <s v="Image illustration for finance"/>
        <s v="Onboarding process - Process redaction help"/>
        <s v="Travel expenses analysis &amp; alerting gap with travel policy"/>
        <s v="Chatbot pour le cycle d'achat "/>
        <s v="Enregistrement pour DSO"/>
        <s v="FTE analysis for finance"/>
        <s v="Ajout de l'IA dans Bob"/>
        <s v="Industry market monitoring by verticals"/>
        <s v="Lettrage O2C"/>
        <s v="Validation devis "/>
        <s v="Weekly forecast analysis"/>
        <s v="CAPEX"/>
        <s v="Detailed Finance analytics "/>
        <s v="Calculette ROI "/>
        <s v="Aide Account Manager &amp; ADV"/>
        <s v="Aider à l’édition de contenu pour publications sur linkedin AR"/>
        <s v="Possibilité de créer un prompt sur Figma qui peut générer un visuel selon votre demande"/>
        <s v="Aide à l'évaluation de la qualification des bases CRM"/>
        <s v="Outil de veille immo : sur toutes les actus, updates concurrence, etc."/>
        <s v="Compte rendu de RDV"/>
        <s v="Résumé de compte dans salesforce"/>
        <s v="Préparation de rdv FS&#10;&#10;Connaissance du client et de son environnement"/>
        <s v="Résumer et partager Etude Xerfi marché immp sous différentes formes"/>
        <s v="Tests pour créer des présentations pour le Kick off de janvier auprès des équipes commerciales ou nouvelles offres"/>
        <s v="Hybride Sales Report &#10;Aide au reporting hebdo"/>
        <s v="Sketching discours live "/>
        <s v="Vidéo pour usage interne pour animer Kick off commerciaux etc"/>
        <s v="&#10;Remplir automatiquement des reportings sur la base de dashboard tableau - Moana"/>
        <s v="Aide à génération de contenus pour en créer plus et booster le SEO et le GEO du site B2B et ainsi générer plus de leads B2B "/>
        <s v="Alerte ouverture d'une agence prospect dans ma zone"/>
        <s v="Analyser stats d’un fichier d’inscrits (à un évènement)"/>
        <s v="Analyses mensuelles des audiences BMB"/>
        <s v="Création mail client suite rendez-vous"/>
        <s v="Créer une prez rapidement à partir d’une charte ou d’un brief"/>
        <s v="Faire des comptes rendus de réunion et les do do lists qui en découle"/>
        <s v="Interpréter les messages d’erreur dans les livraisons produits sur Salesforce - K.M.K."/>
        <s v="Mails commerciaux avec relances automatiques"/>
        <s v="Me générer un tableau de suivi des commandes que je fais sur une plateforme WEB avec N° de la commande et son état à date afin que je puisse suivre en 1 coup d’oeil (la plateforme de commande n’en propose pas)"/>
        <s v="Pouvoir interroger des GSheet de façon conversationnelle (ex. donne moi le nombre de clients en PACA en novembre 2025"/>
        <s v="Pouvoir interroger tableau de façon conversationnelle (Ex. donne-moi l’ARPA en IDF en septembre 2025) "/>
        <s v="Préparation des rendez-vous clients (slides adaptées) : design &amp; recherche de données "/>
        <s v="Préparation RDV grand compte avec perplexity / &#10;Veille hebdo sur les clients d'un Skam / Kam"/>
        <s v="Vérification de présentation grand &#10;compte"/>
        <s v="Présentation d'une nouvelle fonctionnalité concurrente"/>
        <s v="Rédaction de questionnaire à destination des pros ou part pour tester l’appétence à un nouveau service"/>
        <s v="Rédiger le voice over d’une présentation"/>
        <s v="Remplir automatiquement des reportings sur la base de dashboard tableau (exports de chiffres)"/>
        <s v="Remplir automatiquement des reportings sur la base de Gsheets - Moana"/>
        <s v="Analyse des messages sur les formulaires de WCB du site B2B pour les catégoriser : business / plainte / Service client"/>
        <s v="Réflexion sur comment  mettre en place des cold emails reply vers équipes TLV : comment qualifier les réponses des clients etc."/>
        <s v="Synthèse d’étude existantes (ou autres présentations)&#10;Analyses de nos enquêtes users &amp; pros (quali, quanti, questions ouvertes surtout) BMB"/>
        <s v="Veille concurrentielle"/>
        <s v="Conception de Lead Magnet / analyses locales data industrialisées à la maille code postale"/>
        <s v="Assistant commercial "/>
        <s v="Assistant marché immobilier"/>
        <s v="Assistant outils statistiques et bilan FS"/>
        <s v="Brainstorm sur noms d'offres"/>
        <s v="Comprendre pour les commerciaux qui contacter selon quel problème ? Qui fait quoi ?"/>
        <s v="Développer une idée (demander son avis)"/>
        <s v="Faire une note mensuelle ou hebdo sur les news du marché et des concurrents (veille actus)"/>
        <s v="Identifier la bonne teams P&amp;E en cas de problèmes/Bugs"/>
        <s v="Rapport performance clients GC"/>
        <s v="Sales Genius&#10;Info sur l'évolution du site leboncoin immo : les nouvelles évolutions,  et comment faire la démo du compte pro ou du site leboncoin"/>
        <s v="Sales Genius&#10;Info sur les Offres &amp; Argumentaires clients &amp; le pitch leboncoin immo"/>
        <s v="Sales Genius&#10;Info sur Promo / process / éligibilté / discours commerciaux "/>
        <s v="Sales Genius&#10;Infos sur le marché immobilier / "/>
        <s v="Synthèse des évolutions produits chaque mois Lisa A"/>
        <s v="Test outil Notebook LM &#10;pour entrainer et former commerciaux à partir des supports Marketing Trade"/>
        <s v="Création d'un chatbot &quot;Maître coin&quot;"/>
        <s v="Génération contrat"/>
        <s v="Génération template NDA"/>
        <s v="Risk assessment POC"/>
        <s v="Génération courrier de réponse"/>
        <s v="Réponses aux demandes complexes de données"/>
        <s v="1ère analyse de contrat"/>
        <s v="Aide à la rédaction contractuelle"/>
        <s v="Existence données personnelles"/>
        <s v="Génération réponse équipes internes"/>
        <s v="Mise en conformité nouvelles réglementations"/>
        <s v="Sociabble"/>
        <s v=" Veille concurrentielle"/>
        <s v="Consolidation financière"/>
        <s v="Créas pub, RS ou marketing"/>
        <s v="Intégration aux outils marketing"/>
        <s v="Optimisation de campagnes"/>
        <s v="Optimisation retroplannings"/>
        <s v="Présentations / bilans de campagnes automatisés"/>
        <s v="Réponses mails automatiques / MP en RS"/>
        <s v="Reformulation texte/mail"/>
        <s v="Revues de presse"/>
        <s v="Synthèse de documents"/>
        <s v="Assistant Evaluation Cadrage Produit"/>
        <s v="Brief Design (Briefly)"/>
        <s v="Help Benchmark et de la Veille Technologique"/>
        <s v="Help on AB test"/>
        <s v="Help on AI feature"/>
        <s v="Writing Produced framework document doc"/>
        <s v="Agent Dupont Moretti"/>
        <s v="Agent PMM"/>
        <s v="Aide à l’idéation (disco)"/>
        <s v="Aide à la communication sortie feature"/>
        <s v="Analyse simple 'ad-hoc' "/>
        <s v="Analysis output/outcome review (slides ou autre document) "/>
        <s v="Analytics : aide au cadrage"/>
        <s v="Auto Doc"/>
        <s v="Base de connaissance règles des features"/>
        <s v="Centralisation des retours utilisateur"/>
        <s v="Connaître date MEP feature et PM associé"/>
        <s v="Connexion JIRA"/>
        <s v="Product Career Path Evaluation"/>
        <s v="MartinGPT ©"/>
        <s v="Data finder"/>
        <s v="Design system - Aide au développment"/>
        <s v="Design system - AI ready"/>
        <s v="Design system - Changelog / Release-Note"/>
        <s v="Design System - Help"/>
        <s v="Global status main projects"/>
        <s v="Insight"/>
        <s v="Help on Data"/>
        <s v="Help on slack"/>
        <s v="Help on slides"/>
        <s v="Création ticket JIRA automatique depuis thread Slack"/>
        <s v="IDE Data"/>
        <s v="Keydates generation"/>
        <s v="Réduire/Automatiser watchman data support Patrice"/>
        <s v="Screenshots de la prod"/>
        <s v="Tagging plan"/>
        <s v="Wireframes"/>
        <s v="Design review"/>
        <s v="Documentation et partage des analyses Data"/>
        <s v="Entretien users"/>
        <s v="PPP Head of "/>
        <s v="PPP PM Challenger"/>
        <s v="Product Strat Challenger"/>
        <s v="Release note"/>
        <s v="UX Writing (Capello)"/>
        <s v="Writing specs"/>
        <s v="From Slack to production"/>
        <s v="Optimisation strategie"/>
        <s v="Base campagne request"/>
        <s v="Base Forecasting request"/>
        <s v="Base segment data request"/>
        <s v="interrogation base sales force"/>
        <s v="Historisation des optis "/>
        <m/>
        <s v="Spé tech"/>
        <s v="Pèse OI"/>
        <s v="Création de bilan de campagne "/>
        <s v="Privacy consentless"/>
        <s v="RDV Client agricole"/>
        <s v="Assistant commercial pré-campagne EA"/>
        <s v="Assistant Régie pub leboncoin &quot;Neo&quot;"/>
        <s v="Segments DATA &quot;Lebonsegment&quot;"/>
        <s v="Analyse des bilans de campagnes en extension d'audience"/>
        <s v="Analyse des bilans de campagnes display"/>
        <s v="Assistant exemples de prog"/>
        <s v="Analyse des search sans resultats"/>
        <s v="Assistant Site Le bon Coin "/>
        <s v="CR de réunions"/>
        <s v="Estimation de costs Formation initiale &amp; ramp-up d'activités périodiques"/>
        <s v="Assistant Guide de Modération"/>
        <s v="Données techniques dans nos modules"/>
        <s v="Mayday - outil IA pour accompagner les agents "/>
        <s v="Outil Qualité Service Client"/>
        <s v="Analyse verbatims de la Csat mensuelle vs trimestrielle avant"/>
        <s v="Automatisation des reportings"/>
        <s v="Assistant FAQ"/>
        <s v="Comm' hebdo RC"/>
        <s v="Challenger le contenu des articles FAQ"/>
        <s v="Analyse demandes clients sur les Stores"/>
        <s v="Analyse des besoins Roadmap"/>
        <s v="Analyse verbatims Csat"/>
        <s v="Assistant expression de besoins"/>
        <s v="Gestion macros"/>
        <s v="Mesures // Attributs personnalisés ZD"/>
        <s v="Chattermill"/>
        <s v="Optimiser le reporting dans Monday"/>
        <s v="Chatbot sur le centre d'aide"/>
        <s v="creer le one pager agent "/>
        <s v="faire une synthèse du débreif comex"/>
        <s v="créer un linéaire de formation"/>
        <s v="crtique d'une formation "/>
        <s v="Chatbot RH - collaborateurs"/>
        <s v="Chatbot RH équipe"/>
        <s v="Chatbot RRH"/>
        <s v="Feedback"/>
        <s v="Génération contrats et avenant "/>
        <s v="Job Description"/>
        <s v="Kick off meetings "/>
        <s v="Scorecard generation"/>
        <s v="Veille Juridique"/>
        <s v="Exit Interview analyse"/>
        <s v="Analyse KPI RH "/>
        <s v="AI validation and fix on Pull Request"/>
        <s v="Aide SQL"/>
        <s v="Analyse de commentaires utilisateurs sur plateforme externe (type totalbug)"/>
        <s v="Gerrit AI Code Review"/>
        <s v="Pull Request Score Complexity"/>
        <s v="Générations d'UATs pour tests manuels ou automatisables"/>
        <s v="Tests exploratoires pilotés par IA"/>
        <s v="Annonces autom"/>
        <s v="Auto-PPP"/>
        <s v="Automatisation fichiers Swagger"/>
        <s v="Automatisation schema Avro"/>
        <s v="Automatiser la doc backstage"/>
        <s v="Conformité vulcan"/>
        <s v="Data extract"/>
        <s v="Erreurs logs"/>
        <s v="Générateur résumé PR"/>
        <s v="Génération de Doc"/>
        <s v="Génération de prompts"/>
        <s v="Génération rapport Gherkix"/>
        <s v="Incident helper"/>
        <s v="Optim cout"/>
        <s v="Pré aperçu PR"/>
        <s v="Quality gates"/>
        <s v="Résumé bonnes pratiques"/>
        <s v="Revue de code"/>
        <s v="Slack Chatbot Support"/>
        <s v="Support migration"/>
        <s v="Tâches watchman"/>
        <s v="Tests de non régression"/>
        <s v="Vibe Coding"/>
        <s v="ADR Assistant"/>
        <s v="AI paper digest"/>
        <s v="Architecte ADR"/>
        <s v="Assistant QA"/>
        <s v="AWS Services Knowledge"/>
        <s v="Backend monorepo docs"/>
        <s v="Configuration dépot dynamique"/>
        <s v="Data Science Guild Onboarder&#10;"/>
        <s v="Expert Dépôt Dynamique"/>
        <s v="Expert Review/Création d’UAT Gherkin"/>
        <s v="Mim Helper"/>
        <s v="Storage GPT"/>
        <s v="Table explorer"/>
        <s v="Terraform Killer"/>
        <s v="UAT"/>
        <s v="Info finder"/>
        <s v="Slack summarization"/>
        <s v="Bibliothèque de prompts"/>
        <s v="Backstage P&amp;T Org"/>
        <s v="Génération d'images pour présentation"/>
        <s v="Onboarding"/>
        <s v="Tableau Assistant"/>
        <s v="1ere Review automatique par Claude Code"/>
        <s v="Creation d'un agent IA"/>
        <s v="Génération de script de répartation "/>
        <s v="N8N - Agent IA relation publique"/>
        <s v="Aide : Cadrage d'ateliers"/>
        <s v="Aide : Brief du Vendredi"/>
        <s v="Baromètre de Preuve Rigoureux"/>
        <s v="Baromètre de Preuve Vulgarisé"/>
        <s v="Baromètre de Preuve Hybride"/>
        <s v="Guide outil online - groupMaker"/>
        <s v="Guide d’atelier “mode d’emploi”"/>
        <s v="Coache virtuelle Satir : iceberg"/>
        <s v="Coache virtuelle Satir : assouplir les règles"/>
        <s v="Aide : Écrire un message&#10;"/>
        <s v="Coach.e virtuel.le solution focus"/>
        <s v="Guide d'atelier &quot;mieux se connaitre&quot;"/>
        <s v="Gestion / migration de fichiers data "/>
        <s v="Finance Chatbot"/>
        <s v="App Store Reviewer Classifier"/>
        <s v="Zendesk Reviewer Classifier"/>
        <s v="Apprentissage et coaching IA"/>
        <s v="Préparation et synthèse d’entretien de recrutement"/>
        <s v="Résumé agents "/>
        <s v="Synthèse hebdo des flux et des performances"/>
        <s v="Assistant Confluence "/>
        <s v="Diabolocom"/>
        <s v="Analyse de Sentiment &amp; Catégorisation de Verbatims"/>
        <s v="Assistant prompt pour le chatbot"/>
        <s v="Amélioration des listes de prospection "/>
        <s v="Identification des faux particuliers"/>
        <s v="Analyse d'appel et de feedback"/>
        <s v="Calculette NBM"/>
        <s v="Mise à jour du CA réel"/>
        <s v="Comparaison de l'UX des concurrents avec leboncoin"/>
        <s v="Faire des briefs pour P&amp;T pour pousser et justifier le développement d’une fonctionnalité / offre pour les particuliers"/>
        <s v="Faire des briefs pour P&amp;T pour pousser et justifier le développement d’une fonctionnalité / offre pour les professionnels"/>
        <s v="Mise à jour d'un doc de suivi des nouveautés produit"/>
        <s v="Mise à jour du RE product suivi projet P&amp;T"/>
        <s v="Mise à jour du reporting hebdo "/>
        <s v="Création d'un assistant data dans Tableau"/>
        <s v="Génération de slides à partir de la FPI"/>
        <s v="Reformulation du CR de Gemini dans ChatGPT"/>
        <s v="Rangement des fichiers reçus dans le dossier correspondant"/>
        <s v="Aide au pilotage de la boite de reception"/>
        <s v="Suivi de l'avancée des projets de l'équipe "/>
        <s v="PPP consolidé sur la base de notre reporting"/>
        <s v="Lebonwording"/>
        <s v="Plugin Claude Code pour PMs"/>
        <s v="Création de tickets jira"/>
        <s v="Création de boards miro"/>
        <s v="Création paramètre de campagne Piano"/>
      </sharedItems>
    </cacheField>
    <cacheField name="Description du use case " numFmtId="0">
      <sharedItems containsBlank="1">
        <s v="Créations de scripts automatiques à destination des commerciaux proposant un diagnostic de la situation pour les clients et une approche pour optimiser son ROI via nos produits ou via d'autres actions activables"/>
        <s v="L'optimisation des tâches administratives et d'analyses des KPIs"/>
        <s v="Mapping des demandes clients par produit, par thème, sous thème pour analyse en profondeur quels sont les points de friction client"/>
        <s v="Agent Voicebot pour la prise de rendez-vous pour les particuliers et les pro du process Rachat Pro =&gt; confirmation de rdv, confirmation, annulation/modification"/>
        <s v="Prospection et détection d'opportunités"/>
        <s v="Mettre en place un agent Voicebot IA pour prendre le premier niveau de demande (équivalent à un formulaire) pour la création d'un ticket et un rappel de l'agent ensuite /IA / Zendesk : Agent IA permettant de prequalifier la demande du client lors d'un app"/>
        <s v="Générer des analyses régulières / des bilans (lancement d'une fonctionnalité par ex)"/>
        <s v="Pouvoir ressortir des analyses de nos bases data (via Tableau ou autres) à partir d'un prompt"/>
        <s v="Pouvoir accompagner les équipes Mobility sur les offres LBC + exMB --&gt; produits, fonctionnalités, prix, datas internes et clients"/>
        <s v="Pouvoir accompagner les équipes Mobility sur les offres data --&gt; produits, fonctionnalités, prix, datas internes et clients"/>
        <s v="Agent IA pour les tâches manuelles et chronophages type : &#10;- créer des rapports pour répondre aux demandes clients d'états des lieux de leur réseau (exemple : extraire dans un fichier tous les comptes actifs d'un réseau et intégrer dans une colonne le vol"/>
        <s v="Agent IA Zendesk : use-case en cours de reflexion . Exemple :  (1) résumé global et non par ticket par un client Agent IA  (2) analyse CSAT synthétiser les plaintes et suggestions (3) génerer note interne ZD globale du ticket, avec automatisation de la cr"/>
        <s v="Mettre en avant les valeurs à corriger (VR, VR VO, Cote) en analysant des fichiers à gros volumes"/>
        <s v="Etre alerté d'un changement de trend sur un KPIs clé"/>
        <s v="Aide à analyser les tendances de trafic passées afin d’établir des projections dans le temps et de mettre en évidence les points d’attention prioritaires"/>
        <s v="Aide à identifier et prioriser les besoins clients en fonction de critères tels que l’appétence et la contribution potentielle à un objectif défini (CA, Leads...)"/>
        <s v="Agent IA Modération annonces : (1) analyse des photos afin de détecter la véracité de la catégorisation, (2) détection de fraude via les photos (recherche inversée, éviter les captures d'écran, ..), (3) détection de mots clés dans les annonces. &#10;&#10;Agent IA"/>
        <s v="Assister la réalisation des mappings de correspondances / Rendre la fonction d'automatisation fonctionnelle. Sujet lié à la ligne 47 (Faciliter la modé de comptes avec un agent IA)Améliorer les outils de BO en intégrant l'IA."/>
        <s v="Avoir un agent de surveillance des imports et des exports en temps réel pour détecter les dysfonctionnements"/>
        <s v="Automatiser les réponses directement dans zendesk avec Cobbai sur des sujets précis (renouvellement mdp, qualité photo, modération,...)"/>
        <s v="Analyse de la qualité des réponses de l'agent via l'IA qui permettra de faire du feedback hebdomadaire à chaque agent / récap plus complet avec des exemples aux managers"/>
        <s v="Optimisation préparations de vistes"/>
        <s v="Chatbot helpcenter =&gt; Marque Mobility (Matpro, Cardiff, PVO2)"/>
        <s v="Copilot IA pour les agents support =&gt; Zendesk IA"/>
        <s v="Créer et optimiser nos articles de FAQ pour un meilleur rendu et une meilleure structure de tous nos articles"/>
        <s v="Aide à l'assimiliation et à l'entrainement sur les techniques de ventes"/>
        <s v="Analyse de la qualité de nos réponses via un outil dédié QA =&gt; Zendesk QA&#10;Premier niveau d'analyse via l'IA =&gt; permet une analyse globale, de définir une sélection de ticket à analyser par les managers.&#10;Définition d'un score AutoQA via l'IA"/>
        <s v="Synthétiser les revues de presse (info concurrents, nouvelles tendances, info de marché...) via l'IA"/>
        <s v="Snapcall =&gt; Screen recording + résumé IA"/>
        <s v="Résumé des appels via l'IA"/>
        <s v="Analyse de marché sur le marché VO et sur des sujets très spécifiques (ex. API)"/>
        <s v="Analyse de recommendations de pricing des options premium et self serve "/>
        <s v="Etre alerté d'une nouveauté/changement chez un concurrent"/>
        <s v="Analyse de verbatims clients (écoute, étude, UX research) et synthèse"/>
        <s v="Veille concurrentielle et veille sur les tendances de marché (et synthèse)"/>
        <s v="Synthétiser les documents d'un contructeur pour sortir les infos principales"/>
        <s v="Accompagnement dans les brainstorming de branding de fonctionnalités (en prenant en compte benchmark du marché)"/>
        <s v="Générer du contenu pertinent et impactant (éditorial, posts sur les RS etc)"/>
        <s v="Générer des CR et des synthèses lors des réunions projets (+ assigner des tâches à des personnes)"/>
        <s v="Aider dans la réalisation de nos recommandations (benchmarks concurrence, axes stratégiques, structures des recommandations)"/>
        <s v="Synthétiser une étude (ou plusieurs études) et structurer les insights"/>
        <s v="Agent IA capable de lire et d'analyser des documents commerciaux et d'en extraire les éléments principaux et les intégrer dans un document global permettant d'anlayser l'activité commerciale (BFU) par le biais d'un connecteur N8N"/>
        <s v="Créer un script Gsheet pour importer des données du BO Admin et mettre à jour les données par rapport à la version du mois précédent"/>
        <s v="Créer un script canvas ChatGPT pour analyser la compatibilité des rubriques et des champs d'un fichier XML d'un client"/>
        <s v="IA / Zendesk : Agent IA alimenté par process, articles centre d'aide, vidéo Snapcall proposant des articles permettant de répondre à la problématique client sur la base de mots clés"/>
        <s v="Voice of the Customer vise à transformer les tickets de support clients en une synthèse claire et actionnable, destinée aux équipes internes.&#10;&#10;Chaque semaine, les tickets Zendesk sont analysés par une IA afin d’identifier :&#10;les thèmes principaux pour lesq"/>
        <s v="Pouvoir accompagner les équipes Mobility sur les offres Auto LBC --&gt; produits, fonctionnalités, prix, datas internes et clients"/>
        <s v="conception, variantes, gestion des objections, QA"/>
        <s v="Détection automatique de contradictions ou de versions obsolètes dans la doc interne (script qui scanne l'intégralité de tes dossiers dans un googlesheet et indiquer la nécessité d'un update et la récurrence et ça envoie des alertes en créant des évènemen"/>
        <s v="Génération, relecture et mise à jour automatique des documents de process (clarification du contenu, orthographe, mise en forme, création de nouvelles docs à partir d’inputs métiers)"/>
        <s v="À partir d’une grille d’évaluation scriptée (critères + barème) analyse les appels commerciaux et complète automatiquement la grille"/>
        <s v="Analyse IA d’un volume d’appels pour extraire des verbatims représentatifs et identifier des tendances récurrentes (objections, besoins, déclencheurs, points de friction). Restitution structurée par thèmes recommandations concrètes pour le coaching et l’o"/>
        <s v="Recommandation IA pour planifier les tâches selon la charge, les priorités et les deadlines"/>
        <s v="Génération et interprétation automatique de tableaux de bord à partir des données Perfco et campagnes"/>
        <s v="Génération automatique des objectifs trimestriels via des règles IA à partir de l’historique"/>
        <s v="Chatbot alimenté par la documentation interne (Confluence, FAQ, Sheets, google slide) pour répondre aux questions récurrentes"/>
        <s v="Agrégation automatique des tâches issues de plusieurs sources (JIRA, Sheets, Docs)"/>
        <s v="Génération de scripts simples (Sheets, Docs, Gmail) pour automatiser des actions récurrentes"/>
        <s v="Identification automatique des valeurs aberrantes dans les datasets de performance"/>
        <s v="Création d’images ou vidéos selon la charte graphique pour les supports internes"/>
        <s v="Classement et enrichissement automatique des pages Confluence (résumé, tags, mise à jour)"/>
        <s v="Utilisation de l’IA pour identifier les signaux faibles et anticiper des actions clients"/>
        <s v="Génération d’agendas, de templates et de comptes rendus automatiques"/>
        <s v="Réalisation de support de présentation à partir d'une thématique d'un template et d'informations données "/>
        <s v="IA pour filtrer les candidatures selon critères objectifs"/>
        <s v="Génération de procédures guidées (mode d’emploi + check-list) lors du lancement d’un outil"/>
        <s v="Génération, explication et optimisation de formules complexes"/>
        <s v="Automatiser rapprochement budget et réel"/>
        <s v="Manipulation, controle et analyse de  base de données importantes"/>
        <s v="Créer un GPT ou on peut stocker l’historique des datas par année et par GL avec l’historique de nos commentaires"/>
        <s v="Illustration concept/idée en image pour une meilleure transmission"/>
        <s v="Formaliser des process (onboarding passation) - Ecrire des process notes détaillant chaque étape"/>
        <s v="Analyse automatisée des dépenses soumises par les employés et comparaison avec la Global Travel and Expense Policy"/>
        <s v="Assistant / Chatbox gestion relation fournisseur cycle d’achat"/>
        <s v="Enregistrement et synthèse conversation recrouvremnet lien vers my dso / sf (appels)"/>
        <s v="Suivre les FTE simplement à partir des organigrammes"/>
        <s v="Ex. Faire des objectif / EAE / créé des rapports..."/>
        <s v="Veille sur le marché industrie pour aider à comprendre la perf. interne"/>
        <s v="Lettrer des comptes"/>
        <s v="Validation des devis"/>
        <s v="Mise à jour du weekly revenue forecast avec les données tableau FRC, SF, SAP"/>
        <s v="Aide à la création de projet capex,respectant les regles IFRS"/>
        <s v="Créer un GPT où chaque employé peut retrouver les cost centers auquel il est rattaché avec également l’analytique complet"/>
        <s v="Création d'une calculette ROI pour RDV clients"/>
        <s v="Aide aux ADV / AM sur taches récurrentes / courrier clients etc&#10;"/>
        <m/>
        <s v="Possibilité de créer un prompt sur Figma qui peut générer un visuel selon votre demande // Être très précis sur votre demande"/>
        <s v="Pour savoir quel % des nos emails sont génériques ou avec nom prénom etc"/>
        <s v="Outil de veille immo : sur toutes les actus, updates concurrence, etc. sur le marché immo ou un client en particulier"/>
        <s v="Post rdv dicté à l'oral direct sur appl Chatgpt&#10;Synthétiser les CR de rdv commerciaux pour alimenter CRM avec cette synthèse&#10;permet de structurer chaque CR de rdv"/>
        <s v="En cours de test par les managers FS Immo"/>
        <s v="GPT custom &quot;Découverte Agence&quot;&#10;- mini audit sur client, sa diff sur concurrent chez nous, date de création etc&#10;- A intégrer dans salesforce à voir comment&#10;=&gt; Next steps: partage du gpt "/>
        <s v="Après achat de l'étude Xerfi qui est conséquente besoin de résumer points essentiels"/>
        <s v="Besoin à partir de messages de créer un deck impactant, très visuel et peu de mots"/>
        <s v="lance une interview qui peut être à l'oral pour le commercial à la fin de sa semaine avant son 121 avec son manager&#10;Intérêt double car le commercial prend conscience de sa semaine : combien tu as fait de rdv? combien de ventes  ? = c'est un 121 avec gpt&#10;p"/>
        <s v="Avec base de données on pourrait demander non seulement à chatgpt de faire le client mais aussi quels retour : challenge moi&#10;Donner le vrai contexte du client"/>
        <s v="Pour nos kicks off commerciaux où on souhaite apporte un max de motivation aux équipes&#10;Il est utile d'avoir des vidéos inspirationnelles&#10;"/>
        <s v=" (identifier comment les pros immo / part immo utilisent les LLM sur l'immo)&#10;Utiliser les LLM pour créer plus de contenus sur site B2B pour accroitre trafic du site B2B immo et généer plus de leads"/>
        <s v="Alerte pour prévenir qu'une agence est apparue soit dnas le quartier, soit dans Google My Business, soit sur un concurrent : seloger ou bien ici"/>
        <s v="Générer un email de relance automatique en cas de non réponse &#10;générer un mail automatique au client + au FS proposant des dates pour RDV de suivi &#10;Relances automatiques: peux-tu me faire un mail de relances devis "/>
        <s v="Personnalisation des pres commerciales selon découverte client : ses enjeux, sa zone, ses produits etc/"/>
        <s v="Savoir toute l'actu d'un réseau GC : infos externes  mais aussi enjeux, strat de comm, de réseau, de maillage, de recrutement, résultats commerciaux, rebranding, prise de paroles, etc"/>
        <s v="Création d'un assistant GPT pour que les GC puissent faire vérifier leurs présentation avant envoi au client : respect de la charte, police, placement des logos..."/>
        <s v="Faire une présentation à la sortie d’une nouvelle offre/fonctionnalité concurrente"/>
        <s v="Analyse de data facilitée"/>
        <s v="Analyse d'un grand volumes de messages extraits des formulaires de WCB"/>
        <s v="Veille concurrentielle, peux tu me dire quels sont les produits et prix de seloger &amp; bienici "/>
        <s v="Industrialiser la conception d'analyses marché locales en créant des workflows entre différentes sources data + une templates slides identique pour chaque code postal"/>
        <s v="Assistant pour les commerciaux  qui répond aux questions sur les sujets aide à la vente, accompagnement client et process internes"/>
        <s v="Assistant pour répondre à des questions liées aux données du marché de l'immobilier."/>
        <s v="Assistant pour répondre aux questions sur les différents outils stats clients. "/>
        <s v="Exemple pour trouver de nouveaux noms de gamme offres commerciales"/>
        <s v="L'organisation (marketing opérationnel, etc) a beaucoup changé au cours de 2025&#10;Les commerciaux ne savent pas toujours vers qui se tourner pour poser leurs questions Stats client / supports prez co /etc.. &#10;Le but est donc de créer un document qui clarifie"/>
        <s v="Brainstorm sur noms des offres etc"/>
        <s v="Tous les mois, les commerciaux grands comptes envoient aux clients des rapports sur la performance de leur réseau. Un prompt a été créé avec ChatGPT pour formaliser avec qualité ces données.  Ils uploadent l'export pdf de leur reporting + le prompt et cel"/>
        <s v="Le même super assistant donne le discours client à tenir sur les dernières évolutions sur le site leboncoin immo : leur valeur ajoutée, date &#10;+ Tips sur comment effectuer par étape la démo du boncoin immo et du compte pro en mettant en avnat les nouveauté"/>
        <s v="Créer un super assistant qui répond rapidmeenet à n'importe quelle question sur les offres et apporte une réponse rapide, structurée, sourcée&#10;Avec un discours 100% axé client basé sur nos nombeux outils d'aide à la vente "/>
        <s v="Le même assistant est capable de préciser toutes les questions référentes au process de vente, à la stratégie de vente, à l'éligibilité des offres commerciales d'acquisition, de win-back etc."/>
        <s v="Le même assistant est capable de résumer ou répondre aux questions relatives au marché immobilier : audience, tx d'intérêt etc."/>
        <s v="Résumer et formaliser chaque mois les évols produit pour les prez Skam et kam"/>
        <s v="Notebook LM (dépend de notre licence Gemini Pro) permet des fonctionnalités complémentaires à Chagpt avec BDD supports Mkg Trade : &#10;- Tests QCM&#10;- Fiches questions / réponses&#10;- vidéos pédagogiques&#10;- mindmap&#10;Tout cela généré automatiquement !"/>
        <s v="Chatbot qui se baserait sur nos CGU, CGV, RDD (...) afin de répondre aux questions du service clients et du business"/>
        <s v="Sur la base d'un clausier créé par le service juridique, vérifier un contrat et proposer une meilleure rédaction des clauses qui ne correspondent pas au standard posé par le clausier. Le but final serait de générer directement des markups sur le document."/>
        <s v="Pemet aux opérationnels de générer de manière autonome un NDA"/>
        <s v="Analyse des risques quand on veut tester une solution IA en version gratuite"/>
        <s v="Générer automatique les requetes SQL (voir les envoyer pour répondre aux demandes qui viennent habituellement à Data Platform)"/>
        <s v="Permet d'identifier les éléments manquants, points bloquants et/ou à négocier"/>
        <s v="Permet de créer ou d'améliorer une clause contractuelle"/>
        <s v="Vérifier si un projet / contrat comprend un traitement de données personnelles "/>
        <s v="Réponse à des questions basiques des équipes de TLV/ADV/SC sur la base d'un mode d'emploi rédigé par le service juridique"/>
        <s v="Permet d'identifier les problématiques principales et applicables à notre activité avant une étude plus approfondie."/>
        <s v="Programme employés ambassadeurs, reformulation / personnalisation des posts grâce à l'IA. "/>
        <s v="Automatiser et industrialiser la veille concurrentielle (innovations, stratégie marketing...)"/>
        <s v="Croisement et vérification des factures reçues / dépenses prévues dans les tableaux du CDG  / tableau de suivi équipe"/>
        <s v="Création et / ou déclinaisons formats visuels"/>
        <s v="Intégration aux outils marketing : connexion en API aux ad platform (google ads, META etc. liste plus exhaustie à fournir) afin d'éviter de devoir extraire d'un côté puis réupload de l'autre etc."/>
        <s v="Identifier des leviers stratégiques d’amélioration de nos créas publicitaires dans les brand trackers"/>
        <s v="Conception et aide au suivi de rétroplannings"/>
        <s v="Fusionner / synthétiser les performances pour les PPP"/>
        <s v="Traiter &amp; répondre aux emails de sollicitation de commerciaux ou de propositions de partenariats "/>
        <s v="Reformulation pour les mails, textes réseaux sociaux..."/>
        <s v="Synthèse et analyse des mentions du boncoin dans les médias"/>
        <s v="Synthèse de documents longs et / ou techniques, échanges de mails..."/>
        <s v="Un GPT qui aide à formaliser son cadrage"/>
        <s v="Accompagnement à la rédaction de brief de conception"/>
        <s v="Avoir facilement accès à des benchmarks sur des sujets précis, ou avoir des alertes lorsqu'un concurrent sort une feature similaire"/>
        <s v="Bot d'aide pour setup un AB test sur Confidence,analyser les résultats d'un ab test"/>
        <s v="Assistant de cadrage de fonctionnalités IA"/>
        <s v="Rédaction d'un document de cadrage"/>
        <s v="Spécialiste du juridique, donne son avis sur nos idées produit et nos wording… basée sur sources fiables + nos décisions passées&#10;(Contacter Anais Blanchet)"/>
        <s v="aide à la formulation hypothèse et l’identification de la bonne méthode pour l’in/confirmation de l’hypothèse"/>
        <s v="Aide à la l'ideation lors de la phase de discovery"/>
        <s v="Aide à la com sur une nouvelle feature"/>
        <s v="base de la santé &amp; analyse produit"/>
        <s v="Revue automatique de l'output d'une analyse"/>
        <s v="Analytics : aide au cadrage '5 whys' (Laurent)"/>
        <s v="Agent en charge de maintenir la doc d’un périmètre à jour, l’enrichir"/>
        <s v="Retrouver les règles de feature (ex. qui a droit à sonar date mise en ligne retrait) "/>
        <s v="trouver des retours utilisateur/ices ou research sur un sujet (par device, type de pro…) et récupérer des insights"/>
        <s v="savoir depuis quand une feature est en prod et à qui elle appartient"/>
        <s v="créer directement dans JIRA les user stories générées dans ChatGPT"/>
        <s v="aider à l’auto‑évaluation des compétences PM et à construire un plan de progression (basé sur notre nouvelle grille + niveaux Junior/Avancé/Senior)"/>
        <s v="Aider à challenger une vision produit par un CPO un brin assertif et challengeant"/>
        <s v="Pouvoir facilement demander des KPI et analyser des données en posant des questions à un bot et sa variation (week over week / year over year)"/>
        <s v="Accélerer le développement des composants du design system"/>
        <s v="Rendre le Design system AI-ready (Desig, Dev, process) pour être connecté à des outils IA / MCP"/>
        <s v="Créer automatiquement des release-notes complètes ou condensées, au global et sur chaque stack (avec partage automatique dans ZH, les channels ou par email)"/>
        <s v="Développer un RAG permettant à un utilisateur interne de trouver tout type de réponses concernant le Design System LBC (connexion avec FIGMA + codebases dev + ZeroHeight)"/>
        <s v="text to insight pour suivi des métriques produits "/>
        <s v="Bot pour trouver facilement le bon dashboard Tableau pour un KPI donné"/>
        <s v="avoir un résumé auto le matin des infos clés échangés la veille sur notre scope et dépendance"/>
        <s v="fournir le contenu d’un kick off et avoir une génération auto d’une prez roadmap (template ok et format impactant) Priscillia Morienne "/>
        <s v="Une discussion autour d'un bug ou d'une petite évo dans Slack, le ticket est automatiquement créé dans JIRA "/>
        <s v="Outiller les data analysts d’un IDE spécifique data (Nao, Hex, Databricks…)"/>
        <s v="Remplir automatiquement le fichier existant, ou définir un nouveau process"/>
        <s v="Automatiser certaines tâches watchman data"/>
        <s v="Screenshots de la prod par parcours + link Figma "/>
        <s v="Bot d'aide sur la formalisation du tagging plan"/>
        <s v="- Création de wireframes sans UX&#10;- Revue automatisée des maquettes produites par les UX designers&#10;- Déclinaison Automatique des maquettes apps &lt;&gt; desktop"/>
        <s v="Review design d'écrans pour checker la conformité avec les standards"/>
        <s v="Génération automatique de la documentation des analyses des Data Analyses (en utilisant Bedrock dans une Github Action)&#10;Partage du résumé de l'analyse en automatique dans Confluence et Slack (via n8n)"/>
        <s v="Analyse des entretiens utilisateurs"/>
        <s v="Automatisation de la génération du PPP des Crew &gt; Tribe"/>
        <s v="Aide à la rédaction du PPP + Challenge des PM pour optimisation de leur PPP"/>
        <s v="Se faire challenger sur la strat produit par un Product master"/>
        <s v="Automatisation de la génération des notes de version (release notes)"/>
        <s v="Pouvoir demander de reformuler un texte en suivant les guidelines ux writing leboncoin"/>
        <s v="Rédaction et mise à jour des tickets Jira"/>
        <s v="Soumettre des changements de wordings et éléments front basiques en prod"/>
        <s v="definir une strategie d optimisation sur une campagne specifique. ex CTR, visibilite via une requete slack"/>
        <s v="Via slack , on pourra requeter les informations de campagnes en cours avec les kPI souhaites "/>
        <s v="Via slack, on pourra demander les potentiels inventaires sur une periode precise "/>
        <s v="Via slack, on pourra demander les potentiels sur des segments data"/>
        <s v="infos clients par vertical, signature clients , niveau activite pour les sales"/>
        <s v="Pouvoir retrouver l'entièreté des optis faites et voir une analyse"/>
        <s v="Avoir les informations GAM qui remontent directement dans Monday (budget, trend... ?)"/>
        <s v="Pouvoir demander un benchmark spécifique par format par catégories et par offre (EA ou Display)"/>
        <s v="La validation des spécs des formats reçus est chronophage et répétitive. Un agent paramétré par nos soins devrait pouvoir valider de façon rapide et claire les spécs d’un format et donner des indications précises en cas de corrections. &#10;Cet agent serait p"/>
        <s v="Deux OIs ne se valent pas en termes de complexité de programmation et de suivi.  Le monitoring de la charge et de la répartition de travail au sein de l'équipe Mediatrading ne devrait pas se baser sur une simple addition des OIs pilotés mais sur leurs niv"/>
        <s v="Agent permettant d'éditer un bilan complet contenant les données avec un document pré-formaté aux couleurs de la régie"/>
        <s v="Afin de débloquer de l’inventaire en consentless tout en utilisant le format html5 (banni car pouvant contenir des trackers difficilement décelables), création d’un agent scannant les formats html5 et confirmant si leur utilisation est safe et donc possib"/>
        <s v="Ce dispositif permet d’arriver à un rendez-vous parfaitement préparé grâce à une analyse approfondie du prospect, de son environnement et de son profil, afin d’anticiper ses attentes et ses freins. Il aide ensuite à conduire un entretien structuré et impa"/>
        <s v="Agent interne qui guide les équipes Sales et MT pas à pas pour obtenir le process d'activation exact d'une campagne média EA, selon la plateforme et l'objectif, avant lancement. Donne de l'autonomie aux Sales, réduit les sollicitations MTs et gain de temp"/>
        <s v="Il s'agit d'un notebook structuré qui centralise l'ensemble de nos ressources opérationnelles sur les solutions publicitaires leboncoin. Concrètement, c'est une base de connaissances interactive, pensée pour répondre aux briefs clients de A à Z, sans avoi"/>
        <s v="Transformer un brief annonceur en recommandations de ciblage data, en mettant en avant les segments les plus adaptés aux objectifs de campagne ainsi que le volume de users associé."/>
        <s v="Un assistant GPT pour l'analyse des bilans de campagnes EA (extension d'audience). Le prompt détaillé est déjà intégré dans l'assistant, le MT n'a plus qu'à uploader le bilan et donner des informations propres à sa campagne pour obtenir une analyse."/>
        <s v="Un assistant GPT pour l'analyse des bilans de campagnes display. Le prompt détaillé est déjà intégré dans l'assistant, le MT n'a plus qu'à uploader le bilan et donner des informations propres à sa campagne pour obtenir une analyse."/>
        <s v="Un assistant GPT qui envoie des liens de programmation pour exemple de certains formats (Habillage &amp; Interstitiel Video, Godzilla...)"/>
        <s v="Aujourd'hui, nous avons un dashboard explore qui remonte toutes les recherches dans résultats du centre d'aide. On parle de 500 à 600 demandes par semaines. Un rapport est fait tous les 6 mois sur une semaine test en raison de la quantité de données à tra"/>
        <s v="Connecter ChatGPT sur les CGV, CGU et les RDD "/>
        <s v="En tant que manager j'ai en moyenne 15 réunions hebdomadaires, ma priorité est de capturer les décisions et actions, puis d'assurer leur suivi. Ce travail me prend 20h/semaine en plus des réunions. Je dois soit déléguer la prise de notes et le suivi, soit"/>
        <s v="Avec pour objectif de modéliser budgétairement des activités et afin de respecter les contraintes contractuelles, il est possible d'utiliser l'IA afin de construire une estimation financière spécifique selon différents paramètres. Cela permet de gagner un"/>
        <s v="Connecter ChatGPT directement au guide de modération sur LUMAPP.&#10;&#10;Objectif&#10;&#10;Permettre aux modérateurs d’interroger ChatGPT de façon simple et rapide afin d’obtenir :&#10;&#10;une recherche guidée et simplifiée des règles de modération ;&#10;&#10;des réponses contextualis"/>
        <s v="Durant l'écriture de nos modules, nous devons souvent utilisés des données techniques du genre regex assez complexes"/>
        <s v="mise en place d'un outil de knowledge augmenté afin de proposer par ex sur les tickets Zendesk le processus adapté et appliquer la macro directement, mest à dispo des arbres de décision ainsi qu'une académie de formation augmentée "/>
        <s v="Outil d'évaluation qualité sur les traitements du SC, avec analyses par l'IA sur des critères d'évaluation promptés. "/>
        <s v="Analyse par l'IA des verbatims clients recueillis grâce à l'enquête CSAT, mettant en évidence les principales sources d'insatisfaction."/>
        <s v="Remplissage automatique des différents reportings de prod et qualité grâce à l'outil Appscript"/>
        <s v="Connecter ChatGPT à la FAQ "/>
        <s v="Automatiser la création de notre communication hebdo intra RC (avancement des projets, MEP, actu...) sur la base du PPP"/>
        <s v="Aujourd'hui, nous faisons une compéltion et revue manuelle du contenu de la FAQ. L'IA pourrait nous aider à identifier les articles qui performent le mieux, les tournures de phrase à améliorer, les trous dans la raquette, le contenu redondant ou incohéren"/>
        <s v="Réaliser une synthèse hebdo des remontées clients sur les Stores Android et IOS"/>
        <s v="Lors de la remontée des besoins pour la roadmap, les demandes sont souvent exprimées sous forme de problèmes spécifiques accompagnés de propositions de solutions. Cela conduit à une liste de besoins variés, traités individuellement. L’utilisation de l’IA "/>
        <s v="Synthèse argumentée de l'ensemble des verbatims clients récoltés dans les enquêtes de satisfaction"/>
        <s v="Dès lors qu'un besoin métier / opérationnel /outil émerge, une expression de besoins doit être formalisée. Cette étape prend du temps car faite manuellement et aujourd'hui les expressions de besoins ne sont pas toujours du même niveau / formalisées de la "/>
        <s v="Automatiser la mise à jour des outils (monday, com...) de gestion des macros en cas de création et modification"/>
        <s v="Créer des KPI ou des filtres personnalisés en ZQL afin d'affiner la précision de nos KPI, essentiellement ceux contractuels en N1. L'IA permet de s'affranchir de l'apprentissage du langage et de directement demander la rédaction de blocs de code à partir "/>
        <s v="Analyse mensuelle pour le Comex portant sur l'évolution des thèmes abordés dans les échanges avec le SC, du score du &quot;net sentiment&quot; des utilisateurs durant les échanges, et des principaux irritants. Analyses ponctuelles ciblées sur des thèmes spécifiques"/>
        <s v="Le suivi des projets dans Monday peut être très chronophage. &#10;Toute automatisation de cette tâche aiderait beaucoup à réduire ce temps. &#10;Par exemple, il serait possible de lier Monday et la suite google pour mettre à jour les statuts, créer des tâches, aj"/>
        <s v="Mise en place d'un chatbot permettant de répondre en temps réel aux utilisateurs et de limiter la création de tickets à gérer manuellement par le Service Client"/>
        <s v="afin de donner la visibilité à la DRC, automatisation  de la création d'une one pager à partir du PPP"/>
        <s v="à partir des commentaires sur le débreif comex et le support créer une version digeste pour tous niveaux"/>
        <s v="Conçois et structure des programmes de formation linéaires, opérationnels et prêts à l’emploi, avec un déroulé horaire précis, des contenus de slides copy-paste et des supports formateur adaptés à un public professionnel"/>
        <s v="Analyser un module de formation, en structurer les contenus, identifier les points forts et les axes d’amélioration, et évaluer son efficacité pédagogique"/>
        <s v="Identifier les cases 'simples' les plus fréquents adressés à l'équipe Paie, HRBP, TA et Ops et permettre au collaborateur d'avoir des réponses directes à ce propos"/>
        <s v="Solliciter le chatbot pour avoir des réponses spécifiques sur les dossiers employées  (IA associée à Drive pour recherche d’un historique)"/>
        <s v="Generation de courriers disciplinaire RH à partir de notre template "/>
        <s v="Feedback structuré au candidat"/>
        <s v="Sur la base des template, creation d'un contrat et/ou un avenant  au contrat de travail"/>
        <s v="Harmonisation des Job descriptions"/>
        <s v="Génération d'une template de scorecard à partir de kick off meeting &amp; de la job description"/>
        <s v="Générer une scorecard structurée à partir des notes du recruteur et faire une ossature compentency-based"/>
        <s v="Agents pour réaliser une veille concernant le sujets paie"/>
        <s v="Definir les tendances generales des raisons des departs des nos collaborateurs "/>
        <s v="Creation de dashboard de suivi des KPI HRBP"/>
        <s v="Validation et correction des Pull request par une IA en cas de rejet"/>
        <s v="Bot permettant de créer ou optimiser des requêtes sql"/>
        <s v="Extraction et analyse des commentaires utilisateurs sur des sites type totalbug, classification (domaine, pertinence, severity) puis clusterisation afin de détecter des problèmes sur la plateforme."/>
        <s v="Review de code assisté par IA grâce au plugin Gerrit que veut mettre en place FXP, mais il leur faudrait une interconnexion par exemple avec LiteLLM car il ne supporte pas Bedrock"/>
        <s v="Auto-valider une PR en fonction du score de complexité."/>
        <s v="Custom-GPT (phase 2)&#10;Génération de UATs (à base d'image, Figma model, diagram) + guidelines &amp; specs pour la stratégie de tests"/>
        <s v="Agents Playwright chassant les bugs sur les env. de staging et prod"/>
        <s v="Générer des annonces automatiquement pour faire des tests"/>
        <s v="Génération automatique du PPP en se basant sur les tickets Jira, les reviews de code Gerrit, Backstage..."/>
        <s v="Génération et vérification des fichiers Swagger"/>
        <s v="Génération et vérification des schémas Avro"/>
        <s v="Permettre d'avoir une documentation à jour et uniforme pour toutes les APIs"/>
        <s v="Remédiation de conformité et de vulnérabilités vulcan"/>
        <s v="Automatisation des réquisitions (demande -&gt; SQL -&gt; exec -&gt; extract)"/>
        <s v="Vérification des erreurs dans les logs de la CI de Zul"/>
        <s v="Générateur de résumé de PR : Lorsqu’une PR est ouverte, l’agent : Résume : Ce qui a changé (fichiers, fonctionnalités), Les commits clés, L’impact sur les tests (couverture, nouveaux fichiers de test)"/>
        <s v="Génération de documentation de code aka Readme automatique (CI)"/>
        <s v="Intégration avec l’outil Ursa (outil backend monorepo) avec génération intelligente de prompts"/>
        <s v="Générer un rapport de test à partir de Gherkix"/>
        <s v="Brouillon de post-mortem automatisé à partir des logs, captures d’écran et échanges Slack"/>
        <s v="Identification des bonnes personnes pour la gestion d’incidents (IMASS)"/>
        <s v="Analyseur d’incident de production (assistant d’astreinte)"/>
        <s v="Optimisation des coûts AWS ?"/>
        <s v="Pré-aperçu (vérification des guidelines dans Backstage, enrichissement de la PR avec le contexte global de la feature)"/>
        <s v="Quality gates (vérifications de code produites par l’IA)"/>
        <s v="Fourniture de résumés de bonnes pratiques pour la résolution de problèmes et les types d’algorithmes"/>
        <s v="Bot pour revue de code"/>
        <s v="Chatbot Slack sur chaque channel de support technique qui intervient à chaque nouvelle requête : Valide si la demande est faite sur le bon channel, ajoute des précisions et du contexte manquant en se basant sur Backstage ou autres sources d'infrastructure"/>
        <s v="Support pour les migrations (ex : OpenTelemetry) et le dimensionnement des services en production"/>
        <s v="Génération de suivi de tâches watchman : avoir un digest chaque matin, de ce qui a été fait et des sujets encore à traiter"/>
        <s v="Agent exécutant automatiquement des tests de non-régression"/>
        <s v="Accès a des outils de Vibe Coding (WindSurf, Cursor...) en utilisant des modèles divers (par exemple ceux disponible sur AWS Bedrock. Quid de claude code proposé par Adevinta  (note: pb de latence car en ireland) ?"/>
        <s v="Génération automatique des ADR (Architecture Decision Record) avec aide à la décision, pros/cons..."/>
        <s v="Bot Slack qui réume les papiers de recherches autour de l'AI les plus trendy"/>
        <s v="Custome GPT pour aider à générer et relire des ADR structurés avec des questions collaboratives."/>
        <s v="Custom GPT pour aider les QA dans leurs tâches quotidiennes "/>
        <s v="Notebooklm Pro pour les services d'AWS"/>
        <s v="Custom GPT spécialisé dans la documentation du monorepo backend de Leboncoin, conçu pour répondre avec précision aux questions techniques"/>
        <s v="Un chat bot qui permet d'expliquer/générer une configuration pour le formulaire de dépot"/>
        <s v="Custom GPT pour simplifier l'Onboarding des nouveaux Data scientists et Machine learning engineers"/>
        <s v="Custom GPT spécialisé dans l’analyse, la validation et le débogage des formulaires JSON complexes du moteur du &quot;Dépôt Dynamique&quot;."/>
        <s v="Custom GPT expert en création et review de scénarios UAT Gherkin API et UI"/>
        <s v="Bot Slack pour répondre aux questions des utilisateurs de Mim Transac"/>
        <s v="Custom GPT de l'équpe Storage"/>
        <s v="Custom GPT to explore Data from our Data Warehouse"/>
        <s v="Custom GPT qui fait l'analyse technique et visuelle d'outputs Terraform avec vue tabulaire et dépendances"/>
        <s v="Custom GPT (phase 1)&#10;Rédaction et réalisation des UATs"/>
        <s v="Recherche universelle : bot qui trouve une information en se basant sur l'intégralité des data (Drive, Slack, données, etc.)"/>
        <s v="Résumé de canaux Slack entiers sur des périodes définies"/>
        <s v="Bot permettant de retrouver facilement un prompt par cas d’usage : création de ticket Jira, discovery d’un nouveau sujet, communication de nouvelles features, etc."/>
        <s v="Custom GPT helps you explore Leboncoin’s Product &amp; Tech org"/>
        <s v="Custom GPT qui permet d'être guidé dans la génération d'illustrations pour des présentations afin de générer des images personnalisées"/>
        <s v="Un bot permettant de répondre à toutes les questions des nouveaux arrivants (liste des accès à demander etc)"/>
        <s v="Custom GPT de test pour répondre à des questions Tableau de tout ordre, technique ou non"/>
        <s v="Permet d'avoir une 1ère review des Pull Requests par Claude Code, avant review humaine. (disponible pour les PR des DE et DA)"/>
        <s v="Développé un chatbot sur Gpt qui est censé répondre aux questions, en se basant sur toutes les informations qui lui ont été transmises"/>
        <s v="Utilisation de l'IA pour générer des scripts pour appliquer des règles de répartitions pour les réseaux multibénéfiaires par l'équipe sur googleshee"/>
        <s v="Intégration de trois agents IA dans notre reporting RP (Google Sheet), capables de déterminer la tonalité de chaque article vis-à-vis de LBC, d’identifier si l’article mentionne des concurrents et de détecter s’il cite un porte-parole."/>
        <s v="En tant que facilitateur, je souhaite générer automatiquement à partir de mes notes et conversations Slack une note de cadrage en quatre sections (avant, après, objectif, indicateurs) afin de valider avec la personne en demande ma bonne compréhension de s"/>
        <s v="En tant que membre d’équipe, je veux générer chaque vendredi un message récapitulatif clair et sympa, afin de partager mes dispos de la semaine prochaine sans y passer trop de temps"/>
        <s v="En tant que coach·e ou facilitateur·rice,&#10;je souhaite disposer d’une analyse scientifique rigoureuse fondée sur la hiérarchie OCEBM pour connaître le niveau de preuve d’un outil, d’un concept, d’une méthode ou d’une approche,&#10;afin de pouvoir appuyer mes p"/>
        <s v="En tant que coach·e, facilitateur·rice ou formateur·rice,&#10;je veux obtenir une évaluation rapide, claire et visuelle du niveau de solidité scientifique d’un concept, d’une méthode ou d’une théorie,&#10;afin de pouvoir expliquer simplement à mes participant·es,"/>
        <s v="En tant que  coach·e, facilitateur·rice ou formateur·rice,&#10;je souhaite bénéficier à la fois d’une analyse scientifique rigoureuse fondée sur la hiérarchie OCEBM et d’une restitution visuelle intuitive du niveau de preuve,&#10;afin de pouvoir appuyer mes décis"/>
        <s v="En tant qu’ facilitateur souhant créer de groupes aléatoires,&#10;je veux être guidé pas à pas pour utiliser le l'outil en ligne GroupMaker,&#10;afin de créer facilement des groupes équilibrés à partir d’une liste de participants, sans stress et sans erreur."/>
        <s v="En tant qu’ animateur ou animatrice de l’atelier Mode d’emploi,&#10;je veux disposer d’un assistant numérique clair, pratique et toujours disponible,&#10;afin de préparer, animer et conclure efficacement l’atelier, tout en respectant ses objectifs et son esprit."/>
        <s v="En tant que collaborateur·rice LBC en quête de compréhension de moi-même, &#10;je veux être accompagné·e par un coach virtuel basé sur le modèle de l’Iceberg de Satir &#10;afin d’explorer mes dynamiques internes et de les transformer en actions concrètes."/>
        <s v="En tant que collaborateur·rice LBC souhaitant augmenter mes possibles,&#10;je veux être accompagné·e par un coach bienveillant inspiré de Virginia Satir,&#10;afin de repérer mes règles internes rigides et d’apprendre à les assouplir pour vivre plus librement et s"/>
        <s v="En tant que collaborateur·rice LBC souhaitant écrire un message clair et concis, &#10;je veux pouvoir fournir un brouillon &#10;afin d’obtenir une version corrigée, une vision plus claire de ce que je souhaite exprimer, ainsi qu’une version courte et concise."/>
        <s v="En tant que collaborateur.rice LBC confrontée à une situation que je souhaite améliorer,&#10;je veux être accompagné.e par un coach virtuel qui m’aide à clarifier ce que je veux, reconnaître ce qui fonctionne déjà, et identifier les petits pas possibles,&#10;afin"/>
        <s v="En tant qu’animateur·rice du jeu “Mieux se connaître”,&#10;je veux être accompagné·e par un facilitateur bienveillant et structuré,&#10;afin de préparer, animer et ajuster le jeu en toute sérénité, créer du lien dans mon groupe et proposer un cadre sécurisé où ch"/>
        <s v="Tous les mois, pour chaque client auto, un fichier google sheets est généré, avec la liste de ses annonces et contacts&#10;nous souhaitons disposer d'un fichier de synthèse par client, qui se met à jour tous les mois avec les nouvelles données"/>
        <s v="Création d'un Chatbot pour repondre aux questions sur les process Finance. "/>
        <s v="Analyse des commentaires sur les APP Store pour identifier et reporter des tendances (positives ou négatives) remontés par nos utilisateurs en lien avec le paiement ou la vérification d'identité"/>
        <s v="Analyse des commentaires sur Zendesk pour identifier et reporter des tendances (positives ou négatives) remontés par nos utilisateurs en lien avec le paiement ou la vérification d'identité (voir use-case App Store Reviewer Classifier, cellule C362)"/>
        <s v="Formation interne pour rédiger de bons prompts et gagner en efficacité"/>
        <s v="Génération automatique de questions et synthèse d’entretien"/>
        <s v="Résumé global et non par ticket par un client Agent IA  (si plusieurs plaintes)"/>
        <s v="Analyser les écarts quantitatifs à la semaine et au mois en partant des données du Top flows, a minima sur le flux entrant, sur les actes réalisés et sur le backlog, au regard des jours travaillés"/>
        <s v="Connecter ChatGPT à Confluence"/>
        <s v="Analyser automatiquement des emails et envoyer vers Diabolocom si reponse positive"/>
        <s v="Transformation de verbatims bruts en données structurées afin d’identifier les motifs de satisfaction et d’insatisfaction grâce à une catégorisation prédéfinie. Analyse de la corrélation entre les volumes de messages et les notes moyennes pour identifier "/>
        <s v="Nous mettons en place des prompts dans le chatbot IA sur la FAQ pour adresser le plus finement possible les situations rencontrées par les utilisateurs. Dans ce cadre, nous utilisons chat gpt pour nous assister dans la création de prompts afin de gagner e"/>
        <s v="Mise en place d'un chatbot IA conversationnelle sur le centre d'aide leboncoin visant à diminuer à fin d'année de 30% le nombre de tickets traités en manuel au SC. Lot 1 : ouverture du bot sur la base de connaissances (sans données API)"/>
        <s v="Analyse et scrapping de liste de prospection et de prospect"/>
        <s v="Identification des pros utilisant des comptes particuliers"/>
        <s v="outil comme Modjo.ai"/>
        <s v="réponse automatique des questions de niveau 1 des clients Pro"/>
        <s v="Amélioration de la calculette NBM"/>
        <s v="Connecter Tableau à l'Excel d'analyse"/>
        <s v="Comparer l'UX et les adviews des concurrents avec leboncoin"/>
        <s v="1. Identifier les acteurs qui ont les mêmes fonctionnalités que leboncoin&#10;2. Faire la comparaison en termes de fonctionnalités&#10;3. Faire la comparaison en termes d'offre et de pricing&#10;4. Faire un potentiel business pour leboncoin"/>
        <s v="1. Identifier les acteurs qui ont les mêmes fonctionnalités que leboncoin&#10;2. Faire la comparaison en termes de fonctionnalités&#10;3. Faire un potentiel business pour leboncoin"/>
        <s v="Migrer de Slack vers un Google Sheet les différentes infos liées au produit "/>
        <s v="Aider à la rédaction du doc de centralisation des infos du produit pour le trade"/>
        <s v="1. Extraire les données de KPIs dans tableau&#10;2. Mettre en lumière les changements d'une semaine à l'autre&#10;3. Comparer au budget Excel "/>
        <s v="Aider dans la création de tableaux sans passer par la prio data "/>
        <s v="1. Extraire les fichiers de la conference de presse sur le site de la FPI&#10;2. Créer des slides avec les points clés"/>
        <s v="Améliorer le recap avec ChatGPT "/>
        <s v="E.g. Ajouter automatiquement l'Excel Joreca dans la boite à outil"/>
        <s v="Rappeler des tâches à faire dans la boîte de réception"/>
        <s v="Reporting et suivi des projets de chacune de l'équipe dans un Excel"/>
        <s v="Compte rendu des informations de l'Excel Reporting d'équipe dans le format du PPP"/>
        <s v="Gérer simplement les wordings de nos fronts à travers une interface disponible sur Backstage"/>
        <s v="Création d'un repo regroupant des plugins/skills discovery, strategy, exécution, data, GTM... qui s'invoquent avec une commande / directement dans Claude Code"/>
        <s v="Dans le cadre de la taskforce data, création de tickets et epic jira respectant un template et des labels via Claude Code à partir de livrables menés en discovery"/>
        <s v="Dans le cadre de la taskforce data, initialisation d'un board pour un workshop sur l'access management avec Data Gouv/DA/DE à partir de questions techniques alimentées par les DE"/>
        <s v="Création d'un &quot;GPT&quot; et d'une claude.md qui guident l'utilisateur dans la création d'un url/paramètre de campagne selon les normes de Piano et qui suit les récos du &quot;campaign url builder&quot;. Possibilité entre autres de générer des liens &quot;en masse&quot; selon des "/>
      </sharedItems>
    </cacheField>
    <cacheField name="Etat d'avancement" numFmtId="0">
      <sharedItems containsBlank="1">
        <s v="En cours "/>
        <s v="Terminé - Live"/>
        <s v="Non commencé"/>
        <m/>
      </sharedItems>
    </cacheField>
    <cacheField name="Nom de l'assistant (+ Lien) " numFmtId="0">
      <sharedItems containsBlank="1">
        <m/>
        <s v="Akimotor"/>
        <s v="Speech Analytics"/>
        <s v="Speech Analytics + Custom GPT"/>
        <s v="The Profiler"/>
        <s v="Notebook LM +&#10;Générateur de Prompt"/>
        <s v="https://chatgpt.com/g/g-6936e7f28d2881a4a02cbf6a6a3e8320-assistant-capex-lbc"/>
        <s v="https://chatgpt.com/g/g-69e88723c08881a48e6d918eb3f5877a"/>
        <s v="Prompt ICI"/>
        <s v="https://www.figma.com/fr-fr/make/"/>
        <s v="Tests ici"/>
        <s v="Sales Genius"/>
        <s v="Doc pas à pas ici"/>
        <s v="prompt"/>
        <s v="Marketing Radar"/>
        <s v="GPT"/>
        <s v="Notebook LM Sales Immo"/>
        <s v="Assistant Juridique"/>
        <s v="FAQ Juridique ADV et commerciaux"/>
        <s v="A voir dans Notion"/>
        <s v="Pixel"/>
        <s v="Capello"/>
        <s v="https://chatgpt.com/g/g-69679b96ae3c81a49be65c9fd73065fa-lea-votre-copilote-pour-vendre-l-ea"/>
        <s v="https://notebooklm.google.com/notebook/e4394101-e9fb-4eef-96aa-512e7ce262f3/preview"/>
        <s v="https://chatgpt.com/g/g-69c3f20a4c2081a4b780c08b74e4bcc2-lebonsegment"/>
        <s v="https://chatgpt.com/g/g-68c1ac6aee5081a4802039e023983fdf-mt-assistant-bilans-ea"/>
        <s v="https://chatgpt.com/g/g-687f3e4cc7b881a4bcdd3a46f0731cab-mediatrading-assistant-bilans"/>
        <s v="https://chatgpt.com/g/g-687f595dc3e481a49901fabd5c97e862-mt-assistant-exemples-de-programmation"/>
        <s v="Chat GPT"/>
        <s v="Appscript"/>
        <s v="Auto-PPP (ISS)"/>
        <s v="Soundcheck"/>
        <s v="Architecte ADR"/>
        <s v="Slide Buddy"/>
        <s v="Assistant Onboarding"/>
        <s v="https://chatgpt.com/g/g-691ee8d1f91881a49b96e794e089bc2a-aide-cadrage"/>
        <s v="https://chatgpt.com/g/g-690dc2619bf081a487bd688deb887605-aide-brief-du-vendredi"/>
        <s v="https://chatgpt.com/g/g-690a2bfafb7081a4898113fa2ee21edc-barometre-de-preuve-rigoureux"/>
        <s v="https://chatgpt.com/g/g-69034b576a0c81a487a2415b1d840f91-barometre-de-preuve-vulgarise"/>
        <s v="https://chatgpt.com/g/g-6937e05ce10481a4bb0d65f6f582e82c-barometre-de-preuve-hybride"/>
        <s v="https://chatgpt.com/g/g-68cd5f0001bc81a48e3f0912fb67441a-guide-outil-online-groupmaker"/>
        <s v="https://chatgpt.com/g/g-68c7d374dcc881a4951cdb59debec85a-guide-datelier-mode-demploi"/>
        <s v="https://chatgpt.com/g/g-68b01154657081a4bff749b2021aad97-coache-virtuelle-satir-iceberg"/>
        <s v="https://chatgpt.com/g/g-68adb268e4d081a4a81312f91155bc65-coache-virtuelle-satir-assouplir-les-regles"/>
        <s v="https://chatgpt.com/g/g-68ad73343d4881a48095d7197a33face-aide-ecrire-un-message"/>
        <s v="https://chatgpt.com/g/g-688cc739cff481a49e829d6636a57eba-coach-e-virtuel-le-solution-focus"/>
        <s v="https://chatgpt.com/g/g-688b446d10d881a48289bef0d8cc9519-guide-d-atelier-mieux-se-connaitre"/>
        <s v="https://chatgpt.com/g/g-68bedf687c1c81a49170de70ef4b15da-ton-assistant-p2p"/>
        <s v="Prompt Optimizer"/>
        <s v="Lien repo"/>
        <s v="https://chatgpt.com/g/g-69f06df35d1881a4986915cb868144c6-campaign-url-builder"/>
      </sharedItems>
    </cacheField>
    <cacheField name="Owner" numFmtId="0">
      <sharedItems containsBlank="1">
        <s v="Marc Chaperon"/>
        <s v="Thibaut&#10;Touf Itri &#10;Charles Eric&#10;Jean Charles"/>
        <s v="Mathieu Paquier"/>
        <s v="Thibaut Prat&#10;Touf Itri &#10;Charles Eric&#10;Jean Charles"/>
        <s v="Aline NOYELLE BECERRA"/>
        <s v="Erwan BROUTTIER"/>
        <s v="Julie Letierce"/>
        <s v="Mathieu Paquier / Pierre Henry"/>
        <s v="Pierre Henry"/>
        <s v="Anne-Marie Le Goaster"/>
        <s v="Constanza CARRILLO ROJAS"/>
        <s v="Caroline Laurencin"/>
        <m/>
        <s v="Caroline Laurencin &amp; Lucie Praver"/>
        <s v="Thibaud HERGOT"/>
        <s v="Aurore CUEFF"/>
        <s v="Insung KWON"/>
        <s v="Lucie Praver"/>
        <s v="Julien Rongione"/>
        <s v="Lisa TRONCIN"/>
        <s v="Caroline LAURENCIN &#10;(Jérémy Smadja)"/>
        <s v="Jean Ricardo Aurore CUEFF(Jérémy Smadja)"/>
        <s v="Andreas Cayla "/>
        <s v="Ibrahim illiassou"/>
        <s v="Swann  Benauw"/>
        <s v="Nicolas geiger"/>
        <s v="Emmanuelle/Ksenia/Jean Paul"/>
        <s v="Mohammed Laguel"/>
        <s v="Mehdi Oueslati"/>
        <s v="Zineb Clauzel"/>
        <s v="Elisa"/>
        <s v="Kevin choinet"/>
        <s v="Stéphane Boucher"/>
        <s v="Daria Starodubova"/>
        <s v="Sarah awadi / Elodie anne duc "/>
        <s v="Cléo Ngokoudi"/>
        <s v="Edward Foxon&#10;Baudouin Masse-Baudet&#10;Maxime Viniane"/>
        <s v="Benjamin Santos"/>
        <s v="Anna Roche"/>
        <s v="Océane Letrichez"/>
        <s v="Virginie Rudelle"/>
        <s v="Arnaud Kaimakan&#10;"/>
        <s v="Equipes Salesforce"/>
        <s v="Damien manager FS"/>
        <s v="Rizwan Asif"/>
        <s v="Jeremy churchill"/>
        <s v="Benjamin Santos et Rizwan "/>
        <s v="Virginie Rudelle&#10;Benjamin Santos"/>
        <s v="Irice Lantheaume"/>
        <s v="Baudouin"/>
        <s v="Benjamin Santos Rizwan Asif"/>
        <s v="Anna Ziane"/>
        <s v="Lisa Assanto"/>
        <s v="Benjamin Santos "/>
        <s v="Virginie Rudelle / Océane Letrichez"/>
        <s v="Baudouin Masse Baudet"/>
        <s v="Virginie Rudelle Baudouin Masse-Baudet"/>
        <s v="Sophie Bourg"/>
        <s v="Anaise Blanchet"/>
        <s v="Florian Girard"/>
        <s v="Anaïse Blanchet"/>
        <s v="Mélanie Armand Madec/Meriem"/>
        <s v="Laetitia Sebaoun"/>
        <s v="Valentin Le Marec"/>
        <s v="Alicia Cosme"/>
        <s v="Jacky Thoumin"/>
        <s v="Clara"/>
        <s v="Antoine Delpech"/>
        <s v="France Lila &amp; Juliette (RS) "/>
        <s v="All"/>
        <s v="Alicia"/>
        <s v="Fiona VASSAUX-BOURGES Sophie GOHIER"/>
        <s v="Abderrahmane Abdallahoum"/>
        <s v="Youness NADIR Pauline MINARY"/>
        <s v="Pierre Palisson"/>
        <s v="Yohan/Jérémy"/>
        <s v="Ludovic Hazart"/>
        <s v="Imene SEDIRI"/>
        <s v="Anaïs Langlet"/>
        <s v="Patrice CHAPERON"/>
        <s v="Laurent Borel"/>
        <s v="Anais Langlet"/>
        <s v="Julia LANGLOIS"/>
        <s v="Adil GHAZAOUI DIDI"/>
        <s v="Pauline Minary"/>
        <s v="Chloé Lasserre"/>
        <s v="Patrice Chaperon/ Saadi Kaci"/>
        <s v="Priscilla MORIENNE"/>
        <s v="Davide Duina"/>
        <s v="Abderrahmane Abdallahoum Gilles Lalyre"/>
        <s v="Gilles Lalyre / Johana PAZ / Margaux Chenard"/>
        <s v="Gilles Lalyre"/>
        <s v="Melanie Meng Eliott Lujan Abderrahmane Abdallahoum"/>
        <s v="Franck Pantel / Nicolas Desplobins"/>
        <s v="franck pantel"/>
        <s v="A déterminer côté Trade"/>
        <s v="Kelly Chomeau / Molka Saibi"/>
        <s v="Feycal Bengana"/>
        <s v="Elodie Dixmier"/>
        <s v="Florent Jouanneau"/>
        <s v="Molka Saibi"/>
        <s v="Sara Tabi"/>
        <s v="Jérémy Le Bris"/>
        <s v="Mathilde Morel"/>
        <s v="Lydie LEVENT"/>
        <s v="Cecile Polard"/>
        <s v="Quentin Michalik"/>
        <s v="Benjamin MEGIE"/>
        <s v="Brahim Boukhriss"/>
        <s v="Carine RINALDI"/>
        <s v="Laurent Dimatera"/>
        <s v="Juliette Patry"/>
        <s v="Nicolas Doré"/>
        <s v="Théo Caviale"/>
        <s v="Elodie BAUDIN"/>
        <s v="Paul Etienne/&#10;Jérémy SMADJA"/>
        <s v="Paul Etienne"/>
        <s v="Paul Etienne/Jérémy SMADJA"/>
        <s v="Odile Perrin"/>
        <s v="Clement Delpech"/>
        <s v="Frédéric Prost"/>
        <s v="Ludovic Vielle"/>
        <s v="Jérémy Smadja"/>
        <s v="Paul Drappier / Alexis Destrez"/>
        <s v="Romain Saillant / Axel Goncalves / Whitney Nerestan / Gildas Salün"/>
        <s v="Romain Saillant"/>
        <s v="Andy Ladjadj"/>
        <s v="Youness Nadir"/>
        <s v="Léo Babut"/>
        <s v=" Stanislas Gourévitch"/>
        <s v="Jonathan Lubin"/>
        <s v="Paul Dennetiere"/>
        <s v="Yohan Koehler"/>
        <s v="Olivier Buchy"/>
        <s v="Vincent Demeules"/>
        <s v="Florine Moutoussamy"/>
        <s v="Junjie YOU"/>
        <s v="Wilfrid LANCELLE"/>
        <s v="Pierre Nordmann Erwan Brouttier"/>
        <s v="Jean Paul/Cléo"/>
        <s v="Caroline Lor/Romain Murail"/>
        <s v="Georges Antoine SALAS"/>
        <s v="Fabrice Barbé"/>
        <s v="Eva Corba / Lucien Mouret"/>
        <s v="Maximilian KESSELRING"/>
        <s v="Charlotte ASTRE"/>
        <s v="Alix BERLOTY"/>
        <s v="Sonia ABBOU"/>
        <s v="Sophie"/>
        <s v="Fanny"/>
        <s v="Pierre Abi-Aad Andy Ladjadj"/>
        <s v="Céline To Jean-Eudes Peloye"/>
        <s v="Céline To"/>
      </sharedItems>
    </cacheField>
    <cacheField name="Priorite" numFmtId="0">
      <sharedItems containsBlank="1">
        <m/>
        <s v="Haute"/>
        <s v="Moyenne"/>
        <s v="Basse"/>
        <s v="Custom GPT"/>
      </sharedItems>
    </cacheField>
    <cacheField name="Complexité" numFmtId="0">
      <sharedItems containsBlank="1">
        <s v="Avancée"/>
        <s v="Moyenne"/>
        <s v="Simple"/>
        <m/>
      </sharedItems>
    </cacheField>
    <cacheField name="Population concernée">
      <sharedItems containsBlank="1" containsMixedTypes="1" containsNumber="1" containsInteger="1">
        <s v="Sales"/>
        <s v="FDV"/>
        <s v="Opération Clients"/>
        <s v="Marketing / Bizdev"/>
        <s v="Trade Marketing"/>
        <s v="GC Auto "/>
        <s v="Experts valorisation"/>
        <s v="Matpro"/>
        <s v="Publication"/>
        <s v="Strat"/>
        <s v="Marketing / Bizdev / Experts valorisation"/>
        <s v="Matpro / ADV"/>
        <m/>
        <s v="Formateurs et coach"/>
        <s v="Manager"/>
        <s v="FPA"/>
        <s v="Finance"/>
        <s v="O2C"/>
        <s v="Collaborateurs"/>
        <s v="Controle financier"/>
        <s v="Tous les collaborateurs  "/>
        <s v="AM /ADV"/>
        <s v="Market Op"/>
        <s v="Mkg Trade"/>
        <s v="Strat &#10;Biz Dev &#10;Mkg Op"/>
        <s v="FS Immo"/>
        <s v="Mkt Op"/>
        <s v="Biz dev / strat"/>
        <s v="A voir avec équipes Marketing- Comm Contenu"/>
        <s v="Market Op (IL)"/>
        <s v="Grands comptes, Biz dev, Mt op, strat"/>
        <s v="Tous"/>
        <s v="AM ADV Sales"/>
        <s v="Market Op (AR)"/>
        <s v="Strat Biz Dev MktOp"/>
        <s v="Skam Kam"/>
        <s v="Biz Dev"/>
        <s v="Commerciaux Immo (FS, GC, TLV)"/>
        <s v="Grands Comptes Immo"/>
        <s v="Market Op et Sales"/>
        <s v="Commerciaux"/>
        <s v="Juridique"/>
        <s v="Juristes"/>
        <s v="Privacy"/>
        <s v="TLV/ADV/SC"/>
        <s v="Tous les collaborateurs inscrits sur Sociabble"/>
        <s v="Produit, Data"/>
        <s v="Produit"/>
        <s v="UX et PM"/>
        <s v="PM"/>
        <s v="UX"/>
        <s v="UX PM , et potentiellement Mareting"/>
        <s v="P&amp;T - Business"/>
        <s v="User research"/>
        <s v="P&amp;T"/>
        <s v="Mediatrading"/>
        <s v="Sales / traffic"/>
        <s v="Sales / strat"/>
        <s v="Sales / AM / Mediatrading"/>
        <s v="PMO Customer care&#10;Chargée &#10;Business Process &amp; Admin Manager&#10;Ces informations sont parfois communiquées aux équipes produits"/>
        <s v="L'ensemble des équipes de la RC "/>
        <s v="Manager / responsable d'activité / superviseur (potentiellement plus : chargés projet, chargés de prod, chargés de processus - avec estimation à faire)"/>
        <s v="Customer Relationship Director, Responsable partenaires, Chargé de perf"/>
        <s v="L'ensemble des collaborateurs côté Modé et SC"/>
        <s v="Fraud Analyst "/>
        <s v="Tous les agents internes et externes (250 personnes)"/>
        <s v="4 chargés de qualité"/>
        <s v="Equipe qualité SC (4)"/>
        <s v="RC"/>
        <s v="4 collaborateurs des équipes support"/>
        <n v="2.0"/>
        <s v="Managers RC"/>
        <s v="Les managers de la RC et leur sup (toutes personne qui remonte des besoins roadmap)&#10;+ l'équipe projet qui gère la priorisation et remonté des besoins"/>
        <s v="chef de projet, chargé de processus, manager/superviseur, autre"/>
        <s v="chargés de processus (3 personnes)"/>
        <s v="Chargé de perf, Responsable partenaire, Admin zendesk, Chargés de partenaires."/>
        <s v="chef de projet, CDP, chargé de prod... toute personne étant amenée à suivre ses sujets dans Monday"/>
        <s v="Tous les utilisateurs connectés du boncoin"/>
        <s v="Collab DRC"/>
        <s v="formateurs "/>
        <s v="RH"/>
        <s v="Dev"/>
        <s v="Tech"/>
        <s v="PM/QA"/>
        <s v="QA"/>
        <s v="Dev/Ops"/>
        <s v="Tech interested in AI"/>
        <s v="Backend"/>
        <s v="Data scientist et machine learning engineer"/>
        <s v="Développeurs web travaillant avec le moteur &quot;Dépôt Dynamique&quot;"/>
        <s v="Utilisateurs de Mim: service client, partenaire de modération, ..."/>
        <s v="5 personnes"/>
        <s v="3 personnes"/>
        <s v="40 (équipe SC)"/>
        <s v="Managers SC et équipe Partenaires"/>
        <s v="RC / Strat produit / CV"/>
        <s v="4 personnes"/>
        <s v="users leboncoin et tous les agents SC de la RC"/>
        <s v="Product / UX"/>
        <s v="PM / Com / CRM "/>
      </sharedItems>
    </cacheField>
    <cacheField name="Gain &#10;(quand cela est possible merci de mettre des gains chifrés)" numFmtId="0">
      <sharedItems containsBlank="1">
        <s v="Mieux répondre aux préocupations ROI des clients"/>
        <s v="&#10;Faire descomptes rendus de visite automatisés et intégrables dans le CRM&#10;Faciliter la construction d'offres publicitaires : requêtes AdServer, templates, exemples de campagne&#10;Aide à la décision sur lesKPIs de l'équipe commerciale pour les managers&#10;Normal"/>
        <s v="Feedbacks constructifs au marketing + produit"/>
        <s v="Gain en productivité / niveau de service auprès des pros"/>
        <s v="Automatiser la pige de prospects sur Concurrence&#10;Optimiser les plans de tournée FS&#10;Suivre et optimiser la couverture client &#10;Nettoyer la base de données Clients CRM&#10;Avoir des données fiables pour les upgrades clients&#10;Obtenir une synthèse régulière des inf"/>
        <s v="Qualité de service, appels qualifiés, recherche faite en amont."/>
        <s v="Gain de temps, tâches répétitives"/>
        <s v="Autonomie/Delivery recommandations, pilotage business"/>
        <s v="Gain de temps --&gt; plus de délais entres les questions / réponses sur les offres auto.&#10;Amélioration des connaisances sur les offres auto en général  &#10;"/>
        <s v="Traitement des tickets avec tâches chronophage"/>
        <s v="Amélioration temps de traitement, meilleure relation client"/>
        <s v="Qualité des valeurs"/>
        <s v="Pilotage business / proactivité"/>
        <s v="Projection de traffic pour anticiper les tendances "/>
        <s v="Priorisation de besoins selon plusieurs critères "/>
        <s v="Amélioration détection fraude - Amélioration des outils de modé"/>
        <s v="Gain de temps, minimisation des erreurs, temps réel quand de nouvelles correspondances sont à paramétrer"/>
        <s v="Réactivité, surveillance en temps réel, minimisation des erreurs, diminuer le churn"/>
        <s v="Déflection de tickets"/>
        <s v="Permet la gamification de la qualité, que l'agent puisse savoir où mettre l'effort pour améliorer l'expérience client"/>
        <s v="Créer une calculatrice des propositions commerciales&#10;Reccueillir des informations sur le client&#10;Centraliser l'information des différentes sources de KPIs&#10;Aider à la création des supports spécifique pour le client&#10;Construction des réunions commerciales"/>
        <s v="Déflection de tickets pour des problématiques simples, si pas de réponse adequat, escalade vers un agent humain via la chat"/>
        <s v="Permet d'utiliser des fonctionnalités pour améliorer la syntaxe et l'orthiographe (fonction 'rendre plus formel', 'développer', 'simplifier')"/>
        <s v="Qualité de nos articles (structure, orthographe, syntaxe,...)"/>
        <s v="Préparation d'ateliers d'entrainement avec des sketch de vente &#10;Aide à l'application en clientèle&#10;"/>
        <s v="Gain de temps / détection des cas à analyser (trop long, trop de fautes, mauvaise tonalité dans la réponse,...)&#10;Impact direct sur la CSAT."/>
        <s v="Gain de temps, minimisation des erreurs"/>
        <s v="Proposer au client d'enregistrer son écran pour nous montrer sa problématique en expliquant à l'oral ce qui le bloque =&gt; export de la vidéo + analyse de l'image et de la voix par l'IA =&gt; gain de temps&#10;Utilisation en interne pour rédiger des uses cases (pr"/>
        <s v="Gain de temps post appels support client =&gt; résumé directement ajouté au ticket"/>
        <s v="Améliorer la connaissance du marché"/>
        <s v="Ameliorer et affiner les recommendations de pricing "/>
        <s v="Maîtrise marché"/>
        <s v="Améliorer la connaissance client"/>
        <s v="Améliorer l'impact de nos solutions et leur intégration sur le marché"/>
        <s v="Clarifier les rôles et les tâches des membres du groupe projet"/>
        <s v="Améliorer la qualité des recommandations"/>
        <s v="Gain de temps, réactivité vis à vis des clients"/>
        <s v="Gain de temps, meilleure expérience client"/>
        <s v="Meilleure compréhension des clients&#10;Gain de temps opérationnel&#10;Alignement transverse des équipes&#10;Détection précoce des risques&#10;Les signaux faibles (hausse de frustration, sujets &#10;Priorisation produit plus pertinente&#10;Amélioration continue de l’expérience c"/>
        <m/>
        <s v="Temps"/>
        <s v="Gain de temps "/>
        <s v="Gain de temps quotidien"/>
        <s v="Centralisation de l'info + gain de temps + gain en précision"/>
        <s v="Gain en clarté pour l'ensemble de l'entreprise"/>
        <s v="Augmentation de la valeur des deals&#10;Amélioration de la qualité des RDV commerciaux"/>
        <s v="Gain de temps"/>
        <s v="Qualité et performance au service de la lead gen"/>
        <s v="Gain de temps &#10;Gain d'information - pertinence"/>
        <s v="&#10;Un bon FS a un tx de transfo 33%&#10;&#10;Ex : Naf avec super préparation de chaque rdv a un tx de transfo à 80% mais a peu de rdv client : FS premium.&#10;&#10;Bilan très positif : tous les CR sont réalisés, matière concrète"/>
        <s v="Gain tx de transfo rdv FS"/>
        <s v="Gain de temps pour chargée biz dev&#10;Gain de qualité sur variété des formats : prez, vidéo, podcast etc"/>
        <s v="Gain de temps pour redesigner les slides&#10;Gain en qualité si plus visuel et impactant"/>
        <s v="gain de temps&#10;Gain de qualité : prise de conscience des atteintesou pas de chaque semaine&#10;Introspection guidée avant 121&#10;rituel d'analyse perso pour le sales"/>
        <s v="Gain d'argent car L'IA peut nous permettre de faire des économies de tournage, ne pas passer par une agence / externe. Et tout faire nous mêmes."/>
        <s v="Gain de trafic / visi / leads B2B = acquisition immo !"/>
        <s v="Gain de temps - productibité&#10;&#10;Gain de qualité : personnalisation et pertinence&#10;Et du coup gain de performance"/>
        <s v="Gain de temps - productivité"/>
        <s v="Gain de temps pour automatiser analyse"/>
        <s v="Nouveauté : générer des leads acquisition sur prospects purs TLV via reply mail et les intégrer à Diabolocom campagnes WCB après les avoir qualifiés"/>
        <s v="Gain qualité : Connaissance client, pertinence et chances de conversion en business !&#10;Optimisation de notre proposition tarifaire et offres promo"/>
        <s v="Booster Acquisition en utilisant ces analyses comme des lead magnets dispos derrière formuliare sur le site B2B &#10;+ Booster fidélité en faisant bénéficier nos clients d'analyses poussées locales"/>
        <s v="Productivité : plus besoin d'aller consulter des documents et des présentations de plusieurs pages, gain de temps en ayant accès à l'information grâce à l'assistant "/>
        <s v="Plus d'idées, gain de temps"/>
        <s v="Gain de  temps pour tout le mondre : le commercial sait à qui s'adresser p our son besoin marketing (goodies, prez, etc.)"/>
        <s v="Accès à la connaissance de l'orga interne"/>
        <s v="Productivité : de plus d'une demi journée à moins de 20 minutes.&#10;Qualité de service : des reportings qui franchissent une énorme étape en passant d'une description de graphiques à des insights, comparatif concurrents et marché ainsi que des pistes d'optim"/>
        <s v="AVANT : Une prez mise à jour sur les évoluton produit mais incertitude des commerciaux sur où la trouver, etc.&#10;&#10;APRES / Là je n’ai qu’à demander et on me donne une réponse rapide et sourcée dans le même gpt que mes autres usages"/>
        <s v="AVANT : &#10;On sait jamais où trouver les infos. Il y a un book de &gt; 200 slides, un process des ventes de &gt; 300 slides, et une boîte à outil hyper fournie. &#10;&#10;APRES / Là je n’ai qu’à demander et on me donne une réponse rapide et sourcée !”"/>
        <s v="Gain de temps et qualité ! (contenu vidéo additionnel versus slides aujd)&#10;&#10;AVANT : besoin de créer tests ou vidéos ou autres pour former / présenter / convaincre / entrainer etc les équipes commerciales&#10;&#10;APRES :  En 5 min suite à partage de nos documents "/>
        <s v="plusieurs heures semaine et par mois"/>
        <s v="Dépend de l'activité réglementaire"/>
        <s v="Visibilité des analyses&#10;Gain de temps et clarté"/>
        <s v="gain de temps une simple request dans slack afin de booster les KPIs d'une campagne specifique "/>
        <s v="gain de temps une simple request dans slack afin d'obtenir les infos de campagnes precises. "/>
        <s v="une simple request dans slack afin d'obtenir les potentiels sur un inventaire precis"/>
        <s v="une simple request dans slack afin d'obtenir les tailles des segments"/>
        <s v="Gain comprendre ce qu'a fait l'outils et pouvoir donner le pouvoir au traffick d'analyser"/>
        <s v="Permet de centraliser l'intégralité de nos données dans un seul outil - gain de temps pour la recherche"/>
        <s v="Gain de temps dans la recherche d'informations"/>
        <s v="Gain de temps pour la programmation et les échanges clients"/>
        <s v="Permet de scorer un bon de commande afin d'évaluer sa complexité et de le prendre en compte dans les audits d'équipe"/>
        <s v="Productivité : 20 à 30 min par bilan."/>
        <s v="Gain d'inventaire et donc de productivité pour les MTs (alternative à la multiplication des optimisations nécessaires pour gérer la sous-livraison de certaines campagnes)"/>
        <s v="Gain de temps pour la préparation en amont des RDV"/>
        <s v="Concrètement, pour le Sales, l’agent permet de :&#10;- Qualifier une demande client sans dépendre du Médiatrader&#10;- Anticiper les bloquants techniques (tracking, accès, créas, catalogues, formulaires, etc.)&#10;- Collecter dès le brief commercial les bons éléments"/>
        <s v="Gagner du temps, éviter les approximations techniques, et monter en puissance sur nos recommandations clients."/>
        <s v="Gain de temps et recommandations + pertinentes"/>
        <s v="Productivité : gain de temps considérable gagné sur l'analyse et la proposition de pistes d'optimisations et de recommandations. Pas besoin de copier/coller le prompt, il est déjà intégré."/>
        <s v="Productivité : gain de temps car plus besoin de solliciter les équipes via Slack pour que quelqu'un partage son exemple de programmation et attendre une réponse qui nous bloque pour avancer. Tous les exemples sont regroupés dans l'assitant."/>
        <s v="Aujourd'hui, ce reporting prends jusqu'à 1,5 à 2 jours de travail pour analyser une semaine de data. "/>
        <s v="Réduction du temps consacré à chercher le bon paragraphe ou la bonne information juridique à mettre en avant dans une réponse &#10;&#10;"/>
        <s v="20H par semaine &gt;&gt; 4h par semane = 16h gagnées par semaine par personne (première estimation de Cécile, à affiner en tenant compte du volume de réunions moyen si population étendue)"/>
        <s v="Gain sur utilisation des scénarios et jonglage entre les matrices minimisé."/>
        <s v="Gain de temps dans la prise de décision.&#10;&#10;Amélioration de la qualité et de l’homogénéité des modérations.&#10;&#10;Diminution des erreurs ou des interprétations divergentes grâce à une assistance instantanée."/>
        <s v="Réduction du temps consacré à l'écriture technique"/>
        <s v="Permettra d'évaluer l'intégralité des tickets du SC sur certains critères (vs une petite proportion de pickings actuellement) afin d'avoir une meilleure visibilité sur la qualité globale et mettre rapidement en place des actions correctives si nécessaire."/>
        <s v="Pour le même effort de production, capacité à produire les rapports mensuellement versus trimestriellement"/>
        <s v="Plusieurs heures par semaine (déjà 4h sur la partie contrôle qualité)"/>
        <s v="Gagner du temps dans la recherche d'une information sur la FAQ, ce qui permettrait d'augmenter son taux d'utilisation qui est assez faible côté partenaire "/>
        <s v="Gain de 15 min par personne par semaine (soit 1H hebdo)"/>
        <s v="Gain de temps : diviser par 2 le temps de rédaction et d'analyse des performances"/>
        <s v="Auparavant cette démarche était réalisée manuellement. Gain de temps 30 mn / semaine avec cette synthèse Chat GPT qui intégrera l'intégralité des demandes clienis de la semaine"/>
        <s v="Gain de temps sur la préparation de la remonté des besoins roadmap, amélioration de la pertinence des besoins remontés, identification de problématiques à plus forte valeur ajoutée et donc potentiellement gain de temps de traitement, de facturation et éco"/>
        <s v="Gain de temps pour analyser et synthétiser les verbatims clients = passer de 2 à 3 jours à 1H avant mise en forme"/>
        <s v="Réduire de 50% le temps de formalisation des EB. Avoir 90% des informations nécessaires/pré-requis dans chaque EB"/>
        <s v="Gain de 2 min par macro"/>
        <s v="Gain sur viabilité des KPI et informations facturables.&#10;Légitimité du modèle de monitoring des datas."/>
        <s v="gestion optimisée du temps permettant de se concentrer sur des tâches à forte valeur ajoutée humaine, contrairement aux activités de reporting qui en présentent moins.&#10;&#10;20 minutes / jour / personne concernée"/>
        <s v="Réduire de 15% le nombre de tickets entrants"/>
        <s v="Cecile Polard"/>
        <s v="Gain de temps (fait manuellement aujourd'hui)&#10;Gain d'efficacité (analyse exhaustive difficile manuellement)"/>
        <s v="Amélioration de la qualité du code et gain de temps"/>
        <s v="Les UATs générés par GPT-Custom (5.2 Thinking) et Gem-Custom (Gemini Pro) ont atteint une efficiente proche de 100%. Des guidelines ont été produites pour permettre aux QA/PM de créer des sources primaires de qualité suffiisantes pour êtrte parfaitement i"/>
        <s v="Gain de temps et meilleur exhaustivité du rapport (car on oublie vite ce qui a pu être fait !)"/>
        <s v="Gain de temps autant pour le demandeur que le support, réduction du nombre de messages et de l'attente"/>
        <s v="Gain de temps et de qualité"/>
        <s v="Standardisation rédactionnelle, préparation à l'automatisation des tests"/>
        <s v="productivité. Gain de temps important pour les Data Eng (DPE), car une 1ère review automatique peut permettre d'identifier / corriger un bon nombre d'erreurs ou d'imprécisions dans le code "/>
        <s v="Permettre d'obtenir une information rapidement sur le scope BDC Import"/>
        <s v="Gain de temps et réduit le nombre d'actions manuelles nécessaire lors de ma miise à jour d'un réseau "/>
        <s v="Gain de temps considérable et simplification de la récupération des informations issues des relations presse"/>
        <s v="Gain de temps / réduction du temps de traitement des fichiers data par les commerciaux"/>
        <s v="Identifier les problèmes et frictions identifiés par nos utilisateurs avant que la situation ne se dégrade"/>
        <s v="Tableau de bord disponible à tout instant sur la dynamique dles flux entrants et sortants. Gain de temps sur le point prod hebdo et vision sur l'ensemble des flux."/>
        <s v="&quot;Réduction du temps consacré à chercher la bonne procédure dans la documentation interne.&#10;&#10;Cela pourrait encourager une utilisation plus fréquente de ces outils &quot;"/>
        <s v="- Gain opérationnel : Suppression du traitement manuel des commentaires&#10;- Gain stratégique : Hiérarchisation indiscutable des retours clients + détecter les nouvelles tendances + monitoring global&#10;&#10;OBJ : Accélérer la remontée d’informations clés issues de"/>
        <s v="Division par 2 du temps nécessaire à la création d'un prompt"/>
        <s v="-30ù de contacts traités en manuel"/>
        <s v="une demi journée / mois"/>
        <s v="quelques heures / trimestre "/>
        <s v="1h / mois"/>
        <s v="1h / semaine "/>
        <s v="une demi journée / trimestre"/>
        <s v="1h / semaine"/>
      </sharedItems>
    </cacheField>
    <cacheField name="Avancement " numFmtId="0">
      <sharedItems containsBlank="1">
        <m/>
        <s v="Connexion CRM"/>
        <s v="Cobbai"/>
        <s v="29/04: POC juin à septembre - Calldesk"/>
        <s v="Calldesk: Si tout le monde est en ligne 1ère réponse -&gt; qualification de ticket - objectif 0 appel manqué - Déprio après Rachat pro"/>
        <s v="29/04: standby car PTDR - revue du cas après test"/>
        <s v="29/04: besoin de récupérer l'information de SF pour organiser les comptes dans ZD"/>
        <s v="29/04: team agentique pour prendre ce sujet (la modération se fait dans le backoffice admin)"/>
        <s v="29/04: mapping de correspondances = mapping en import / Team agentique? Ou dev? "/>
        <s v="26/02: en test avec les équipes formation - Target d'ici 15 jours - Solution concrète"/>
        <s v="26/02: tests en cours sur le scope process / cible que ça soit adaptable pour tout le monde"/>
        <s v="26/02: checker la target si besoin d'action&#10;26/03: pas prio"/>
        <s v="26/03: transcriptions chez le prestataire =&gt; mettre à disposition avec une nomenclature propre - pas d'avancement avant mi-mai pas prio (NBM...) "/>
        <s v="26/02 : récupération de toutes les transcriptions à voir avec le prestataire - 15 mars résultats =&gt; repoussée pas avant mi-mai"/>
        <s v="https://docs.google.com/document/d/179kOfgC_kylgsFBgeaySKzoLTwa8pvmnVeKv81K_ZWU/edit?tab=t.0#heading=h.ki1xx7vlcbw"/>
        <s v="25/02 : fixer un meeting avec la CSM de BOB pour présentation des fonctionnalités IA puis définir les next steps&#10;22/04: activé pour certains modules, en attente de retour pour d'autres"/>
        <s v="Ajout des documents groupe - Sarah 04/05"/>
        <s v="Affiner les questions posées par le ChatBot - Workshop FPA 07/05"/>
        <s v="Intégration des solutions pour les ADV Immo &#10;Par contre abandonné pour les AM car risque d'arret de Zendesk"/>
        <s v="permet de structurer chaque CR de rdv&#10;- sat et usage produit&#10;- oppté&#10;- risques&#10;- prox étapes et timing&#10;- rédiger 5 à 8 lignes max&#10;- bullet points et pas de phrases&#10;- pas d'hallucinations&#10;- Si dans la source tu n'as pas suffisamment d'infos tu me reposes d"/>
        <s v="- Check entre Virginie et Abbas sur fonctionnement via Claude et Chatgpt de conception de slides identiques pour chaque code postal en se basant sur template slide et gsheet avec data&#10;- Tests en cours via Yohann pour récupérer données depuis Tableau - rec"/>
        <s v="Interne: déjà utilisé&#10;&quot;Externe&quot;: selection des testeurs ok =&gt; communication prête =&gt; mais en attente d'ouverture des droits à tous =&gt; Prévu pour lundi 26&#10;Test prévu pendant 1 mois =&gt; prévu fin février&#10;Ajout des notes hébergeurs par l'équipe juridique&#10;&#10;Upd"/>
        <s v="Check de Laetitia avec Yohan sur l'avancement &#10;Update 4 février: demander à Yohan de revenir vers le service juridique &#10;20 février: Pas de retour de Yohan, Florian le contacte&#10;9 mars: pas eu de retour"/>
        <s v="Problème de mise en page, solution à trouver&#10;Check de Laetitia avec Yohan &#10;4 février: génération de NDA ok - ajouter les champs dynamiques + lister les signataires =&gt; dans la semaine c'est réglé - en attente d'hébergement côté Yohan &#10;Fin février target -&gt;"/>
        <s v="Check de Florian sur le GPT et l'avancement &#10;4 février: pas d'infos de Flo - en attente de contacter Laetitia&#10;20 février: à contacter&#10;9 mars: à contacter "/>
        <s v="4 février: Anaïse ajoute la description + contact Yohan&#10;20 février: Yohan a tout en attente de retour&#10;9 mars: relance + retour Yohan"/>
        <s v="Pour le moment le MCP JIRA n'a pas été validé par la sécu pour une utilisation sur le nouveau JIRA"/>
        <s v="Il y a déjà un dashboard datadog disponible https://leboncoinpro.datadoghq.com/dashboard/5j8-f2t-dzf/foundations-spark-usage-webprod?fromUser=false&amp;refresh_mode=sliding&amp;from_ts=1769414097308&amp;to_ts=1769417697308&amp;live=true&#10;&#10;cependant pour une analyse complè"/>
        <s v="Le GPT fonctionnel MVP existe, il manque : &#10;- la prise en comptes des liens (bloqués au Create JIRA pour le moment, demande à Benjamin L)&#10;- la prise en compte des images&#10;- récupérer la bonne EPIC et les bons composants"/>
        <s v="en attente de la vesion n8n prod, connexion slack ok"/>
        <s v="qq tests de fait , non priorise"/>
        <s v="en cours mais bloque par le manque d'acces"/>
        <s v="en test , base sur la plateforme N8N en test. attente de la prod "/>
        <s v="-"/>
        <s v="Assistant Jurique fiable à 50% &#10;Tests Maître Coin effectués et partagés le 23/02 &gt; suite échange avec le juridique de nouveaux tests seront effectués en S10/S11"/>
        <s v="24 mars: en cours (ChatGPT + Appscrit) - succession de tests - cas d'école avril/mai pour tester avec un cas concret - pas besoin d'aide - en cours"/>
        <s v="Mayday va couvrir solution trouvée (testing à faire notamment) - Avril target&#10;24 mars: check Juliette Patry avec Cécile sur la target - pas besoin d'aide&#10;26 mars : tests IA en cours, déploiement non démarré. Pas de point bloquant."/>
        <s v="Déploiement en cours depuis janvier&#10;24 mars: dernier scope doit être ouvert d'ici mi-avril target pour le passer en done - pas besoin d'aide&#10;26 mars : tout le scope SC live depuis mi mars"/>
        <s v="Déploiement en cours depuis janvier&#10;En attente Zendesk qui met à disposition quelqu'un la smaine prochaine &#10;24 mars: outil déjà actif sur la partie manuelle - sur la partie automatique en attente de Zendesk - escalade en cours pour changer d'interlocuteur"/>
        <s v="24 mars: live"/>
        <s v="24 mars: live depuis 3 semaines "/>
        <s v="https://chatgpt.com/g/g-69a1afcc74a481a48bb3bb7d578c74ce-professeur-lbc"/>
        <s v="Pas vu Cécile &#10;24 mars: Peu de gain - pas prio? - Juliette Patry check &#10;Sujet arbitré, pas de valeur donc ne sera pas fait"/>
        <s v="24 mars: pas prio tout de suite versus autre use case en cours (cf. formation initiale)"/>
        <s v="Déployé depuis 2024"/>
        <s v="24 mars: pas d'avancement - arrêt maladie "/>
        <s v="Déployé depuis mi-janvier, sur les inputs de la base de connaissance uniquement. A partir de Q2, chatbot enrichi avec des informations utilisateurs (API TRX et classified) "/>
        <s v="25/02 : Siit RH - Délivré en fin Q2&#10;22/04: démission Selma - en attente "/>
        <s v="25/02: en attente de la nomenclature (Karine côté Paye + Chaineze côté RH) - en attente définition date cible &#10;22/04: en pause - pas de bande passante - en attente point Soria "/>
        <s v="25/02: fin mars &#10;22/04: done"/>
        <s v="22/04: cadre légal à confirmé en prérequis"/>
        <s v="25/02: Récupère les job descs en ligne pour identifier via la norme iso pour identifier ce qu'il manque =&gt; blocker méfiance + stimulant mentalement"/>
        <s v="25/02: GPT existant, à affiner : deadline 15/03&#10;22/04: à cascader à l'équipe "/>
        <s v="22/04: Test en cours avec Martin - deadline 27/04 validation finale - prévu design + tech + business + support"/>
        <s v="22/04: en attente retour sécu Data studio"/>
        <s v="22/04: validation par Jérémy de la faisabilité par Data studio &amp; en attente du retour sécu avant tentative côté RH avec l'aide de Jérémy"/>
        <s v="On a pas trop avancé dessus, on commence sur le sujet. (J. Lubin, 24/04)"/>
        <s v="Manque de temps et difficulté à définir le usecase précisement pour le crew paymen"/>
        <s v="En pause, sera repris mai et juin afin de finaliser ce process et le mettre en “prod” sur la FT IMMO 9 durant Q3 (en plus d’autres FT potentiellement intéressées)."/>
        <s v="Claude Skill"/>
        <s v="Utilisation de Claude Code Adevinta"/>
        <s v="24 mars: pas de ROI important - à supprimer? "/>
        <s v="24 mars: pas clair sur ce qu'on veut - pas de visu - arrêt maladie"/>
        <s v="24 mars: certaines équipes ont leur base de connaissance "/>
        <s v="25 mars : live"/>
        <s v="Lot 1 MEP, Lot 2 avec API prévu Q2/Q3"/>
        <s v="Cas à prioriser 2"/>
        <s v="Cas à prioriser 3"/>
        <s v="Cas à prioriser 1"/>
      </sharedItems>
    </cacheField>
    <cacheField name="MEP prévue">
      <sharedItems containsDate="1" containsBlank="1" containsMixedTypes="1">
        <s v="Juin 2026"/>
        <s v="dépend de la mise en place des connecteurs"/>
        <d v="2026-03-01T00:00:00Z"/>
        <s v="Q2/2026"/>
        <s v="Q3/2026"/>
        <m/>
        <d v="2025-11-16T00:00:00Z"/>
        <s v="Q1/2026"/>
        <d v="2025-11-30T00:00:00Z"/>
        <s v="Terminé - Live"/>
        <s v="En cours "/>
        <s v="Point prévu en Janvier avec Nicolas Lump et Ops Auto"/>
        <s v="GPT Custom existant en cours de test avant partage plus global au niveau de tous les FS Immo"/>
        <s v="MEP faite&#10;Equipes formées"/>
        <s v="le détail par page sera dispo quand la migration app-router sera terminé"/>
        <s v="-"/>
        <d v="2026-01-15T00:00:00Z"/>
        <s v="Dispo immédiate"/>
        <s v="Non commencé"/>
      </sharedItems>
    </cacheField>
    <cacheField name="Blocker si non commencé" numFmtId="0">
      <sharedItems containsBlank="1">
        <m/>
        <s v="dépend de la mise en place des connecteurs"/>
        <s v="Connecter ChatGPT à nos bases data / Tableau"/>
        <s v="Prio Q2 2026"/>
        <s v="Bande passante P&amp;T et connection à nos algorithmes et datas internes"/>
        <s v="Attente prio dans roadmap P&amp;T de pluger IA sur BO"/>
        <s v="Besoin dev sur BO Admin = bande passante FT MatPro"/>
        <s v="Creation app finance"/>
        <s v="Connexion à Tableau"/>
        <s v="Pas de connexion Salesforce"/>
        <s v="Connexion à Gsheet"/>
        <s v="Possibilité de charter slides issues de Gemini ou Chatgpt ? &#10;Test de l'outil Gamma ?"/>
        <s v="Connexion à Tableau Possible ?"/>
        <s v="Prix concurrents seulement très partiellement disponibles"/>
        <s v="-"/>
        <s v="Besoin de cadrer le sujet avec un dev (n8n possible ?) &gt; c'est ce qui avait été évoqué en atelier"/>
        <s v="Création d'accès à l'outil n8n"/>
      </sharedItems>
    </cacheField>
    <cacheField name="Commentaire" numFmtId="0">
      <sharedItems containsBlank="1">
        <s v="Planned (project CWAYS)"/>
        <s v="Besoin de connecteurs avec les CRM ( Salesforce et GRC)"/>
        <m/>
        <s v="2/2 : Voir Fanny P&amp;T pour faisabilité et priorisation. "/>
        <s v="L'IA est-elle vraiment nécessaire ? On dirait du monitoring"/>
        <s v="https://agriaffaires.zendesk.com/hc/fr"/>
        <s v="Lien vers le prompt &#10;&#10;Il faut potentiellement migrer le prompt vers un custom GPT"/>
        <s v="Proposer au client d'enregistrer son écran pour nous montrer sa problématique en expliquant à l'oral ce qui le bloque =&gt; export de la vidéo + analyse de l'image et de la voix par l'IA =&gt; gain de temps&#10;Utilisation en interne pour rédiger des uses cases (pr"/>
        <s v="L'IA est-elle vraiment nécessaire ?"/>
        <s v="Etude de faisabilité en cours avec les tech "/>
        <s v="Productivité Relation Client : outils utilisés côté Opérations Auto :&#10;MayDay knowledge management avec modules de formation etc, IA avec chatgpt intégré ds mayday + Cobaye couche ajoutée sur mayday et pluggé à Zendesk pour avoir compagnons pour les agents"/>
        <s v="Possible d'avoir des notifications qd nouvelle actu ?"/>
        <s v="Intégration du module &quot;résumé de compte&quot; via IA directement dans salesforce :&#10;- Synthèse des activités&#10;- Points d'attention&#10;- Actions recommandées !"/>
        <s v="L'IA ne pourra pas scrapper le Google My Business, ni un site concurrent. Il faudra utiliser du Python s'il on souhaite faire ça."/>
        <s v="jérémy: Navigateur IA interdit !"/>
        <s v="Existe déjà fait par P&amp;T"/>
        <s v="A voir comment faire évoluer ce process en reliant directement au drive où se situent les données pour ne pas avoir à télécharger le pdf à chaque fois. Prompt: https://docs.google.com/spreadsheets/d/1eB5mJD-O89cHfso_jwm5ycQ5JdQqXm263l_Qzt7Ae3Y/edit?gid=48"/>
        <s v="A voir comment le mettre à disposition des utilisateurs finaux"/>
        <s v="Prompt efficace pas besoin de GPT"/>
        <s v="https://chatgpt.com/g/g-68e90791ddd081a4a2337c8b27a8054a-confidence-helper"/>
        <s v="améliorer avec des notions légales"/>
        <s v="Discussions avec Anaise Blanchet pour identifier les sources nécessaires"/>
        <s v="Challenger le code des analyses et aussi les slides généres par les analystes - soit via claude code ou chatgpt&#10;Il y a deja un bot qui check le code via les PR Git, voir avec DPE"/>
        <s v="MCP Jira dispo mais actuellement en lecture uniquement"/>
        <s v="Inclus dans le plan de transfo data, mais il manque les briques principales (databricks, data catalog, gouvernance) avant de pouvoir y arriver"/>
        <s v="Avoir un assistant (gemini ou autre) qui te donne un status clair d'avancement sur n'importe quel sujet lbc en crawlant g drive, slack, jira, etc&#10;Nice to have"/>
        <s v="Inclus dans le plan de transfo Data - dépendance avec la data quality"/>
        <s v="Pablo v1 y repond deja&#10;La V2 sera mieux quand on aura plug le data catalog, qu'on aura la gouvernance et les meta données"/>
        <s v="Horizon moyen long terme (S2 2026)&#10;Databricks dans le plan de transfo répondra à cet usage"/>
        <s v="Sujet à cadrer/prioriser&#10;Davide Duina a déjà développé un bot NotebookLM pour aider les PMs à faire un PDM"/>
        <s v="Pour la review il y a déjà Pixel "/>
        <s v="Développé sur GHA et n8n (instance de stagging)&#10;Dispo ensuite ici #lbc-data-analyses-public"/>
        <s v="Le GPT Storymatic existe , par contre reste à interfacer chatgpt avec JIRA pour ajouter des user stories"/>
        <s v="-&gt; Insertion en BigQuery de la donnée (faire les vérifications du LI pour insertion ou trouver une méthode pour gérer la bonne insertion d'un LI)&#10;"/>
        <s v="Savoir faire la connection GAM sur n8n afin de récupérer les informations de bases lineitems."/>
        <s v="Je pense ici au final, il est péférable de rester sur notre interface forecast où cela sera beaucoup plus simple à gérer. Et on pourrait intégrer le 'vrai' forecast et pas une estimation sur les dernières jours/mois, etc.."/>
        <s v="-&gt; logique &gt; Récupérer la tailles des audiences&#10;&#10;--&gt; On pourrait juste se connecter en API à gam et interroger cette dernière pour obtenir les volumes&#10;&#10;Savoir faire la connection GAM sur n8n poujr la partie audience&#10;"/>
        <s v="n8n, sales force, chat gpt"/>
        <s v="L'IA est-elle nécessaire ?"/>
        <s v="Va être réalisé par les MT suite à la formation avec Himaya"/>
        <s v="En attente de la finalisation des CGV côté Privacy pour déploiement"/>
        <s v="Prez : https://docs.google.com/presentation/d/1d793Js5IHi9Nmedvb7jGaEbU0Dmm2wIJ_NTGrqnNbAU/edit?slide=id.g3d05b199339_0_3020#slide=id.g3d05b199339_0_3020"/>
        <s v="-"/>
        <s v="Tests  réalisés avec premiers résultats très interessants. Live. Réduction de moitié du temps passé"/>
        <s v="Test lancé sur Scaled Ops et prompt partagé à tous les managers de la RC pour tester. &#10;Idée d'amélioration du cas d'usage : déclencher la transcription de chaque réunion en automatique, puis déclencher la formalisation automatique du CR sur la base du pro"/>
        <s v="En indiquant avec précision les bons paramètres, l'IA offre une bonne estimation des couts. La sensibilité du sujet nécessite néanmoins une vérification manuelle."/>
        <s v="A tester avec Chat GPT, les résultats avec Ada étaient satisfaisants mais je pense que nous pouvons faire mieux et à discuter avec les managers "/>
        <s v="En test"/>
        <s v="6/02 différents outils qui sont mis à jour pour Chaque macro =&gt; indiquer à l'autre outils -&gt; RC rediscuter le besoin avec Cécile"/>
        <s v="Prompt à tester sur des uses case spécifiques afin de cibler le challenge de certaines mesures personnalisées dans un premier temps.&#10;Par la suite, à développer sur des indicateurs en interne.&#10;&#10;6/02 Revenir vers Jérémy "/>
        <s v="6/02 Mise à jour des outils de travail =&gt; si pas de connecteur qui permet de lier Monday avec le reste on a un pb&#10;18/02 En attente de savoir comment faire"/>
        <s v="Implémentation via Siit =&gt; amélioration en cours des réponses générées via IA"/>
        <s v="https://github.mpi-internal.com/leboncoin/google-super-publipostage"/>
        <s v="re-scraper les jobs annoncés publiquement et recheck (diversité, harmonisation) =&gt; highlight des problèmes (check leboncoin corporate = source de vérité)"/>
        <s v="voir customGPT: &quot;The Profiler&quot;"/>
        <s v="Remonté par Romain Louvet"/>
        <s v="un exemple existe déjà (utilisé par ISS): https://github.mpi-internal.com/jeremy-smadja/auto-ppp, exemple de résultats: https://confluence.ets.mpi-internal.com/display/LBCCORE/ISS-Weekly+-+2025-07-30"/>
        <s v="Jérémy: pas sur que ce soit une bonne idée en CI car il faut probablement passer derrière non  ? Je l'aurai fait en cours de dev via IA"/>
        <s v="Incident IO est censé le faire pour nous. Jérémy Smadja, Jean Francois BRUEL"/>
        <s v="Soundcheck dans Backstage est censé nous aider (Sans IA)"/>
        <s v="J'ai vu que Léo à fait un GPT &quot;Architecte ADR&quot;, mais je n'ai pas creusé."/>
        <s v="GPT : https://chatgpt.com/g/g-688746f035ac81a4ba2648c600aae516-expert-depot-dynamique"/>
        <s v="Pablo"/>
        <s v="lien du message de Vincent Demeules: https://adevinta.slack.com/archives/G01832QUQRM/p1766401671690559 "/>
        <s v="6/02: A discuter côté RC&#10;18/02: pas de solution encore"/>
        <s v="6/02: Retester - avant dans le retraitement des chiffres"/>
        <s v="Vérifier avec Moana"/>
        <s v="Fournir la documentation (trade P&amp;T) pour définir ce qu'on veut comparer"/>
        <s v="Documenter le type de données + le format"/>
        <s v="Pour le moment expérimental et peu structuré côté Céline"/>
        <s v="Claude MD"/>
      </sharedItems>
    </cacheField>
    <cacheField name="Outils IA utilisé" numFmtId="0">
      <sharedItems containsBlank="1">
        <m/>
        <s v="Exploration à prévoir"/>
        <s v="Cobbaï"/>
        <s v="Démo en cours (callDesk / Yelda)"/>
        <s v="contractualisation en cours avec Calldesk"/>
        <s v="ChatGPT 5"/>
        <s v="Data BI / ChatGpt / Dev compte pour Têtes de réseau"/>
        <s v="n8n / zendesk / cobbai"/>
        <s v="Exploration à prévoir en attente de la priorisation Serenity"/>
        <s v="ChatGPT 5 "/>
        <s v="Zendesk IA"/>
        <s v="Gemini ou Chatgpt"/>
        <s v="Zendesk QA"/>
        <s v="Snapcall"/>
        <s v="ChatGPT 5 + N8N"/>
        <s v="Zendesk IA / Cobbai"/>
        <s v="N8N, zendesk, open AI"/>
        <s v="Claude Code"/>
        <s v="CustomGPT"/>
        <s v="ChatGPT + autre outil à définir"/>
        <s v="ChatGPT"/>
        <s v="Chatgpt prompt"/>
        <s v="Chatgpt + plannifier une action"/>
        <s v="GPT custom Raymondo fai par Arnaud K"/>
        <s v="Notebook LM"/>
        <s v="En test : &#10;Notebook LM mais permet pas de modifier&#10;Gemini mais moins beau&#10;Notre outil Prezi permet aussi de l'IA"/>
        <s v="Gemini 3 !&#10;(3 prompts vidéos / jour)"/>
        <s v="https://getmint.ai/&#10;pour évaluer trafic GEO et identifier requêtes"/>
        <s v="https://chatgpt.com/g/g-69e5d8e23e0481a4bb399e47ff57baec-le-bon-presentateur"/>
        <s v="Gemini"/>
        <s v="Notebook LM - création version vidéo / podcast !"/>
        <s v="N8N + Chatgpt + gmail + Gsheet"/>
        <s v="Notebook LM&#10;(Gemini)"/>
        <s v="n8n / OpenAI API"/>
        <s v="Custom GPT"/>
        <s v="Bedrock - n8n"/>
        <s v="NotebookLM"/>
        <s v="- n8n (créer les scénarios et gérer les requêtes)&#10;- chatgpt en api"/>
        <s v="chat gpt + sales force"/>
        <s v="bigQuery.&#10;chatGpt api&#10;n8n"/>
        <s v="N8N ?"/>
        <s v="Chat GPT"/>
        <s v="Gemini + GPT pour le CR"/>
        <s v="Mayday"/>
        <s v="Zendesk Quality Analytics"/>
        <s v="GPT"/>
        <s v="Assistant GPT"/>
        <s v="Chatbot IA Zendesk "/>
        <s v="chat gpt + documentation RH associée (drive spécifique)"/>
        <s v="chat gpt + Drive RH"/>
        <s v="Chat gpt + templates courrier"/>
        <s v="Chat gpt + scorecard HM interviews"/>
        <s v="Chat gpt + drive avec ancienne JD"/>
        <s v="Chat gpt + kick off meeting"/>
        <s v="chat gpt + connecteurs à des sites externes (legifrance, sites législatifs) + drive avec documentation RH spécifique"/>
        <s v="n8n, liteLLM, Bedrock, Slack"/>
        <s v="N8N, Googlesheet API, (LLM model) Claude API, APIFY (web scrapping)"/>
        <s v="n8n"/>
        <s v="Claude Code / ChatGPt"/>
      </sharedItems>
    </cacheField>
    <cacheField name="Implémentation" numFmtId="0">
      <sharedItems containsBlank="1">
        <s v="n8n salesforce, sap..."/>
        <s v="To refine et connextion avec les CRM"/>
        <s v="Cobbaï"/>
        <s v="callDesk"/>
        <s v="To refine"/>
        <m/>
        <s v="n8n"/>
        <s v="Cx team"/>
        <s v="backend app"/>
        <s v="backend app "/>
        <s v="Custom GPT"/>
        <s v="Zendesk IA"/>
        <s v="Zendesk QA"/>
        <s v="Snapcall"/>
        <s v="L'IA est-elle vraiment nécessaire ici ?"/>
        <s v="Vibecoded Webapp hosted on github pages https://github.mpi-internal.com/leboncoin/ddo-call-script-generator"/>
        <s v="n8n ou Gemini ?"/>
        <s v="produit dédié"/>
        <s v="chatGPT"/>
        <s v="The Profiler"/>
        <s v="Gemini"/>
        <s v="Accompagnement sur l'utilisation de NotebookLM et Nano Banana/Gemini"/>
        <s v="https://notebooklm.google.com/notebook/2a9af11d-b4a7-4dfa-99c0-148d597c9a0b"/>
        <s v="n8n ou autre produit"/>
        <s v="Data catalogue + n8n"/>
        <s v="google meet"/>
        <s v="salesforce, dev backend ?"/>
        <s v="Gemini ? n8n ?"/>
        <s v="gamma ? n8n ? salesforces ?"/>
        <s v="customgpt ou notebookLM"/>
        <s v="notebookLM"/>
        <s v="data catalogue + n8n "/>
        <s v="n8n ou expertise excel ?"/>
        <s v="Marketing Radar"/>
        <s v="GPT custom"/>
        <s v="Prompt ds Chatgpt"/>
        <s v="customgpt Marketing Radar + scheduled task&#10;https://chatgpt.com/g/g-693036e29d4481a49a74953b20c6f5b7-marketing-radar"/>
        <s v="Notebook LM"/>
        <s v="CustomGPT"/>
        <s v="ChatGPT / Gemini"/>
        <s v="customGPT &quot;Marketing Radar&quot; et/ou planification tâche GPT   https://chatgpt.com/g/g-693036e29d4481a49a74953b20c6f5b7-marketing-radar"/>
        <s v="n8n sap salesforces"/>
        <s v="image"/>
        <s v="connecteur google ads, meta..."/>
        <s v="ChatGPT + solution de veille ?"/>
        <s v="ChatGPT/NotebookLLM"/>
        <s v="GPT"/>
        <s v="connecteur confluence, google drive..."/>
        <s v="crawling web deep search"/>
        <s v="Jira MCP"/>
        <s v="Databricks"/>
        <s v="Intégration Chatgpt dans Slack ?"/>
        <s v="GPT / Gemini"/>
        <s v="produit spécifique ?"/>
        <s v="Gilles"/>
        <s v="Jérémy/Gilles Lalyre"/>
        <s v="Custom GPT: leboncoin spec scribe"/>
        <s v="n8n (connection bases sales force)"/>
        <s v="bigQuery.&#10;chatGpt api&#10;n8n"/>
        <s v="ChatGPT + monday"/>
        <s v="Rapport -&gt; non IA&#10;Aide à la rédaction des articles -&gt; ChatGPT"/>
        <s v="Gemini + GPT"/>
        <s v="chatGPT/n8n (Confluence + Lumapp)"/>
        <s v="GPT / n8n"/>
        <s v="n8n (GDrive/MIM?)"/>
        <s v="n8n + connecteur zendesk"/>
        <s v="n8n (GDrive + Monday access)"/>
        <s v="chatGPT (GDrive)"/>
        <s v="Google App Script"/>
        <s v="chatGPT &quot;RH Job Checker&quot;"/>
        <s v="n8n (code) / produit ?"/>
        <s v="LiteLLM"/>
        <s v="n8n (Slack + Gerrit + Jira + Confluence access)"/>
        <s v="n8n (Gerrit access) IA vraiment necessaire ? ça ressemble à du scaffolding"/>
        <s v="n8n (Backstage + code access)"/>
        <s v="n8n (vulcan)"/>
        <s v="n8n (bdd + mail)"/>
        <s v="n8n (Zuul + Gerrit access)"/>
        <s v="vibe coding"/>
        <s v="n8n (Gherkix access)"/>
        <s v="n8n (Slack + Confluence + code/infra access)"/>
        <s v="n8n (Slack + Backstage access)"/>
        <s v="n8n (Slack + code + infra access)"/>
        <s v="produit"/>
        <s v="n8n (Gerrit access)"/>
        <s v="n8n (Slack access)"/>
        <s v="LiteLLM/produit(Claude,Codex...)"/>
        <s v="Jérémy"/>
        <s v="n8n, liteLLM, Bedrock, Slack (plus nécessaire quand on aura un connecteur slack dans chatGPT)"/>
        <s v="n8n, liteLLM, Bedrock, Slack"/>
        <s v="chatGPT (rédaction) / produit"/>
        <s v="Claude Code + CI Github"/>
        <s v="Jérémy Smadja n8n workflow en place pour android et ios et zendesk"/>
        <s v="CustomGPT: Prompt Optimizer"/>
        <s v="dev backend"/>
        <s v="n8n + mim"/>
        <s v="Zendesk natif"/>
      </sharedItems>
    </cacheField>
    <cacheField name="Prio Com (cas sur lesquels communiquer en priorité) " numFmtId="0">
      <sharedItems containsBlank="1">
        <m/>
        <s v="ok"/>
        <s v="ko pour le moment car Bascule vers Cobbai"/>
        <s v="OUI"/>
        <s v="Yes"/>
        <s v="Vidéo Tuto sur la communauté immo ici"/>
        <s v="Oui quand le déploiement sera fini"/>
        <s v="Oui et déjà fait en interne (newsletter produit)"/>
      </sharedItems>
    </cacheField>
    <cacheField name="Legal" numFmtId="0">
      <sharedItems containsBlank="1">
        <m/>
        <s v="Cobbai analyse les tickets et fait de l'interprétation qui permet de définir des thèmes récurrents qu'on a dans les tickets pour voir les points d'insatisfaction, faire des demandes au produit etc.&#10;=&gt; Low risk"/>
        <s v="A checker avec le Legal le moment venu"/>
        <s v="Low risk si contenu revu avant d'être envoyé au client"/>
        <s v="A checker avec le Legal"/>
        <s v="Les clients nous envoient des données qui sont catégorisées dans leur SI. Quand on veut matcher tout ca avec nos champs, on a besoin de faire un mapping des correspondances et les configurations nécessaires. Attention, si configuration automatisée ca peut"/>
        <s v="Analyse des réponses faites par nos équipes pour identifier des axes d'améliorations. Les managers s'appuient dessus pour proposer des axes d'amélioration à leurs équipes.&#10;=&gt; Low risk tant que ca n'est pas utilisé pour évaluer les performances des agents "/>
        <s v="Contenu revu avant d'être exposé au client =&gt; Low risk"/>
        <s v="Low risk"/>
        <s v="On va chercher des infos dans les PDFs signés avec les clients, pour reporter ces infos dans le BFU (= GSheet interne qui synthétise des infos commerciales)&#10;=&gt; Low risk"/>
        <s v="Contrat Zendesk ok sur les sujets IA&#10;Actuellement les articles sont proposés à l'Agent qui décide ou non d'utiliser la réponse proposée par l'IA de Zendesk. Si automatisation complete, bien revoir avec le Legal et mettre en place les safeguards nécessaire"/>
        <s v="low"/>
        <s v="Low risk si le contenu généré est revu avant d'être utilisé/envoyé"/>
        <s v="Low risk si contenu revu avant d'être utilisé"/>
        <s v="Chatbot pour aider à optimiser des requêtes SQL sur la base de documents de supports SQL =&gt; Low risk si le résultat généré est revu avant utilisation"/>
        <s v="En attente contrats N8N et Lite LLM"/>
        <s v="En attente contrat N8N"/>
        <s v="En attente décision sur un outil de Vibe Coding puis négociation d'un contrat avec cet outil"/>
        <s v="Chatbot qui répond à des questions sur la base de la documentation AWS =&gt; Low risk si résultat revu avant d'être utilisé"/>
        <s v="Chatbot qui répond aux questions sur nos bases de données (configurations, modifications, accès) sur la base d'informations issues de nos repositories Gerrit =&gt; Low risk si usage interne et résultat généré revu avant d'être utilisé"/>
        <s v="Low risk  "/>
        <s v="Low risk si accès à la data maitrisé par type d'utilisateur"/>
      </sharedItems>
    </cacheField>
    <cacheField name="Workshop?">
      <sharedItems containsDate="1" containsBlank="1" containsMixedTypes="1">
        <s v="Y"/>
        <m/>
        <d v="2025-12-08T00:00:00Z"/>
        <s v="oui"/>
      </sharedItems>
    </cacheField>
    <cacheField name=" " numFmtId="0">
      <sharedItems containsString="0" containsBlank="1">
        <m/>
      </sharedItems>
    </cacheField>
    <cacheField name=" 2" numFmtId="0">
      <sharedItems containsString="0" containsBlank="1">
        <m/>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Blank="1">
        <m/>
        <s v="Haut"/>
      </sharedItems>
    </cacheField>
    <cacheField name=" 16" numFmtId="0">
      <sharedItems containsString="0" containsBlank="1">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ata" cacheId="0" dataCaption="" compact="0" compactData="0">
  <location ref="A1:F17" firstHeaderRow="0" firstDataRow="1" firstDataCol="1"/>
  <pivotFields>
    <pivotField name=" Département" axis="axisRow" compact="0" outline="0" multipleItemSelectionAllowed="1" showAll="0" sortType="ascending">
      <items>
        <item x="12"/>
        <item x="1"/>
        <item x="2"/>
        <item x="3"/>
        <item x="5"/>
        <item x="6"/>
        <item x="0"/>
        <item x="13"/>
        <item x="8"/>
        <item x="9"/>
        <item x="10"/>
        <item x="4"/>
        <item x="7"/>
        <item x="11"/>
        <item t="default"/>
      </items>
    </pivotField>
    <pivotField name="Sous département/Trib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ame="Nom du use ca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t="default"/>
      </items>
    </pivotField>
    <pivotField name="Description du use case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t="default"/>
      </items>
    </pivotField>
    <pivotField name="Etat d'avancement" axis="axisCol" dataField="1" compact="0" outline="0" multipleItemSelectionAllowed="1" showAll="0" sortType="ascending">
      <items>
        <item x="3"/>
        <item x="0"/>
        <item x="2"/>
        <item x="1"/>
        <item t="default"/>
      </items>
    </pivotField>
    <pivotField name="Nom de l'assistant (+ Lien)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Own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t="default"/>
      </items>
    </pivotField>
    <pivotField name="Priorite" compact="0" outline="0" multipleItemSelectionAllowed="1" showAll="0">
      <items>
        <item x="0"/>
        <item x="1"/>
        <item x="2"/>
        <item x="3"/>
        <item x="4"/>
        <item t="default"/>
      </items>
    </pivotField>
    <pivotField name="Complexité" compact="0" outline="0" multipleItemSelectionAllowed="1" showAll="0">
      <items>
        <item x="0"/>
        <item x="1"/>
        <item x="2"/>
        <item x="3"/>
        <item t="default"/>
      </items>
    </pivotField>
    <pivotField name="Population concerné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pivotField>
    <pivotField name="Gain &#10;(quand cela est possible merci de mettre des gains chifré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t="default"/>
      </items>
    </pivotField>
    <pivotField name="Avancement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 name="MEP prévue" compact="0" outline="0" multipleItemSelectionAllowed="1" showAll="0">
      <items>
        <item x="0"/>
        <item x="1"/>
        <item x="2"/>
        <item x="3"/>
        <item x="4"/>
        <item x="5"/>
        <item x="6"/>
        <item x="7"/>
        <item x="8"/>
        <item x="9"/>
        <item x="10"/>
        <item x="11"/>
        <item x="12"/>
        <item x="13"/>
        <item x="14"/>
        <item x="15"/>
        <item x="16"/>
        <item x="17"/>
        <item x="18"/>
        <item t="default"/>
      </items>
    </pivotField>
    <pivotField name="Blocker si non commencé" compact="0" outline="0" multipleItemSelectionAllowed="1" showAll="0">
      <items>
        <item x="0"/>
        <item x="1"/>
        <item x="2"/>
        <item x="3"/>
        <item x="4"/>
        <item x="5"/>
        <item x="6"/>
        <item x="7"/>
        <item x="8"/>
        <item x="9"/>
        <item x="10"/>
        <item x="11"/>
        <item x="12"/>
        <item x="13"/>
        <item x="14"/>
        <item x="15"/>
        <item x="16"/>
        <item t="default"/>
      </items>
    </pivotField>
    <pivotField name="Commentai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Outils IA utilisé"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Implément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name="Prio Com (cas sur lesquels communiquer en priorité) " compact="0" outline="0" multipleItemSelectionAllowed="1" showAll="0">
      <items>
        <item x="0"/>
        <item x="1"/>
        <item x="2"/>
        <item x="3"/>
        <item x="4"/>
        <item x="5"/>
        <item x="6"/>
        <item x="7"/>
        <item t="default"/>
      </items>
    </pivotField>
    <pivotField name="Legal"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Workshop?" compact="0" outline="0" multipleItemSelectionAllowed="1" showAll="0">
      <items>
        <item x="0"/>
        <item x="1"/>
        <item x="2"/>
        <item x="3"/>
        <item t="default"/>
      </items>
    </pivotField>
    <pivotField name=" " compact="0" outline="0" multipleItemSelectionAllowed="1" showAll="0">
      <items>
        <item x="0"/>
        <item t="default"/>
      </items>
    </pivotField>
    <pivotField name=" 2" compact="0" outline="0" multipleItemSelectionAllowed="1" showAll="0">
      <items>
        <item x="0"/>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x="1"/>
        <item t="default"/>
      </items>
    </pivotField>
    <pivotField name=" 16" compact="0" outline="0" multipleItemSelectionAllowed="1" showAll="0">
      <items>
        <item x="0"/>
        <item t="default"/>
      </items>
    </pivotField>
  </pivotFields>
  <rowFields>
    <field x="0"/>
  </rowFields>
  <colFields>
    <field x="4"/>
  </colFields>
  <dataFields>
    <dataField name="COUNTA of Etat d'avancement" fld="4" subtotal="count" baseField="0"/>
  </dataFields>
</pivotTableDefinition>
</file>

<file path=xl/tables/table1.xml><?xml version="1.0" encoding="utf-8"?>
<table xmlns="http://schemas.openxmlformats.org/spreadsheetml/2006/main" headerRowCount="0" ref="A1:AJ159" displayName="Table_1" name="Table_1" id="1">
  <tableColumns count="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s>
  <tableStyleInfo name="Detail13-Terminé - Live-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AJ241" displayName="Table_2" name="Table_2" id="2">
  <tableColumns count="3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s>
  <tableStyleInfo name="Cas abandonné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55" dT="2025-10-14T16:36:19.00" personId="{1159169f-ca1b-42de-a2e5-796ec55c93ff}" id="{030a849b-130b-46b7-a2ae-97402d3789a2}" done="0">
    <x18tc:text xml:space="preserve">@antoine.delpech@adevinta.com je te laisse détailler</x18tc:text>
    <x18tc:mentions>
      <x18tc:mention mentionpersonId="{805d7f5b-2df2-442d-a572-1e460764ba8a}" mentionId="{97f480b2-8e15-4b09-9b08-0cca5799a4a2}" startIndex="0" length="29"/>
    </x18tc:mentions>
  </x18tc:threadedComment>
  <x18tc:threadedComment ref="O190" dT="2025-10-14T14:24:32.00" personId="{7477dcb4-47cf-479a-899e-759b9b5ec3dd}" id="{b1247729-3ce2-433f-bcd5-6454d667cae5}" done="0">
    <x18tc:text xml:space="preserve">oui, après il n'est pas parfait, il le sera quand on aura un data catalog, mais le status est en cours</x18tc:text>
  </x18tc:threadedComment>
  <x18tc:threadedComment ref="D295" dT="2026-04-24T11:11:56.00" personId="{8b3b8b39-3aad-4c3d-8358-b3dbf0d4f4f2}" id="{47fe337f-58f9-4319-ac69-17e078ddc217}" done="0">
    <x18tc:text xml:space="preserve">Il faudrait plus de détail sur le besoin</x18tc:text>
  </x18tc:threadedComment>
  <x18tc:threadedComment ref="D209" dT="2026-04-24T15:00:43.00" personId="{5f027feb-3320-437c-b96e-a1b05f457e12}" id="{6c25e680-56f6-4ff2-83fa-69f77c26d1d1}" done="0">
    <x18tc:text xml:space="preserve">@eliott.lujan@adevinta.com @melanie.meng@adevinta.com @abderrahmane.abdallahoum@adevinta.com le sujet a été fait avec lebonwording non https://adevinta.slack.com/archives/C08K2NUBVKM/p1775827887110919 ? et c'est même dispo sur Backstage.
1 total reaction
Eliott Lujan reacted with 👍 at 2026-04-24 15:42 PM
Assigned to eliott.lujan@adevinta.com
Attribué à eliott.lujan@adevinta.com</x18tc:text>
    <x18tc:mentions>
      <x18tc:mention mentionpersonId="{aeb54795-0514-4f5e-8b0b-6a5dffde701a}" mentionId="{65e5f335-d39b-4dc5-811a-4996c42c9403}" startIndex="0" length="26"/>
      <x18tc:mention mentionpersonId="{98eb6700-baf2-4054-8820-634f5cae03cc}" mentionId="{8a54003a-ef15-4757-b6f8-4f8b92c7eb85}" startIndex="27" length="26"/>
      <x18tc:mention mentionpersonId="{9f9d6f2b-05c8-43db-ad04-24027cc667aa}" mentionId="{81636ddb-9c60-4a4e-870d-9d6828794ce7}" startIndex="54" length="38"/>
    </x18tc:mentions>
    <x18tc:extLst>
      <ext uri="{F7C98A9C-CBB3-438F-8F68-D28B6AF4A901}">
        <xltc2:checksum/>
        <xltc2:hyperlink startIndex="135" length="65" url="https://adevinta.slack.com/archives/C08K2NUBVKM/p1775827887110919"/>
      </ext>
    </x18tc:extLst>
  </x18tc:threadedComment>
  <x18tc:threadedComment ref="C245" dT="2026-02-18T12:02:47.00" personId="{f9adebae-5648-4bc6-b1d3-e443308a0122}" id="{9a8a5b9c-3c30-40bd-957b-81a249e83741}" done="1">
    <x18tc:text xml:space="preserve">@carine.rinaldi@adevinta.com
Assigned to carine.rinaldi@adevinta.com
Attribué à carine.rinaldi@adevinta.com</x18tc:text>
    <x18tc:mentions>
      <x18tc:mention mentionpersonId="{42e8256e-b5c3-471f-bbaf-664d61463b7c}" mentionId="{bbf2b8de-b185-4890-89da-edb7bfa4295d}" startIndex="0" length="28"/>
    </x18tc:mentions>
  </x18tc:threadedComment>
  <x18tc:threadedComment ref="E165" dT="2026-04-02T20:30:30.00" personId="{a6e13c37-408c-4571-87bb-c0becaefa4da}" id="{9e16c568-219c-4d2a-ab39-ed304bf7badf}" done="1">
    <x18tc:text xml:space="preserve">Done avec Claude Code (cf le tuto fourni aux PMs)</x18tc:text>
  </x18tc:threadedComment>
  <x18tc:threadedComment ref="E185" dT="2026-04-02T20:35:02.00" personId="{a6e13c37-408c-4571-87bb-c0becaefa4da}" id="{d2fbaa67-32ce-40e5-a746-c11c8ec770e9}" done="1">
    <x18tc:text xml:space="preserve">On a ouvert les connexions figma donc on peut dire que c est done</x18tc:text>
  </x18tc:threadedComment>
  <x18tc:threadedComment ref="E185" dT="2026-04-02T20:35:06.00" personId="{a6e13c37-408c-4571-87bb-c0becaefa4da}" id="{2fca7f3b-20de-42fa-a02c-2a429aaea5a2}" parentId="{d2fbaa67-32ce-40e5-a746-c11c8ec770e9}">
    <x18tc:text xml:space="preserve">@laetitia.ferrando@adevinta.com
Marquée comme fermée</x18tc:text>
    <x18tc:mentions>
      <x18tc:mention mentionpersonId="{d7f550f1-3ff4-45ff-9f5c-89d6e21305df}" mentionId="{4d82d8ca-45ea-4db0-8c5c-7bb6f0a06536}" startIndex="0" length="31"/>
    </x18tc:mentions>
  </x18tc:threadedComment>
  <x18tc:threadedComment ref="A1" dT="2025-09-05T14:45:56.00" personId="{b2d2eefc-2583-49f3-be9a-cc1eadbec332}" id="{1ff78f60-ce18-4eed-b0a3-1a4b4f5c471c}" done="0">
    <x18tc:text xml:space="preserve">on a une version POC déployé côté data. A reprendre ou pas..</x18tc:text>
  </x18tc:threadedComment>
  <x18tc:threadedComment ref="A1" dT="2025-09-05T15:39:09.00" personId="{32233897-40a9-440e-943e-faa9b8b76f15}" id="{e5833a41-3ba6-4fd7-9417-e243f806e826}" parentId="{1ff78f60-ce18-4eed-b0a3-1a4b4f5c471c}">
    <x18tc:text xml:space="preserve">cc @jeremy.smadja@adevinta.com</x18tc:text>
    <x18tc:mentions>
      <x18tc:mention mentionpersonId="{8caf1087-e6e9-430c-a5f7-35af5fe55d62}" mentionId="{f32d72dc-9df7-4731-ac13-ca8cc30d9775}" startIndex="3" length="27"/>
    </x18tc:mentions>
  </x18tc:threadedComment>
  <x18tc:threadedComment ref="G268" dT="2026-04-24T12:47:16.00" personId="{5f027feb-3320-437c-b96e-a1b05f457e12}" id="{a9bd692a-40cc-4405-ae41-c299e2cb612b}" done="0">
    <x18tc:text xml:space="preserve">Changé sur F. Prost à la demande de J. Lubin</x18tc:text>
  </x18tc:threadedComment>
  <x18tc:threadedComment ref="D344" dT="2026-02-06T15:52:04.00" personId="{081f11c9-3ffc-49d1-a453-9733c326cb95}" id="{29c6b019-3338-4f82-a404-9be6d75d32ca}" done="0">
    <x18tc:text xml:space="preserve">à retester @juliette.patry@adevinta.com @fabrice.barbe@adevinta.com
Assigned to juliette.patry@adevinta.com</x18tc:text>
    <x18tc:mentions>
      <x18tc:mention mentionpersonId="{14097870-fcd7-4b4c-9ad3-c7e56391b7c2}" mentionId="{f20d3778-fac2-42a5-87d2-121a806f4ee3}" startIndex="11" length="28"/>
      <x18tc:mention mentionpersonId="{ea740712-92b1-437f-bd28-d43f6bafce13}" mentionId="{af2bb097-3c49-4490-9f67-deea7216f774}" startIndex="40" length="27"/>
    </x18tc:mentions>
  </x18tc:threadedComment>
  <x18tc:threadedComment ref="D344" dT="2026-02-16T15:18:22.00" personId="{081f11c9-3ffc-49d1-a453-9733c326cb95}" id="{a3216ab3-691d-4bd1-b551-d87f71c05adb}" parentId="{29c6b019-3338-4f82-a404-9be6d75d32ca}">
    <x18tc:text xml:space="preserve">@jonathan.bensadoun@adevinta.com à tester sur un des scopes SC
Reassigned to jonathan.bensadoun@adevinta.com</x18tc:text>
    <x18tc:mentions>
      <x18tc:mention mentionpersonId="{c245b42f-a977-45be-bf58-4eeaa808a923}" mentionId="{98f5651e-d3df-4c1c-860d-adfaf4a102fb}" startIndex="0" length="32"/>
    </x18tc:mentions>
  </x18tc:threadedComment>
  <x18tc:threadedComment ref="C209" dT="2026-01-07T09:04:01.00" personId="{b021f852-a389-4a33-89a9-e16d3fca11ad}" id="{a6133f72-f25d-4f7b-a64f-4b0a92f703ee}" done="0">
    <x18tc:text xml:space="preserve">@laetitia.ferrando@adevinta.com @martin.berthonneau@adevinta.com
Assigned to laetitia.ferrando@adevinta.com
Attribué à laetitia.ferrando@adevinta.com</x18tc:text>
    <x18tc:mentions>
      <x18tc:mention mentionpersonId="{d7f550f1-3ff4-45ff-9f5c-89d6e21305df}" mentionId="{299c5996-15d8-40a2-81ec-69d875676ffd}" startIndex="0" length="31"/>
      <x18tc:mention mentionpersonId="{d7051da2-897b-4999-8e6c-73892d1f7f8e}" mentionId="{3e88b500-0eba-4dc8-b60e-5c2d1ef72045}" startIndex="32" length="32"/>
    </x18tc:mentions>
  </x18tc:threadedComment>
  <x18tc:threadedComment ref="D171" dT="2026-02-02T15:03:01.00" personId="{71f2e1a7-1479-4edd-a85b-0ba2cea1d0ad}" id="{4c0be20f-82e3-47f7-bc39-8f4341a83f2b}" done="0">
    <x18tc:text xml:space="preserve">doublon ?</x18tc:text>
  </x18tc:threadedComment>
  <x18tc:threadedComment ref="A1" dT="2025-09-03T14:23:58.00" personId="{71f2e1a7-1479-4edd-a85b-0ba2cea1d0ad}" id="{e00b76fd-0191-4c58-97f8-378b5514a92a}" done="0">
    <x18tc:text xml:space="preserve">Note: pas vraiment besoin d'IA pour ça imho</x18tc:text>
  </x18tc:threadedComment>
  <x18tc:threadedComment ref="D175" dT="2026-01-15T14:23:08.00" personId="{7477dcb4-47cf-479a-899e-759b9b5ec3dd}" id="{4f096262-0323-4cd6-984c-2b6815faccfc}" done="0">
    <x18tc:text xml:space="preserve">@laurent.borel@adevinta.com quel est le status?
Assigned to laurent.borel@adevinta.com
Attribué à laurent.borel@adevinta.com</x18tc:text>
    <x18tc:mentions>
      <x18tc:mention mentionpersonId="{a9f5263f-7c12-446b-b4c2-42e47b8f9273}" mentionId="{78e6fa1b-44fc-4d7c-8895-6d046107588f}" startIndex="0" length="27"/>
    </x18tc:mentions>
  </x18tc:threadedComment>
  <x18tc:threadedComment ref="A1" dT="2025-10-14T14:25:26.00" personId="{7477dcb4-47cf-479a-899e-759b9b5ec3dd}" id="{21b4fcd9-cedd-4da9-b416-107386e9775a}" done="0">
    <x18tc:text xml:space="preserve">@laetitia.ferrando@adevinta.com tu peux virer ce use case je pense
Assigned to laetitia.ferrando@adevinta.com
Attribué à laetitia.ferrando@adevinta.com</x18tc:text>
    <x18tc:mentions>
      <x18tc:mention mentionpersonId="{d7f550f1-3ff4-45ff-9f5c-89d6e21305df}" mentionId="{d65385f1-a957-4d3e-96ab-3552486e1e8b}" startIndex="0" length="31"/>
    </x18tc:mentions>
  </x18tc:threadedComment>
  <x18tc:threadedComment ref="G4" dT="2025-09-26T16:04:40.00" personId="{32233897-40a9-440e-943e-faa9b8b76f15}" id="{e4703b35-464b-417f-bba4-9f1ab48c01e7}" done="1">
    <x18tc:text xml:space="preserve">@anaise.blanchet@adevinta.com @laetitia.sebaoun@adevinta.com pourrez vous mettre un owner, vous ou quelqu'un d'autre côté juridique qui peut porter ce cas et en être responsable plz? Thanks</x18tc:text>
    <x18tc:mentions>
      <x18tc:mention mentionpersonId="{9d50faf5-0bb7-4ab2-81ed-2b78d10dc59e}" mentionId="{20b05182-5a88-4d22-95f0-42f56853a6ad}" startIndex="0" length="29"/>
      <x18tc:mention mentionpersonId="{acdce0a4-b582-4764-b9f2-37af0285938c}" mentionId="{d3ecd6a5-3948-4bb7-8bd3-750f2bece53b}" startIndex="30" length="30"/>
    </x18tc:mentions>
  </x18tc:threadedComment>
  <x18tc:threadedComment ref="G4" dT="2025-09-26T16:46:37.00" personId="{d8ab5fb5-b6ee-43ed-8f95-11f0305d7f9b}" id="{2b615ed6-222d-454a-b844-7ca7a24d8fbd}" parentId="{e4703b35-464b-417f-bba4-9f1ab48c01e7}">
    <x18tc:text xml:space="preserve">@anaise.blanchet@adevinta.com j'ai fait des propositions d'ownership pour tous les UC - à valider en prochaine réu d'équipe si ca ta va
1 total reaction
Anaïse Blanchet reacted with 👍 at 2025-09-29 07:45 AM
Marquée comme fermée</x18tc:text>
    <x18tc:mentions>
      <x18tc:mention mentionpersonId="{9d50faf5-0bb7-4ab2-81ed-2b78d10dc59e}" mentionId="{4aa6a2d5-aaeb-478b-8621-f8bcae515612}" startIndex="0" length="29"/>
    </x18tc:mentions>
  </x18tc:threadedComment>
  <x18tc:threadedComment ref="D197" dT="2026-04-02T20:36:40.00" personId="{a6e13c37-408c-4571-87bb-c0becaefa4da}" id="{1f193a00-3470-4f98-8bef-56dc1687f194}" done="0">
    <x18tc:text xml:space="preserve">Développé sur android @laetitia.ferrando@adevinta.com</x18tc:text>
    <x18tc:mentions>
      <x18tc:mention mentionpersonId="{d7f550f1-3ff4-45ff-9f5c-89d6e21305df}" mentionId="{195653a7-b415-4778-a2f3-fa82b1d53581}" startIndex="22" length="31"/>
    </x18tc:mentions>
  </x18tc:threadedComment>
  <x18tc:threadedComment ref="C249" dT="2026-02-05T15:57:21.00" personId="{763bb66f-8e2e-482b-b779-1ba292edabf6}" id="{5ad55646-938b-4325-8e6c-9102a35c2417}" done="1">
    <x18tc:text xml:space="preserve">@jonathan.bensadoun@adevinta.com idem j'ai rajouté et pré-rempli une ligne pour Chattermill. Je te laisse voir avec Carine pour compléter ce qui manque</x18tc:text>
    <x18tc:mentions>
      <x18tc:mention mentionpersonId="{c245b42f-a977-45be-bf58-4eeaa808a923}" mentionId="{15883f85-a875-4147-8693-b4b99d7e0552}" startIndex="0" length="32"/>
    </x18tc:mentions>
  </x18tc:threadedComment>
  <x18tc:threadedComment ref="C249" dT="2026-02-18T12:02:59.00" personId="{f9adebae-5648-4bc6-b1d3-e443308a0122}" id="{2f43bc98-09c2-44db-8fb9-c0c738e93373}" parentId="{5ad55646-938b-4325-8e6c-9102a35c2417}">
    <x18tc:text xml:space="preserve">@carine.rinaldi@adevinta.com
Marquée comme fermée</x18tc:text>
    <x18tc:mentions>
      <x18tc:mention mentionpersonId="{42e8256e-b5c3-471f-bbaf-664d61463b7c}" mentionId="{4c8927bb-5a2f-4f07-bbbf-e68c4e4caece}" startIndex="0" length="28"/>
    </x18tc:mentions>
  </x18tc:threadedComment>
  <x18tc:threadedComment ref="D166" dT="2025-10-14T14:32:57.00" personId="{7477dcb4-47cf-479a-899e-759b9b5ec3dd}" id="{807e870a-6946-46bc-9bd9-87ecb6e670ad}" done="1">
    <x18tc:text xml:space="preserve">en cours @laurent.borel@adevinta.com ?
Assigned to laurent.borel@adevinta.com
Attribué à laurent.borel@adevinta.com</x18tc:text>
    <x18tc:mentions>
      <x18tc:mention mentionpersonId="{a9f5263f-7c12-446b-b4c2-42e47b8f9273}" mentionId="{edb2ec68-f5f4-4c23-bcf0-686548ecb5dd}" startIndex="9" length="27"/>
    </x18tc:mentions>
  </x18tc:threadedComment>
  <x18tc:threadedComment ref="D166" dT="2025-10-16T15:56:15.00" personId="{77ffac8e-99d9-47b0-b9b1-70a75111a4e9}" id="{d6f0344f-fe68-4be5-97b2-b1ff548c5286}" parentId="{807e870a-6946-46bc-9bd9-87ecb6e670ad}">
    <x18tc:text xml:space="preserve">Hello,
Yes je l'ai partagé aux collègues manager DA, et @marie.favre@adevinta.com devrait faire un test avec Search qui a des AB tests de prévus.
Pour rappel le lien vers le custom GPT : https://chatgpt.com/g/g-68e90791ddd081a4a2337c8b27a8054a-confidence-helper
2 total reactions
Patrice Chaperon reacted with 👍 at 2025-10-16 16:15 PM
Utilisateur supprimé reacted with 👍 at 2025-10-29 15:03 PM
Marqué comme terminé</x18tc:text>
    <x18tc:mentions>
      <x18tc:mention mentionpersonId="{7bbc9b59-d282-4ae7-b789-54c015dc4f2b}" mentionId="{f77aaefc-4d59-4462-a918-dcca4490e50f}" startIndex="56" length="25"/>
    </x18tc:mentions>
    <x18tc:extLst>
      <ext uri="{F7C98A9C-CBB3-438F-8F68-D28B6AF4A901}">
        <xltc2:checksum/>
        <xltc2:hyperlink startIndex="187" length="74" url="https://chatgpt.com/g/g-68e90791ddd081a4a2337c8b27a8054a-confidence-helper"/>
      </ext>
    </x18tc:extLst>
  </x18tc:threadedComment>
  <x18tc:threadedComment ref="D168" dT="2026-01-15T14:22:36.00" personId="{7477dcb4-47cf-479a-899e-759b9b5ec3dd}" id="{40fc7e3c-c727-45b5-8ad1-b5959c23f3fe}" done="0">
    <x18tc:text xml:space="preserve">@ludovic.hazart@adevinta.com toujours d'actu ça?
Assigned to ludovic.hazart@adevinta.com
Attribué à ludovic.hazart@adevinta.com</x18tc:text>
    <x18tc:mentions>
      <x18tc:mention mentionpersonId="{95ab41fa-7448-454f-8a26-8f06d51b884d}" mentionId="{e61f08e1-d2f3-4dff-b383-a5792af9520f}" startIndex="0" length="28"/>
    </x18tc:mentions>
  </x18tc:threadedComment>
  <x18tc:threadedComment ref="D168" dT="2026-01-15T14:40:57.00" personId="{e991f77c-a821-43ba-a6fc-533872f53124}" id="{0386f8a5-1afb-44d6-9db3-3e6cc7311f6f}" parentId="{40fc7e3c-c727-45b5-8ad1-b5959c23f3fe}">
    <x18tc:text xml:space="preserve">Oui alors c'était en cours chez des HoP mais un peu mis en pause je vais réactivier (et aider probablement) :)</x18tc:text>
  </x18tc:threadedComment>
  <x18tc:threadedComment ref="D168" dT="2026-02-02T14:37:02.00" personId="{71f2e1a7-1479-4edd-a85b-0ba2cea1d0ad}" id="{aa90306f-ff3c-43c6-8db0-8a43213144fd}" parentId="{40fc7e3c-c727-45b5-8ad1-b5959c23f3fe}">
    <x18tc:text xml:space="preserve">Doublon de ligne 175 il me semble</x18tc:text>
  </x18tc:threadedComment>
  <x18tc:threadedComment ref="A1" dT="2025-10-31T14:11:20.00" personId="{763bb66f-8e2e-482b-b779-1ba292edabf6}" id="{f60d34ff-efa3-40e6-a52e-e8b4ea8fe07c}" done="0">
    <x18tc:text xml:space="preserve">check juridique à faire</x18tc:text>
  </x18tc:threadedComment>
  <x18tc:threadedComment ref="A1" dT="2026-02-05T17:30:00.00" personId="{081f11c9-3ffc-49d1-a453-9733c326cb95}" id="{90bb1137-88f2-4111-ba97-a482fb9c69ad}" parentId="{f60d34ff-efa3-40e6-a52e-e8b4ea8fe07c}">
    <x18tc:text xml:space="preserve">+ est-ce le bon endroit pour ce besoin, plutot à mettre dans les besoins de roadmap?</x18tc:text>
  </x18tc:threadedComment>
  <x18tc:threadedComment ref="A1" dT="2025-09-26T16:02:43.00" personId="{32233897-40a9-440e-943e-faa9b8b76f15}" id="{48337cd5-134d-4b47-aef8-863b41ddaf49}" done="1">
    <x18tc:text xml:space="preserve">@juliette.patry@adevinta.com @sabrina.amiri@adevinta.com @juliette.patry@adevinta.com @sabrina.amiri@adevinta.com pourrez vous mettre choisir un état d'avancement sur ce cas plz</x18tc:text>
    <x18tc:mentions>
      <x18tc:mention mentionpersonId="{14097870-fcd7-4b4c-9ad3-c7e56391b7c2}" mentionId="{ac73f01e-1b9d-47eb-b5d1-3c06f562868b}" startIndex="0" length="28"/>
      <x18tc:mention mentionpersonId="{f5085ad0-8433-4836-a78b-2995a9648ac3}" mentionId="{a9bf4659-d5c2-447f-94d5-01166585537f}" startIndex="29" length="27"/>
      <x18tc:mention mentionpersonId="{14097870-fcd7-4b4c-9ad3-c7e56391b7c2}" mentionId="{1d35bfe7-f291-4432-b5f6-efefa8db4b15}" startIndex="57" length="28"/>
      <x18tc:mention mentionpersonId="{f5085ad0-8433-4836-a78b-2995a9648ac3}" mentionId="{f8b0aed0-d397-4e6e-8693-3ad5ca24f3f6}" startIndex="86" length="27"/>
    </x18tc:mentions>
  </x18tc:threadedComment>
  <x18tc:threadedComment ref="C302" dT="2025-09-09T08:34:30.00" personId="{64e1fad1-1a6d-466a-b68d-85c5db6a5701}" id="{81b3f86e-7bb5-41f8-b9f0-27534e484758}" done="0">
    <x18tc:text xml:space="preserve">est ce que l'assistant officiel des QA</x18tc:text>
  </x18tc:threadedComment>
  <x18tc:threadedComment ref="A1" dT="2026-02-05T17:30:38.00" personId="{081f11c9-3ffc-49d1-a453-9733c326cb95}" id="{cb934eae-92ce-42ed-a331-62d154b1ef5d}" done="0">
    <x18tc:text xml:space="preserve">@jonathan.bensadoun@adevinta.com si l'IA sait fait ca il sait répondre totalement à la demande non ?
Assigned to jonathan.bensadoun@adevinta.com
Attribué à jonathan.bensadoun@adevinta.com</x18tc:text>
    <x18tc:mentions>
      <x18tc:mention mentionpersonId="{c245b42f-a977-45be-bf58-4eeaa808a923}" mentionId="{9e5abe7c-8f1a-482c-85b7-dcbf64b62e5a}" startIndex="0" length="32"/>
    </x18tc:mentions>
  </x18tc:threadedComment>
  <x18tc:threadedComment ref="A1" dT="2026-02-13T08:02:46.00" personId="{deff7ef5-f4f4-4af1-869e-c4350f1c5738}" id="{566cbf1a-bf7f-457a-9afd-e01f40234a49}" parentId="{cb934eae-92ce-42ed-a331-62d154b1ef5d}">
    <x18tc:text xml:space="preserve">Mayday pourra aider mais en effet, idée abandonée</x18tc:text>
  </x18tc:threadedComment>
  <x18tc:threadedComment ref="D164" dT="2025-10-01T13:54:32.00" personId="{b021f852-a389-4a33-89a9-e16d3fca11ad}" id="{f366d48c-b6d7-4db4-a553-0383a6cd3453}" done="1">
    <x18tc:text xml:space="preserve">kezako ? @gilles.lalyre.ext@adevinta.com
Assigned to </x18tc:text>
    <x18tc:mentions>
      <x18tc:mention mentionpersonId="{84c51d00-98e9-4d9f-ad1a-71c575a6814f}" mentionId="{91041eb2-8d1b-4cf5-90c8-4df1790c514b}" startIndex="9" length="31"/>
    </x18tc:mentions>
  </x18tc:threadedComment>
  <x18tc:threadedComment ref="D164" dT="2025-10-07T13:00:25.00" personId="{64e1fad1-1a6d-466a-b68d-85c5db6a5701}" id="{104a8221-6f0f-4733-8aa0-214fc60fc8ae}" parentId="{f366d48c-b6d7-4db4-a553-0383a6cd3453}">
    <x18tc:text xml:space="preserve">ben c'est Pixel , mais a l'époque je voualis le faire via Notebook LM</x18tc:text>
  </x18tc:threadedComment>
  <x18tc:threadedComment ref="D164" dT="2025-10-13T13:25:43.00" personId="{b021f852-a389-4a33-89a9-e16d3fca11ad}" id="{3add4416-2bc7-4f22-b37c-8874ff6838b3}" parentId="{f366d48c-b6d7-4db4-a553-0383a6cd3453}">
    <x18tc:text xml:space="preserve">Top, merci
Marquée comme fermée</x18tc:text>
  </x18tc:threadedComment>
  <x18tc:threadedComment ref="D170" dT="2026-02-02T15:03:19.00" personId="{71f2e1a7-1479-4edd-a85b-0ba2cea1d0ad}" id="{cc492ad4-b1bc-4623-96ca-b9d9b5a93478}" done="0">
    <x18tc:text xml:space="preserve">@ludovic.hazart@adevinta.com une idée de qui pourrait prendre ça ?</x18tc:text>
    <x18tc:mentions>
      <x18tc:mention mentionpersonId="{95ab41fa-7448-454f-8a26-8f06d51b884d}" mentionId="{95a25150-6eb4-4ea3-a537-8e2974ed8640}" startIndex="0" length="28"/>
    </x18tc:mentions>
  </x18tc:threadedComment>
  <x18tc:threadedComment ref="A1" dT="2025-10-14T14:28:23.00" personId="{7477dcb4-47cf-479a-899e-759b9b5ec3dd}" id="{3aabb3b7-6f29-4e7b-bb5e-4e16ea52eeab}" done="0">
    <x18tc:text xml:space="preserve">pas besoin d'ia je pense, on a deja des moulinettes fournis par Tableau pour faire ça, c'est de la gouvernance</x18tc:text>
  </x18tc:threadedComment>
  <x18tc:threadedComment ref="C236" dT="2026-02-05T15:54:03.00" personId="{763bb66f-8e2e-482b-b779-1ba292edabf6}" id="{570076fa-70e9-4518-b5d2-73e44810d9e4}" done="1">
    <x18tc:text xml:space="preserve">Pour info @jonathan.bensadoun@adevinta.com, ligne ajoutée pour QA. J'ai complété ce que je pouvais. Je te laisse voir avec Carine pour compléter ce qui manque ?</x18tc:text>
    <x18tc:mentions>
      <x18tc:mention mentionpersonId="{c245b42f-a977-45be-bf58-4eeaa808a923}" mentionId="{9bace8ec-cd55-4bfd-ada9-aac301c7a7c8}" startIndex="10" length="32"/>
    </x18tc:mentions>
  </x18tc:threadedComment>
  <x18tc:threadedComment ref="C236" dT="2026-02-09T15:16:08.00" personId="{081f11c9-3ffc-49d1-a453-9733c326cb95}" id="{f041dc83-e52e-4697-93a3-ecc1b31a27c0}" parentId="{570076fa-70e9-4518-b5d2-73e44810d9e4}">
    <x18tc:text xml:space="preserve">@cecile.polard@adevinta.com peux tu prendre le relai
Marquée comme fermée</x18tc:text>
    <x18tc:mentions>
      <x18tc:mention mentionpersonId="{c1d48349-6ee7-466e-846d-3ff0ce68a0b6}" mentionId="{4496b09f-a974-4c48-976d-f9ae568c34b2}" startIndex="0" length="27"/>
    </x18tc:mentions>
  </x18tc:threadedComment>
  <x18tc:threadedComment ref="J202" dT="2025-10-29T08:55:52.00" personId="{32233897-40a9-440e-943e-faa9b8b76f15}" id="{1fa91338-08d7-4d28-90a8-a4aecbbc5555}" done="0">
    <x18tc:text xml:space="preserve">@gilles.lalyre.ext@adevinta.com @abderrahmane.abdallahoum@adevinta.com Hello pourriez-vous ajouter la population concernée, si c'est un métier spécifique dans l'UX (ex. research) ou si tout l'UX ? Thanks !
Assigned to </x18tc:text>
    <x18tc:mentions>
      <x18tc:mention mentionpersonId="{84c51d00-98e9-4d9f-ad1a-71c575a6814f}" mentionId="{d6dfbf68-211a-43d2-ba33-3752dd6b33d8}" startIndex="0" length="31"/>
      <x18tc:mention mentionpersonId="{9f9d6f2b-05c8-43db-ad04-24027cc667aa}" mentionId="{e8b9c16f-f714-4525-a14a-f581e98da6b0}" startIndex="32" length="38"/>
    </x18tc:mentions>
  </x18tc:threadedComment>
  <x18tc:threadedComment ref="J202" dT="2025-10-29T10:10:51.00" personId="{64e1fad1-1a6d-466a-b68d-85c5db6a5701}" id="{ea0c9a89-0410-47ca-b6fe-5e9c26e7deb6}" parentId="{1fa91338-08d7-4d28-90a8-a4aecbbc5555}">
    <x18tc:text xml:space="preserve">ce sera utile pour les user researcher</x18tc:text>
  </x18tc:threadedComment>
  <x18tc:threadedComment ref="J202" dT="2025-10-29T10:39:41.00" personId="{b021f852-a389-4a33-89a9-e16d3fca11ad}" id="{c9eeb02a-20fd-48a7-baee-56246533addd}" parentId="{1fa91338-08d7-4d28-90a8-a4aecbbc5555}">
    <x18tc:text xml:space="preserve">*Tous les UX car ils font tous du research a différents niveaux (stratégique vs tactique)</x18tc:text>
  </x18tc:threadedComment>
  <x18tc:threadedComment ref="E188" dT="2026-04-02T20:35:25.00" personId="{a6e13c37-408c-4571-87bb-c0becaefa4da}" id="{3aa0665d-124c-4850-8c52-394cb0c85ead}" done="0">
    <x18tc:text xml:space="preserve">A supprimer @laetitia.ferrando@adevinta.com</x18tc:text>
    <x18tc:mentions>
      <x18tc:mention mentionpersonId="{d7f550f1-3ff4-45ff-9f5c-89d6e21305df}" mentionId="{eb8b279f-0cca-4ac6-87a0-38aa7cd30f07}" startIndex="12" length="31"/>
    </x18tc:mentions>
  </x18tc:threadedComment>
  <x18tc:threadedComment ref="A1" dT="2025-09-26T16:03:03.00" personId="{32233897-40a9-440e-943e-faa9b8b76f15}" id="{eab6a661-7b81-4099-8b22-503cdf70a9ab}" done="1">
    <x18tc:text xml:space="preserve">@juliette.patry@adevinta.com @sabrina.amiri@adevinta.com pourrez vous mettre choisir un état d'avancement sur ce cas plz</x18tc:text>
    <x18tc:mentions>
      <x18tc:mention mentionpersonId="{14097870-fcd7-4b4c-9ad3-c7e56391b7c2}" mentionId="{49f06cc0-33cb-4165-92f1-c9d35030dd0e}" startIndex="0" length="28"/>
      <x18tc:mention mentionpersonId="{f5085ad0-8433-4836-a78b-2995a9648ac3}" mentionId="{013714b6-a4ed-4e38-b8b4-6af318459f27}" startIndex="29" length="27"/>
    </x18tc:mentions>
  </x18tc:threadedComment>
  <x18tc:threadedComment ref="E191" dT="2026-04-02T20:35:43.00" personId="{a6e13c37-408c-4571-87bb-c0becaefa4da}" id="{bff8876b-d02b-4ee0-ab42-126ae46546c4}" done="1">
    <x18tc:text xml:space="preserve">Agent claude code - Termine
@laetitia.ferrando@adevinta.com</x18tc:text>
    <x18tc:mentions>
      <x18tc:mention mentionpersonId="{d7f550f1-3ff4-45ff-9f5c-89d6e21305df}" mentionId="{a4ba4538-6bc5-4c74-a2cc-a1793e84351f}" startIndex="28" length="31"/>
    </x18tc:mentions>
  </x18tc:threadedComment>
  <x18tc:threadedComment ref="D179" dT="2026-02-02T14:28:47.00" personId="{71f2e1a7-1479-4edd-a85b-0ba2cea1d0ad}" id="{8b1f695d-d89b-4a7a-a994-d78eb6323148}" done="0">
    <x18tc:text xml:space="preserve">@julia.langlois@adevinta.com est ce que c'est toujours d'actualité ?
1 total reaction
Julia Langlois reacted with 👍 at 2026-02-16 13:48 PM</x18tc:text>
    <x18tc:mentions>
      <x18tc:mention mentionpersonId="{433dffa4-a73c-4a84-baa2-660eb1593217}" mentionId="{ebc9cb08-cf4d-42c6-b9d4-a73db62ea212}" startIndex="0" length="28"/>
    </x18tc:mentions>
  </x18tc:threadedComment>
  <x18tc:threadedComment ref="D179" dT="2026-04-02T20:33:34.00" personId="{a6e13c37-408c-4571-87bb-c0becaefa4da}" id="{184ae572-e1f2-4e03-830f-03d2c12f39e3}" parentId="{8b1f695d-d89b-4a7a-a994-d78eb6323148}">
    <x18tc:text xml:space="preserve">On a le keydate - c'est une regle chat gpt @laetitia.ferrando@adevinta.com</x18tc:text>
    <x18tc:mentions>
      <x18tc:mention mentionpersonId="{d7f550f1-3ff4-45ff-9f5c-89d6e21305df}" mentionId="{d073f97d-eb41-4d7d-a487-068b884cca09}" startIndex="43" length="31"/>
    </x18tc:mentions>
  </x18tc:threadedComment>
  <x18tc:threadedComment ref="D179" dT="2026-04-03T07:36:39.00" personId="{a09761ee-a81a-451d-a216-2e1386bd698c}" id="{1c6cb78c-e60c-4da1-b6d5-fb0e7c4a1253}" parentId="{8b1f695d-d89b-4a7a-a994-d78eb6323148}">
    <x18tc:text xml:space="preserve">j'ai mal formulé, en effet les dates de MEP sont dans les keydates mais il nous manque une cartographie avec l'ownership des parcours/feature. Souvent lorsqu'on a des bugs ou questions, les mêmes questions reviennent (ex: qui est owner de la page pro? encore remonté cette semaine)</x18tc:text>
  </x18tc:threadedComment>
  <x18tc:threadedComment ref="D343" dT="2026-02-05T17:29:20.00" personId="{081f11c9-3ffc-49d1-a453-9733c326cb95}" id="{2af0c785-2631-417d-8fcf-5bd953a700a4}" done="0">
    <x18tc:text xml:space="preserve">@jonathan.bensadoun@adevinta.com c'est mayday qui fait ca maintenant ?
cc @cecile.polard@adevinta.com
Assigned to jonathan.bensadoun@adevinta.com
Attribué à jonathan.bensadoun@adevinta.com</x18tc:text>
    <x18tc:mentions>
      <x18tc:mention mentionpersonId="{c245b42f-a977-45be-bf58-4eeaa808a923}" mentionId="{ffdd0b91-782e-402b-b44b-214935a3edc3}" startIndex="0" length="32"/>
      <x18tc:mention mentionpersonId="{c1d48349-6ee7-466e-846d-3ff0ce68a0b6}" mentionId="{5ff1f757-7780-442b-9fa0-ec7798abbe7e}" startIndex="74" length="27"/>
    </x18tc:mentions>
  </x18tc:threadedComment>
  <x18tc:threadedComment ref="D343" dT="2026-02-06T07:33:20.00" personId="{f9adebae-5648-4bc6-b1d3-e443308a0122}" id="{8a892b75-cee1-42f3-b6f7-83930a909aff}" parentId="{2af0c785-2631-417d-8fcf-5bd953a700a4}">
    <x18tc:text xml:space="preserve">non,  nous avons mis un c pilote sans résumé</x18tc:text>
  </x18tc:threadedComment>
  <x18tc:threadedComment ref="D343" dT="2026-02-06T15:48:52.00" personId="{081f11c9-3ffc-49d1-a453-9733c326cb95}" id="{ce7f718e-dd75-44bc-a017-4633f225383a}" parentId="{2af0c785-2631-417d-8fcf-5bd953a700a4}">
    <x18tc:text xml:space="preserve">à discuter</x18tc:text>
  </x18tc:threadedComment>
  <x18tc:threadedComment ref="D343" dT="2026-02-13T08:01:17.00" personId="{deff7ef5-f4f4-4af1-869e-c4350f1c5738}" id="{cbf59306-c560-4bbd-baa8-5eb2fb84be9e}" parentId="{2af0c785-2631-417d-8fcf-5bd953a700a4}">
    <x18tc:text xml:space="preserve">c'est un besoin remonté par les équipes  internes et les partenaires. C'était une des fonctionnalités appréciées de zendesk AI.</x18tc:text>
  </x18tc:threadedComment>
  <x18tc:threadedComment ref="D256" dT="2025-10-02T13:25:17.00" personId="{d8ab5fb5-b6ee-43ed-8f95-11f0305d7f9b}" id="{e0a7a095-fc64-4acf-9162-b2d6454964c7}" done="1">
    <x18tc:text xml:space="preserve">@pauletienne.bauchet@adevinta.com Peux-tu demander à chaque owner de Use Cases côté RH de me contacter pour faire une revue juridique stp?</x18tc:text>
    <x18tc:mentions>
      <x18tc:mention mentionpersonId="{3a08e8a2-4962-4791-9ca5-4758d68da6ff}" mentionId="{e58dbd58-8e7e-4211-a166-7e5f0ea7f828}" startIndex="0" length="33"/>
    </x18tc:mentions>
  </x18tc:threadedComment>
  <x18tc:threadedComment ref="A1" dT="2025-09-26T16:02:51.00" personId="{32233897-40a9-440e-943e-faa9b8b76f15}" id="{6add0ddb-c0f3-4a07-9a53-b00aeb27a13f}" done="1">
    <x18tc:text xml:space="preserve">@juliette.patry@adevinta.com @sabrina.amiri@adevinta.com pourrez vous mettre choisir un état d'avancement sur ce cas plz</x18tc:text>
    <x18tc:mentions>
      <x18tc:mention mentionpersonId="{14097870-fcd7-4b4c-9ad3-c7e56391b7c2}" mentionId="{7c850df9-acc2-4ae2-bb8c-a6e2fb9437a1}" startIndex="0" length="28"/>
      <x18tc:mention mentionpersonId="{f5085ad0-8433-4836-a78b-2995a9648ac3}" mentionId="{44586c1e-8f6f-406d-a4e0-07f4800026ce}" startIndex="29" length="27"/>
    </x18tc:mentions>
  </x18tc:threadedComment>
  <x18tc:threadedComment ref="E199" dT="2026-04-02T20:37:03.00" personId="{a6e13c37-408c-4571-87bb-c0becaefa4da}" id="{48e56563-72c3-46f7-8118-685d06484dd6}" done="1">
    <x18tc:text xml:space="preserve">Revue des maquettes et wireframe : done @laetitia.ferrando@adevinta.com</x18tc:text>
    <x18tc:mentions>
      <x18tc:mention mentionpersonId="{d7f550f1-3ff4-45ff-9f5c-89d6e21305df}" mentionId="{f9933826-c560-4e85-bbe0-7c529fa4f160}" startIndex="40" length="31"/>
    </x18tc:mentions>
  </x18tc:threadedComment>
  <x18tc:threadedComment ref="E199" dT="2026-04-02T20:44:46.00" personId="{32233897-40a9-440e-943e-faa9b8b76f15}" id="{830c3e42-5bbe-4427-9f9c-feaaf973ce7f}" parentId="{48e56563-72c3-46f7-8118-685d06484dd6}">
    <x18tc:text xml:space="preserve">ok
Marquée comme fermée</x18tc:text>
  </x18tc:threadedComment>
  <x18tc:threadedComment ref="K6" dT="2025-09-29T16:19:33.00" personId="{d8ab5fb5-b6ee-43ed-8f95-11f0305d7f9b}" id="{6512c817-720c-4089-b21a-2aece5e55b6e}" done="0">
    <x18tc:text xml:space="preserve">@valentin.lemarec@adevinta.com on n'a pas évoqué celui-ci pendant le call mais il me semble un peu sensible</x18tc:text>
    <x18tc:mentions>
      <x18tc:mention mentionpersonId="{aeaa6528-5c89-4b52-a25a-35281949bdc9}" mentionId="{f81c1dce-1d9f-4c5d-aa91-66c683fd87c5}" startIndex="0" length="30"/>
    </x18tc:mentions>
  </x18tc:threadedComment>
  <x18tc:threadedComment ref="K6" dT="2025-10-29T08:14:18.00" personId="{3e0aa1f8-ac1d-4235-9db1-6e7e59c860b5}" id="{075a4136-5f4a-4dc2-8eb6-f3afba165d1f}" parentId="{6512c817-720c-4089-b21a-2aece5e55b6e}">
    <x18tc:text xml:space="preserve">Je ne suis pas sûr de comprendre exactement ce qu'il en est de celui-ci. C'est quoi "concurrence" / "plans de tournée FS" ?</x18tc:text>
  </x18tc:threadedComment>
  <x18tc:threadedComment ref="K6" dT="2025-10-29T08:54:50.00" personId="{32233897-40a9-440e-943e-faa9b8b76f15}" id="{c8f29487-14fb-4a8d-9152-a3805a2c41b4}" parentId="{6512c817-720c-4089-b21a-2aece5e55b6e}">
    <x18tc:text xml:space="preserve">Hello @valentin.lemarec@adevinta.com n'hésite pas à prendre contact directement avec les référents IA qui sont là pour porter ces cas dans l'ensemble des départements. Côté Auto c'est @elsa.cadoux@adevinta.com et @marc.chaperon@adevinta.com ou directement avec les owners qui sont dans la colonne F, ça sera plus simple si vous souhaitez comprendre ce qu'il y a derrière les lignes pour les cadrer au mieux. Thanks !</x18tc:text>
    <x18tc:mentions>
      <x18tc:mention mentionpersonId="{aeaa6528-5c89-4b52-a25a-35281949bdc9}" mentionId="{8ef0b7b1-a953-41b0-85a1-aac2220582d6}" startIndex="6" length="30"/>
      <x18tc:mention mentionpersonId="{61d73ee8-9fec-467d-836f-6f533cb5f205}" mentionId="{c83e0982-ea06-4bfe-9612-c4a72c2017d0}" startIndex="184" length="25"/>
      <x18tc:mention mentionpersonId="{e0e0e1be-3852-46bf-9c74-c48cec8fd1dd}" mentionId="{704f16d6-d366-4e3a-adc1-0c48d9251965}" startIndex="213" length="27"/>
    </x18tc:mentions>
  </x18tc:threadedComment>
  <x18tc:threadedComment ref="K6" dT="2025-10-29T11:16:53.00" personId="{380fd131-6778-4f6b-b377-53b5923836d4}" id="{42e225b6-28a0-4f98-a2a2-0abe28b2a2d8}" parentId="{6512c817-720c-4089-b21a-2aece5e55b6e}">
    <x18tc:text xml:space="preserve">@thibaut.prat@adevinta.com quand tu auras une minute, si tu veux bien aider Valentin sur le sujet. Si je me rappelle bien ce que vous voulez c'est un agent IA plugé sur Salesforce pour pouvoir faire des requêtes, c'est ça?</x18tc:text>
    <x18tc:mentions>
      <x18tc:mention mentionpersonId="{3720f24b-a5c4-4b80-9faf-87650b063d88}" mentionId="{dfd45961-dce9-4ade-b382-b0f2f5a5a95f}" startIndex="0" length="26"/>
    </x18tc:mentions>
  </x18tc:threadedComment>
  <x18tc:threadedComment ref="A1" dT="2025-09-26T16:03:11.00" personId="{32233897-40a9-440e-943e-faa9b8b76f15}" id="{96857288-1a1f-409d-b5b8-003d98b208f3}" done="1">
    <x18tc:text xml:space="preserve">@juliette.patry@adevinta.com @sabrina.amiri@adevinta.com pourrez vous mettre choisir un état d'avancement sur ce cas plz</x18tc:text>
    <x18tc:mentions>
      <x18tc:mention mentionpersonId="{14097870-fcd7-4b4c-9ad3-c7e56391b7c2}" mentionId="{964a3b48-5160-4247-aa26-fb829f8a0485}" startIndex="0" length="28"/>
      <x18tc:mention mentionpersonId="{f5085ad0-8433-4836-a78b-2995a9648ac3}" mentionId="{ec083bf1-5021-4a3b-a052-2f63a50d1f60}" startIndex="29" length="27"/>
    </x18tc:mentions>
  </x18tc:threadedComment>
  <x18tc:threadedComment ref="G146" dT="2025-09-24T12:40:05.00" personId="{32233897-40a9-440e-943e-faa9b8b76f15}" id="{de2e7ebb-ad1c-4f2f-aea6-4e180505accf}" done="1">
    <x18tc:text xml:space="preserve">@anaise.blanchet@adevinta.com @laetitia.sebaoun@adevinta.com est ce que ce cas est pris directement au juridique?</x18tc:text>
    <x18tc:mentions>
      <x18tc:mention mentionpersonId="{9d50faf5-0bb7-4ab2-81ed-2b78d10dc59e}" mentionId="{1ee9efa7-394a-4563-b0f1-e0b0cd27a69e}" startIndex="0" length="29"/>
      <x18tc:mention mentionpersonId="{acdce0a4-b582-4764-b9f2-37af0285938c}" mentionId="{01a403ed-23d2-4da5-a17e-87ddf3b2717e}" startIndex="30" length="30"/>
    </x18tc:mentions>
  </x18tc:threadedComment>
  <x18tc:threadedComment ref="G146" dT="2025-09-24T13:08:16.00" personId="{6854bcd7-a0ab-47e5-a5b8-8ff1a9625009}" id="{edf36fc8-3854-46e9-bebb-9d971d85008d}" parentId="{de2e7ebb-ad1c-4f2f-aea6-4e180505accf}">
    <x18tc:text xml:space="preserve">C'est un cas que nous prévoyons lors de la formation du 30/09</x18tc:text>
  </x18tc:threadedComment>
  <x18tc:threadedComment ref="G146" dT="2025-09-24T13:40:06.00" personId="{32233897-40a9-440e-943e-faa9b8b76f15}" id="{79aefbc4-6304-4e85-9c7b-e21a380a93de}" parentId="{de2e7ebb-ad1c-4f2f-aea6-4e180505accf}">
    <x18tc:text xml:space="preserve">ok top cc @yohan.koehler@adevinta.com
Marquée comme fermée</x18tc:text>
    <x18tc:mentions>
      <x18tc:mention mentionpersonId="{0210c571-ef97-4e5f-a7ac-ef003dd89a40}" mentionId="{5a91bbd4-3275-4e85-9c44-5bcf0c1d446d}" startIndex="10" length="27"/>
    </x18tc:mentions>
  </x18tc:threadedComment>
  <x18tc:threadedComment ref="O70" dT="2025-11-26T14:08:15.00" personId="{c3af8187-bff8-44f3-b660-e9cf0d567101}" id="{de38a3ef-1d93-428e-ae08-5231271fcc9e}" done="0">
    <x18tc:text xml:space="preserve">@ibrahim.illiassou@adevinta.com tu peux remplir les colonnes K, L, et M ?
Assigned to ibrahim.illiassou@adevinta.com
Attribué à ibrahim.illiassou@adevinta.com</x18tc:text>
    <x18tc:mentions>
      <x18tc:mention mentionpersonId="{ec12d866-ec01-4ff9-836f-572f75553935}" mentionId="{6b11014d-417d-4372-b830-5b08d7f482f6}" startIndex="0" length="31"/>
    </x18tc:mentions>
  </x18tc:threadedComment>
  <x18tc:threadedComment ref="E250" dT="2025-09-26T16:02:58.00" personId="{32233897-40a9-440e-943e-faa9b8b76f15}" id="{ac86541d-5e15-499e-a345-dc1399dc8a09}" done="1">
    <x18tc:text xml:space="preserve">@juliette.patry@adevinta.com @sabrina.amiri@adevinta.com pourrez vous mettre choisir un état d'avancement sur ce cas plz</x18tc:text>
    <x18tc:mentions>
      <x18tc:mention mentionpersonId="{14097870-fcd7-4b4c-9ad3-c7e56391b7c2}" mentionId="{f404b11d-ca1b-428e-82b1-6bdc65e1bcad}" startIndex="0" length="28"/>
      <x18tc:mention mentionpersonId="{f5085ad0-8433-4836-a78b-2995a9648ac3}" mentionId="{59a792a0-8fb4-4144-8fcc-2b721d3a7113}" startIndex="29" length="27"/>
    </x18tc:mentions>
  </x18tc:threadedComment>
  <x18tc:threadedComment ref="G149" dT="2025-09-26T16:04:36.00" personId="{32233897-40a9-440e-943e-faa9b8b76f15}" id="{8708e29f-c210-4447-91b2-ce5ad872fa50}" done="1">
    <x18tc:text xml:space="preserve">@anaise.blanchet@adevinta.com @laetitia.sebaoun@adevinta.com pourrez vous mettre un owner, vous ou quelqu'un d'autre côté juridique qui peut porter ce cas et en être responsable plz? Thanks</x18tc:text>
    <x18tc:mentions>
      <x18tc:mention mentionpersonId="{9d50faf5-0bb7-4ab2-81ed-2b78d10dc59e}" mentionId="{c1c16479-d704-4f09-8e6f-01b988248d0b}" startIndex="0" length="29"/>
      <x18tc:mention mentionpersonId="{acdce0a4-b582-4764-b9f2-37af0285938c}" mentionId="{d40daab3-a5c8-48ea-a255-d13c06b1de0f}" startIndex="30" length="30"/>
    </x18tc:mentions>
  </x18tc:threadedComment>
  <x18tc:threadedComment ref="A1" dT="2026-02-05T17:32:36.00" personId="{081f11c9-3ffc-49d1-a453-9733c326cb95}" id="{76718ae1-a166-461d-8c5f-2280943af6b2}" done="0">
    <x18tc:text xml:space="preserve">@jonathan.bensadoun@adevinta.com mayday ?
Assigned to jonathan.bensadoun@adevinta.com
Attribué à jonathan.bensadoun@adevinta.com</x18tc:text>
    <x18tc:mentions>
      <x18tc:mention mentionpersonId="{c245b42f-a977-45be-bf58-4eeaa808a923}" mentionId="{6ff43459-a55f-49fa-af22-a703c02e0a76}" startIndex="0" length="32"/>
    </x18tc:mentions>
  </x18tc:threadedComment>
  <x18tc:threadedComment ref="E149" dT="2025-09-24T12:38:28.00" personId="{32233897-40a9-440e-943e-faa9b8b76f15}" id="{829c6472-410a-487a-a598-7f88fe6bff59}" done="1">
    <x18tc:text xml:space="preserve">@anaise.blanchet@adevinta.com est ce qu'on peut mettre live ce cas? Thanks
Assigned to anaise.blanchet@adevinta.com
Attribué à anaise.blanchet@adevinta.com</x18tc:text>
    <x18tc:mentions>
      <x18tc:mention mentionpersonId="{9d50faf5-0bb7-4ab2-81ed-2b78d10dc59e}" mentionId="{c8cd81c3-119a-40a7-ae1e-0aa8263dd874}" startIndex="0" length="29"/>
    </x18tc:mentions>
  </x18tc:threadedComment>
  <x18tc:threadedComment ref="E149" dT="2025-09-24T13:26:57.00" personId="{6854bcd7-a0ab-47e5-a5b8-8ff1a9625009}" id="{afae6c26-4e51-4d24-bdd3-9cbf75e54fd2}" parentId="{829c6472-410a-487a-a598-7f88fe6bff59}">
    <x18tc:text xml:space="preserve">Même si ce n'est pas utilisé par les équipes concernées (TLV) ?</x18tc:text>
  </x18tc:threadedComment>
  <x18tc:threadedComment ref="E149" dT="2025-09-24T13:38:11.00" personId="{32233897-40a9-440e-943e-faa9b8b76f15}" id="{24da5b3c-80b6-4206-98af-be619ec36d98}" parentId="{829c6472-410a-487a-a598-7f88fe6bff59}">
    <x18tc:text xml:space="preserve">du coup je veux bien qu'on voit les personnes qui doivent avoir accès genre ceux qui vous sollicitent le plus RC par exemple. Ensuite on leur donne accès et vous le mettez en place avec eux pour qu'ils l'utilisent. Marie-Laure est ok pour donner accès à certains qui vont l'utiliser.
Marqué comme terminé</x18tc:text>
  </x18tc:threadedComment>
  <x18tc:threadedComment ref="A1" dT="2025-10-14T14:27:18.00" personId="{7477dcb4-47cf-479a-899e-759b9b5ec3dd}" id="{c7029c6d-2a5a-4547-ba7e-131b917231ee}" done="0">
    <x18tc:text xml:space="preserve">doublon ligne 120 non?</x18tc:text>
  </x18tc:threadedComment>
  <x18tc:threadedComment ref="E194" dT="2026-04-02T20:36:12.00" personId="{a6e13c37-408c-4571-87bb-c0becaefa4da}" id="{4ea26ef3-a42b-4624-9094-499fe804882b}" done="1">
    <x18tc:text xml:space="preserve">C'est on track @laetitia.ferrando@adevinta.com</x18tc:text>
    <x18tc:mentions>
      <x18tc:mention mentionpersonId="{d7f550f1-3ff4-45ff-9f5c-89d6e21305df}" mentionId="{1ad9180e-1987-4b6a-aff6-5786ece8ddc9}" startIndex="15" length="31"/>
    </x18tc:mentions>
  </x18tc:threadedComment>
  <x18tc:threadedComment ref="E194" dT="2026-04-02T20:45:45.00" personId="{32233897-40a9-440e-943e-faa9b8b76f15}" id="{ee44e6cb-0d29-4cfa-814c-37232b24f954}" parentId="{4ea26ef3-a42b-4624-9094-499fe804882b}">
    <x18tc:text xml:space="preserve">modifié
Marquée comme fermée</x18tc:text>
  </x18tc:threadedComment>
  <x18tc:threadedComment ref="A1" dT="2026-02-05T17:30:51.00" personId="{081f11c9-3ffc-49d1-a453-9733c326cb95}" id="{04594844-c02e-4908-b509-958a44d20847}" done="1">
    <x18tc:text xml:space="preserve">@jonathan.bensadoun@adevinta.com mayday ?
Assigned to jonathan.bensadoun@adevinta.com
Attribué à jonathan.bensadoun@adevinta.com</x18tc:text>
    <x18tc:mentions>
      <x18tc:mention mentionpersonId="{c245b42f-a977-45be-bf58-4eeaa808a923}" mentionId="{901a4ce6-7111-4b69-8392-71b9f731ccbe}" startIndex="0" length="32"/>
    </x18tc:mentions>
  </x18tc:threadedComment>
  <x18tc:threadedComment ref="N1" dT="2025-11-06T13:19:34.00" personId="{32233897-40a9-440e-943e-faa9b8b76f15}" id="{33da891e-8a98-413f-a404-ae9bc3772cb6}" done="1">
    <x18tc:text xml:space="preserve">@elsa.cadoux@adevinta.com non commencé ou en cours en vrai si vous pouvez pas finaliser le cas par ex. a cause de qq chose c'est pas mal de l'avoir en tête de notre côté
Assigned to elsa.cadoux@adevinta.com
Attribué à elsa.cadoux@adevinta.com</x18tc:text>
    <x18tc:mentions>
      <x18tc:mention mentionpersonId="{61d73ee8-9fec-467d-836f-6f533cb5f205}" mentionId="{58386d10-fa81-4ae3-8fb1-0785e3b3cfd8}" startIndex="0" length="25"/>
    </x18tc:mentions>
  </x18tc:threadedComment>
  <x18tc:threadedComment ref="D178" dT="2026-02-02T14:28:31.00" personId="{71f2e1a7-1479-4edd-a85b-0ba2cea1d0ad}" id="{f0bbf1bf-9530-4624-ab93-8b3c4ef00472}" done="0">
    <x18tc:text xml:space="preserve">@anais.langlet@adevinta.com same question :)</x18tc:text>
    <x18tc:mentions>
      <x18tc:mention mentionpersonId="{4bb2ae8a-f46c-409b-a9c3-70bbbdd0a52d}" mentionId="{05a29a5c-857f-4160-809c-a743623d5d1c}" startIndex="0" length="27"/>
    </x18tc:mentions>
  </x18tc:threadedComment>
  <x18tc:threadedComment ref="G202" dT="2025-10-02T13:17:57.00" personId="{d8ab5fb5-b6ee-43ed-8f95-11f0305d7f9b}" id="{6389a1a5-6a4d-4ee2-8fa3-649a4f68a8f5}" done="0">
    <x18tc:text xml:space="preserve">@abderrahmane.abdallahoum@adevinta.com @gilles.lalyre.ext@adevinta.com : N'hésitez pas à m'envoyer une invitation pour la revue juridique de vos use cases</x18tc:text>
    <x18tc:mentions>
      <x18tc:mention mentionpersonId="{9f9d6f2b-05c8-43db-ad04-24027cc667aa}" mentionId="{6eb76a1b-0a1c-49d7-a956-b11107428b8f}" startIndex="0" length="38"/>
      <x18tc:mention mentionpersonId="{84c51d00-98e9-4d9f-ad1a-71c575a6814f}" mentionId="{6be3378b-89ae-4486-a0da-c7a30f61ab56}" startIndex="39" length="31"/>
    </x18tc:mentions>
  </x18tc:threadedComment>
  <x18tc:threadedComment ref="G202" dT="2025-10-29T08:57:14.00" personId="{32233897-40a9-440e-943e-faa9b8b76f15}" id="{4f4aa095-add1-4308-9f01-8efb9a54ffbd}" parentId="{6389a1a5-6a4d-4ee2-8fa3-649a4f68a8f5}">
    <x18tc:text xml:space="preserve">Hello à tous @abderrahmane.abdallahoum@adevinta.com @gilles.lalyre.ext@adevinta.com est ce que cela a eu lieu please?</x18tc:text>
    <x18tc:mentions>
      <x18tc:mention mentionpersonId="{9f9d6f2b-05c8-43db-ad04-24027cc667aa}" mentionId="{b4781fff-f390-4669-a62e-b7cb42e8cb62}" startIndex="13" length="38"/>
      <x18tc:mention mentionpersonId="{84c51d00-98e9-4d9f-ad1a-71c575a6814f}" mentionId="{6a720239-c132-4037-8e41-17d68faa04bd}" startIndex="52" length="31"/>
    </x18tc:mentions>
  </x18tc:threadedComment>
  <x18tc:threadedComment ref="G202" dT="2025-10-29T09:42:10.00" personId="{b021f852-a389-4a33-89a9-e16d3fca11ad}" id="{3038aa9c-91f4-434b-a8a6-95f07a507e58}" parentId="{6389a1a5-6a4d-4ee2-8fa3-649a4f68a8f5}">
    <x18tc:text xml:space="preserve">Je t'envoie une invit, mais entre temps on a décidé de passer sur ChatGPT, est-ce quand même nécessaire ?</x18tc:text>
  </x18tc:threadedComment>
  <x18tc:threadedComment ref="G202" dT="2025-10-29T10:30:27.00" personId="{d8ab5fb5-b6ee-43ed-8f95-11f0305d7f9b}" id="{cca33aa1-683e-42ce-abaa-56c75269a3ec}" parentId="{6389a1a5-6a4d-4ee2-8fa3-649a4f68a8f5}">
    <x18tc:text xml:space="preserve">oui!</x18tc:text>
  </x18tc:threadedComment>
  <x18tc:threadedComment ref="C237" dT="2026-02-05T15:59:38.00" personId="{763bb66f-8e2e-482b-b779-1ba292edabf6}" id="{94e36615-f948-47cd-be16-d8f8c45c2d88}" done="1">
    <x18tc:text xml:space="preserve">@jonathan.bensadoun@adevinta.com ligné ajoutée pour les analyses verbatims CSAT. Je te laisse voir avec Carine pour compléter ce qui manque</x18tc:text>
    <x18tc:mentions>
      <x18tc:mention mentionpersonId="{c245b42f-a977-45be-bf58-4eeaa808a923}" mentionId="{bba906b1-d0e5-4ba2-bf6f-af4119f5d008}" startIndex="0" length="32"/>
    </x18tc:mentions>
  </x18tc:threadedComment>
  <x18tc:threadedComment ref="D184" dT="2026-02-02T14:29:08.00" personId="{71f2e1a7-1479-4edd-a85b-0ba2cea1d0ad}" id="{72730499-1e1c-4b43-ac65-5d2c6b8551a2}" done="0">
    <x18tc:text xml:space="preserve">@chloe.lasserre@adevinta.com est ce que c'est toujours d'actualité ?</x18tc:text>
    <x18tc:mentions>
      <x18tc:mention mentionpersonId="{85fbc5e6-4106-4bad-bdc7-e6781dd6da95}" mentionId="{7aafde5c-dc12-42dd-b6ce-d82974d427c1}" startIndex="0" length="28"/>
    </x18tc:mentions>
  </x18tc:threadedComment>
  <x18tc:threadedComment ref="D184" dT="2026-02-02T15:49:59.00" personId="{ff1a785a-c467-4cfc-9472-56e589d3fa28}" id="{e5d29a7b-f58c-42cb-95ac-200583e883e7}" parentId="{72730499-1e1c-4b43-ac65-5d2c6b8551a2}">
    <x18tc:text xml:space="preserve">Oui, techniquement l'IA pourrait nous aider. Je ne sais pas encore (car je n'ai pas creusé le sujet, et je n'ai pas d'EM) si ca pourrait nous aider à développer plus vite des composants en interne dans la team Spark ou même nous aider à créer des évolutions rapides qu'on aurait plus qu'à review dans le code (ex : un intent à supprimer pour un composant, qui pourrait se déclencher dès que la suppression est faite dans le fichier de base Design) OU ALORS si ca pourrait aider les Fts à utiliser plus facilement les composants (ex : conseiller sur l'usage d'un composant au lieu d'un autre en partie Design, ou en partie Dev pouvoir proposer automatiquement dans le code des propriétés en fonction du composant appelé et du contexte métier d'implémentation.)</x18tc:text>
  </x18tc:threadedComment>
  <x18tc:threadedComment ref="D184" dT="2026-04-02T20:34:25.00" personId="{a6e13c37-408c-4571-87bb-c0becaefa4da}" id="{09d67821-6552-479c-8940-69e3efb92249}" parentId="{72730499-1e1c-4b43-ac65-5d2c6b8551a2}">
    <x18tc:text xml:space="preserve">C est plut^to un sujet tech &gt; à retirer de produit @laetitia.ferrando@adevinta.com</x18tc:text>
    <x18tc:mentions>
      <x18tc:mention mentionpersonId="{d7f550f1-3ff4-45ff-9f5c-89d6e21305df}" mentionId="{7d65a3e3-40d4-4527-90e6-23fd99e1dc1b}" startIndex="51" length="31"/>
    </x18tc:mentions>
  </x18tc:threadedComment>
  <x18tc:threadedComment ref="L239" dT="2026-03-24T16:48:35.00" personId="{32233897-40a9-440e-943e-faa9b8b76f15}" id="{ef33af26-2821-4733-a6b5-7247efd7d24b}" done="0">
    <x18tc:text xml:space="preserve">@yohan.koehler@adevinta.com est ce que c'est un cas terminé avec @lydie.levent@leboncoin.fr ? ou c'est toujours en cours?
Assigned to yohan.koehler@adevinta.com
Attribué à yohan.koehler@adevinta.com</x18tc:text>
    <x18tc:mentions>
      <x18tc:mention mentionpersonId="{0210c571-ef97-4e5f-a7ac-ef003dd89a40}" mentionId="{0af83942-947b-414a-b4f6-e38743deb597}" startIndex="0" length="27"/>
      <x18tc:mention mentionpersonId="{d171ebde-b4d2-462d-9108-ba2763995a86}" mentionId="{6f0cd6a3-d0b6-4e8d-aeff-4b421458f221}" startIndex="65" length="26"/>
    </x18tc:mentions>
  </x18tc:threadedComment>
  <x18tc:threadedComment ref="L239" dT="2026-03-24T16:56:16.00" personId="{ca079952-1fd8-4ebc-88ef-6be9a33a06d9}" id="{98613f55-758d-46c7-bdc7-c601bccb6415}" parentId="{ef33af26-2821-4733-a6b5-7247efd7d24b}">
    <x18tc:text xml:space="preserve">@laetitia.ferrando@adevinta.com je crois que c'est toujours en test</x18tc:text>
    <x18tc:mentions>
      <x18tc:mention mentionpersonId="{d7f550f1-3ff4-45ff-9f5c-89d6e21305df}" mentionId="{62e87761-c18b-4782-a51f-c7d4f2e23124}" startIndex="0" length="31"/>
    </x18tc:mentions>
  </x18tc:threadedComment>
  <x18tc:threadedComment ref="L239" dT="2026-03-24T17:00:41.00" personId="{0a170749-f9ae-4bd1-b867-8bc8686a4fb7}" id="{7a3e007f-5c41-4a70-a9d7-ebde2f794829}" parentId="{ef33af26-2821-4733-a6b5-7247efd7d24b}">
    <x18tc:text xml:space="preserve">Hello oui c'est tjs en cours, moi j'ai testé côté pro, mais nous avons d'autres équipes à la DRC, et semaine pro je dois mesurer le gain de temps</x18tc:text>
  </x18tc:threadedComment>
  <x18tc:threadedComment ref="D172" dT="2026-04-02T20:31:27.00" personId="{a6e13c37-408c-4571-87bb-c0becaefa4da}" id="{306ad423-92e8-4a89-a772-78dc836226e9}" done="0">
    <x18tc:text xml:space="preserve">Live on a le GPT release note de Ludo</x18tc:text>
  </x18tc:threadedComment>
  <x18tc:threadedComment ref="D177" dT="2026-02-02T14:28:20.00" personId="{71f2e1a7-1479-4edd-a85b-0ba2cea1d0ad}" id="{517244f4-ae77-41ea-8985-0e60e4970f96}" done="0">
    <x18tc:text xml:space="preserve">@anais.langlet@adevinta.com est ce que c'est toujours d'actu ?</x18tc:text>
    <x18tc:mentions>
      <x18tc:mention mentionpersonId="{4bb2ae8a-f46c-409b-a9c3-70bbbdd0a52d}" mentionId="{205794f9-77f6-4e9a-8378-8c150d9bbfc0}" startIndex="0" length="27"/>
    </x18tc:mentions>
  </x18tc:threadedComment>
  <x18tc:threadedComment ref="D185" dT="2026-01-15T14:24:31.00" personId="{7477dcb4-47cf-479a-899e-759b9b5ec3dd}" id="{61646381-0e3f-484c-803a-a55d2772d12c}" done="1">
    <x18tc:text xml:space="preserve">@chloe.lasserre@adevinta.com @robin.leboeuf@adevinta.com c'est ce qu'on dev deja ça non?
Assigned to chloe.lasserre@adevinta.com
Attribué à </x18tc:text>
    <x18tc:mentions>
      <x18tc:mention mentionpersonId="{85fbc5e6-4106-4bad-bdc7-e6781dd6da95}" mentionId="{22c9a3fb-4948-427e-87d6-cea9b4169fd6}" startIndex="0" length="28"/>
      <x18tc:mention mentionpersonId="{06433b4e-fc87-4a11-b4cb-85cb9a75a0a1}" mentionId="{c3f4dc2c-3fb0-4979-9926-8ee5e3fb6e63}" startIndex="29" length="27"/>
    </x18tc:mentions>
  </x18tc:threadedComment>
  <x18tc:threadedComment ref="D185" dT="2026-01-15T16:43:30.00" personId="{ff1a785a-c467-4cfc-9472-56e589d3fa28}" id="{21281a91-2eb8-4938-9ee1-a84ba6d7497a}" parentId="{61646381-0e3f-484c-803a-a55d2772d12c}">
    <x18tc:text xml:space="preserve">Initialement je pense que c'était l'idée d'avoir un petit outil interne qui puisse reconnaître automatiquement les composants utilisés sur le site et les apps comme un plugin intelligent qu'on pourrait activer sur les pages), avec un score d'adoption visible, un jeu de couleurs (vert &gt; jaune&gt; rouge).</x18tc:text>
  </x18tc:threadedComment>
  <x18tc:threadedComment ref="D185" dT="2026-01-16T08:55:30.00" personId="{7477dcb4-47cf-479a-899e-759b9b5ec3dd}" id="{205358a7-becb-4119-8f98-a166aa5c4d7e}" parentId="{61646381-0e3f-484c-803a-a55d2772d12c}">
    <x18tc:text xml:space="preserve">merci Chloé, je pense on peut renommer le description et le status du coup ;) tu peux changer rapidement la desc et on le passe en en cours non?
Marqué comme terminé</x18tc:text>
  </x18tc:threadedComment>
  <x18tc:threadedComment ref="E164" dT="2025-12-15T10:44:16.00" personId="{32233897-40a9-440e-943e-faa9b8b76f15}" id="{4b281a05-0eea-468b-90f8-979bb54185a1}" done="1">
    <x18tc:text xml:space="preserve">@abderrahmane.abdallahoum@adevinta.com est ce que c'est live ça? Thanks
Assigned to abderrahmane.abdallahoum@adevinta.com
Attribué à abderrahmane.abdallahoum@adevinta.com</x18tc:text>
    <x18tc:mentions>
      <x18tc:mention mentionpersonId="{9f9d6f2b-05c8-43db-ad04-24027cc667aa}" mentionId="{e2da54b9-9d93-4277-b5fe-ea3f66325e04}" startIndex="0" length="38"/>
    </x18tc:mentions>
  </x18tc:threadedComment>
  <x18tc:threadedComment ref="A1" dT="2026-04-02T20:35:58.00" personId="{a6e13c37-408c-4571-87bb-c0becaefa4da}" id="{e1d78a47-64d6-4ec7-abca-cc46a8c44830}" done="0">
    <x18tc:text xml:space="preserve">deux fois le même &gt; à supprimer @laetitia.ferrando@adevinta.com
Assigned to laetitia.ferrando@adevinta.com
Attribué à laetitia.ferrando@adevinta.com</x18tc:text>
    <x18tc:mentions>
      <x18tc:mention mentionpersonId="{d7f550f1-3ff4-45ff-9f5c-89d6e21305df}" mentionId="{91c4f32d-3e01-4b5f-8bd0-f9fb00cbf3aa}" startIndex="32" length="31"/>
    </x18tc:mentions>
  </x18tc:threadedComment>
  <x18tc:threadedComment ref="G147" dT="2025-09-24T12:40:02.00" personId="{32233897-40a9-440e-943e-faa9b8b76f15}" id="{28454d11-eab9-4165-a748-f94cc161a598}" done="1">
    <x18tc:text xml:space="preserve">@anaise.blanchet@adevinta.com @laetitia.sebaoun@adevinta.com est ce que ce cas est pris directement au juridique?</x18tc:text>
    <x18tc:mentions>
      <x18tc:mention mentionpersonId="{9d50faf5-0bb7-4ab2-81ed-2b78d10dc59e}" mentionId="{2b2796b2-ba08-41d7-a35d-2a04a812cd5a}" startIndex="0" length="29"/>
      <x18tc:mention mentionpersonId="{acdce0a4-b582-4764-b9f2-37af0285938c}" mentionId="{3c81f515-b4e2-4799-9c0a-65c73695820f}" startIndex="30" length="30"/>
    </x18tc:mentions>
  </x18tc:threadedComment>
  <x18tc:threadedComment ref="G147" dT="2025-09-24T13:12:32.00" personId="{d8ab5fb5-b6ee-43ed-8f95-11f0305d7f9b}" id="{a158f9d1-662e-4238-be61-ce3af4cde0a6}" parentId="{28454d11-eab9-4165-a748-f94cc161a598}">
    <x18tc:text xml:space="preserve">Idem que la ligne 63</x18tc:text>
  </x18tc:threadedComment>
  <x18tc:threadedComment ref="G147" dT="2025-09-24T13:39:53.00" personId="{32233897-40a9-440e-943e-faa9b8b76f15}" id="{54d37e06-c448-40df-a47c-cfd4fd16ff6a}" parentId="{28454d11-eab9-4165-a748-f94cc161a598}">
    <x18tc:text xml:space="preserve">ok idem du coup sur l'état d'avancement
Marquée comme fermée</x18tc:text>
  </x18tc:threadedComment>
  <x18tc:threadedComment ref="G29" dT="2025-09-26T15:54:30.00" personId="{32233897-40a9-440e-943e-faa9b8b76f15}" id="{6c091b04-9df1-414a-9be6-035fdc7c89e7}" done="1">
    <x18tc:text xml:space="preserve">@elsa.cadoux@adevinta.com @marc.chaperon@adevinta.com vous pourriez ajouter un owner plz?</x18tc:text>
    <x18tc:mentions>
      <x18tc:mention mentionpersonId="{61d73ee8-9fec-467d-836f-6f533cb5f205}" mentionId="{4307e233-5fd2-4b19-b059-39154f12fed8}" startIndex="0" length="25"/>
      <x18tc:mention mentionpersonId="{e0e0e1be-3852-46bf-9c74-c48cec8fd1dd}" mentionId="{3ea45b37-9c0e-4e36-9fa1-ecd104bfa3be}" startIndex="26" length="27"/>
    </x18tc:mentions>
  </x18tc:threadedComment>
  <x18tc:threadedComment ref="D174" dT="2026-04-02T20:32:43.00" personId="{a6e13c37-408c-4571-87bb-c0becaefa4da}" id="{b888b48e-e42c-4833-b776-f61ddaedf7a5}" done="0">
    <x18tc:text xml:space="preserve">@patrice.chaperon@adevinta.com il y a un sujet la dessus ou on abandonne ?
Assigned to patrice.chaperon@adevinta.com
Attribué à patrice.chaperon@adevinta.com</x18tc:text>
    <x18tc:mentions>
      <x18tc:mention mentionpersonId="{7931c5f7-a81f-4088-9615-e3013a7784ba}" mentionId="{d268b1d6-6c66-488a-bc68-aad173fc870b}" startIndex="0" length="30"/>
    </x18tc:mentions>
  </x18tc:threadedComment>
  <x18tc:threadedComment ref="D174" dT="2026-04-03T06:47:46.00" personId="{7477dcb4-47cf-479a-899e-759b9b5ec3dd}" id="{8608f970-534a-49dc-951a-576f7a4a5b60}" parentId="{b888b48e-e42c-4833-b776-f61ddaedf7a5}">
    <x18tc:text xml:space="preserve">sur le code y'a deja qq trucs en place, mais à mon avis les reviews des attendus derriere une analyse; on peut faire des choses</x18tc:text>
  </x18tc:threadedComment>
  <x18tc:threadedComment ref="G144" dT="2025-09-26T16:04:45.00" personId="{32233897-40a9-440e-943e-faa9b8b76f15}" id="{e3e40d50-9eb6-4f52-af6b-df7c51990c0d}" done="1">
    <x18tc:text xml:space="preserve">@anaise.blanchet@adevinta.com @laetitia.sebaoun@adevinta.com pourrez vous mettre un owner, vous ou quelqu'un d'autre côté juridique qui peut porter ce cas et en être responsable plz? Thanks</x18tc:text>
    <x18tc:mentions>
      <x18tc:mention mentionpersonId="{9d50faf5-0bb7-4ab2-81ed-2b78d10dc59e}" mentionId="{65b39883-9168-4e27-8a1b-c2ded9e0d2cd}" startIndex="0" length="29"/>
      <x18tc:mention mentionpersonId="{acdce0a4-b582-4764-b9f2-37af0285938c}" mentionId="{3860a8e0-31c9-47e3-a6c3-4deb6f4a7b54}" startIndex="30" length="30"/>
    </x18tc:mentions>
  </x18tc:threadedComment>
  <x18tc:threadedComment ref="C236" dT="2026-02-18T12:55:00.00" personId="{f9adebae-5648-4bc6-b1d3-e443308a0122}" id="{abcf71ec-a8b9-40a5-b6de-df202077a3ac}" done="1">
    <x18tc:text xml:space="preserve">@carine.rinaldi@adevinta.com
Assigned to carine.rinaldi@adevinta.com
Attribué à carine.rinaldi@adevinta.com</x18tc:text>
    <x18tc:mentions>
      <x18tc:mention mentionpersonId="{42e8256e-b5c3-471f-bbaf-664d61463b7c}" mentionId="{37a4e813-1753-481c-a581-8298f24190bb}" startIndex="0" length="28"/>
    </x18tc:mentions>
  </x18tc:threadedComment>
  <x18tc:threadedComment ref="E178" dT="2026-04-02T20:33:06.00" personId="{a6e13c37-408c-4571-87bb-c0becaefa4da}" id="{7f062803-9264-4414-aa81-d188c39edfac}" done="0">
    <x18tc:text xml:space="preserve">En cours coté Mel @laetitia.ferrando@adevinta.com</x18tc:text>
    <x18tc:mentions>
      <x18tc:mention mentionpersonId="{d7f550f1-3ff4-45ff-9f5c-89d6e21305df}" mentionId="{cfe94889-8963-4e04-a1e4-8e23d0977ec2}" startIndex="18" length="31"/>
    </x18tc:mentions>
  </x18tc:threadedComment>
  <x18tc:threadedComment ref="A1" dT="2026-02-06T15:42:37.00" personId="{081f11c9-3ffc-49d1-a453-9733c326cb95}" id="{25208d63-7706-418b-9a6f-73cb338f59e4}" done="0">
    <x18tc:text xml:space="preserve">@laurent.dimatera@adevinta.com de quel type de suivi il s'agit ?
Assigned to laurent.dimatera@adevinta.com
Attribué à laurent.dimatera@adevinta.com</x18tc:text>
    <x18tc:mentions>
      <x18tc:mention mentionpersonId="{4d1558da-f6af-4716-b305-31a456849ba4}" mentionId="{a6d53095-91d1-45b0-8459-19f3f3967d91}" startIndex="0" length="30"/>
    </x18tc:mentions>
  </x18tc:threadedComment>
  <x18tc:threadedComment ref="A1" dT="2026-02-06T15:50:11.00" personId="{8b2a762d-98e6-4545-a380-b3a393d9dba9}" id="{30a07f92-ad33-46f2-a3c8-a0d8fc8323e7}" parentId="{25208d63-7706-418b-9a6f-73cb338f59e4}">
    <x18tc:text xml:space="preserve">analyse des BL</x18tc:text>
  </x18tc:threadedComment>
  <x18tc:threadedComment ref="A1" dT="2026-03-03T17:24:12.00" personId="{081f11c9-3ffc-49d1-a453-9733c326cb95}" id="{3871decc-c874-40e7-b21d-5d26be8f5288}" done="0">
    <x18tc:text xml:space="preserve">@cecile.polard@adevinta.com est ce que c'est ce que tu as prévu de ton coté?
cc @laurent.dimatera@adevinta.com
Assigned to cecile.polard@adevinta.com</x18tc:text>
    <x18tc:mentions>
      <x18tc:mention mentionpersonId="{c1d48349-6ee7-466e-846d-3ff0ce68a0b6}" mentionId="{a2603567-0b61-4fed-9ebc-40d75623c866}" startIndex="0" length="27"/>
      <x18tc:mention mentionpersonId="{4d1558da-f6af-4716-b305-31a456849ba4}" mentionId="{459198cc-15be-47d8-939d-f644ee070558}" startIndex="80" length="30"/>
    </x18tc:mentions>
  </x18tc:threadedComment>
  <x18tc:threadedComment ref="A1" dT="2026-03-04T07:28:09.00" personId="{f9adebae-5648-4bc6-b1d3-e443308a0122}" id="{2140261a-e688-4037-9fae-93c1ce0ba900}" parentId="{3871decc-c874-40e7-b21d-5d26be8f5288}">
    <x18tc:text xml:space="preserve">hello je ne comprends pas ce use case puisque ZDQA fait le job @laurent.dimatera@adevinta.com peux tu m'en dire plus ?
Reassigned to laurent.dimatera@adevinta.com</x18tc:text>
    <x18tc:mentions>
      <x18tc:mention mentionpersonId="{4d1558da-f6af-4716-b305-31a456849ba4}" mentionId="{96d882d6-a848-4587-8e98-2ddf111819a2}" startIndex="63" length="30"/>
    </x18tc:mentions>
  </x18tc:threadedComment>
  <x18tc:threadedComment ref="A1" dT="2026-03-04T08:00:03.00" personId="{8b2a762d-98e6-4545-a380-b3a393d9dba9}" id="{2427fd9a-5a7a-490f-ae29-4f99c049c2b1}" parentId="{3871decc-c874-40e7-b21d-5d26be8f5288}">
    <x18tc:text xml:space="preserve">justement, l'idée était de comprendre si c'était déjà couvert par ZDQA :) du coup je supprime le besoin
merci !</x18tc:text>
  </x18tc:threadedComment>
  <x18tc:threadedComment ref="A1" dT="2026-03-04T08:40:07.00" personId="{f9adebae-5648-4bc6-b1d3-e443308a0122}" id="{0873a4bf-f773-436a-8d29-f7c7841760ca}" parentId="{3871decc-c874-40e7-b21d-5d26be8f5288}">
    <x18tc:text xml:space="preserve">oki :)</x18tc:text>
  </x18tc:threadedComment>
  <x18tc:threadedComment ref="G256" dT="2025-09-26T16:10:22.00" personId="{32233897-40a9-440e-943e-faa9b8b76f15}" id="{49961c29-eeb9-4e4c-963b-94eecd70119e}" done="1">
    <x18tc:text xml:space="preserve">@pauletienne.bauchet@adevinta.com @elisa.ronchi@adevinta.com pourrez vous mettre un owner pour ce cas, vous ou qq à la RH
Assigned to pauletienne.bauchet@adevinta.com
Attribué à pauletienne.bauchet@adevinta.com</x18tc:text>
    <x18tc:mentions>
      <x18tc:mention mentionpersonId="{3a08e8a2-4962-4791-9ca5-4758d68da6ff}" mentionId="{8ef1b2a6-804a-4999-af4a-a488be9e4db3}" startIndex="0" length="33"/>
      <x18tc:mention mentionpersonId="{9ade4403-9dba-4b63-9e34-150b471196f8}" mentionId="{f85bfb2b-c2d4-4f54-b9a3-d74a3dc6696b}" startIndex="34" length="26"/>
    </x18tc:mentions>
  </x18tc:threadedComment>
  <x18tc:threadedComment ref="C235" dT="2026-02-05T15:50:41.00" personId="{763bb66f-8e2e-482b-b779-1ba292edabf6}" id="{3b7f53e9-0615-4510-b67b-64b3f4555a8e}" done="1">
    <x18tc:text xml:space="preserve">@cecile.polard@adevinta.com ligne créée et à compléter pour le sujet Mayday. J'ai rempli ce que je pouvais, je te laisse compléter / amender</x18tc:text>
    <x18tc:mentions>
      <x18tc:mention mentionpersonId="{c1d48349-6ee7-466e-846d-3ff0ce68a0b6}" mentionId="{5fa53c15-e564-45f9-a689-e6680ef4980f}" startIndex="0" length="27"/>
    </x18tc:mentions>
  </x18tc:threadedComment>
  <x18tc:threadedComment ref="E177" dT="2026-04-02T20:31:59.00" personId="{a6e13c37-408c-4571-87bb-c0becaefa4da}" id="{2ae7b809-3913-4012-84bc-fd976b8dacea}" done="0">
    <x18tc:text xml:space="preserve">En cours avec Claude code</x18tc:text>
  </x18tc:threadedComment>
  <x18tc:threadedComment ref="G150" dT="2025-09-24T12:39:58.00" personId="{32233897-40a9-440e-943e-faa9b8b76f15}" id="{a756f34f-7e7b-47c3-a082-e672b9892f08}" done="1">
    <x18tc:text xml:space="preserve">@anaise.blanchet@adevinta.com @laetitia.sebaoun@adevinta.com est ce que ce cas est pris directement au juridique?</x18tc:text>
    <x18tc:mentions>
      <x18tc:mention mentionpersonId="{9d50faf5-0bb7-4ab2-81ed-2b78d10dc59e}" mentionId="{b2443eb4-1e0d-44ac-b2b2-f9e2ac3b74c6}" startIndex="0" length="29"/>
      <x18tc:mention mentionpersonId="{acdce0a4-b582-4764-b9f2-37af0285938c}" mentionId="{e0e942d2-5633-437a-b328-8f50a6fcb4af}" startIndex="30" length="30"/>
    </x18tc:mentions>
  </x18tc:threadedComment>
  <x18tc:threadedComment ref="G150" dT="2025-09-24T13:11:09.00" personId="{d8ab5fb5-b6ee-43ed-8f95-11f0305d7f9b}" id="{a24b5f12-274d-499b-9cc6-b0ecc8cfe25c}" parentId="{a756f34f-7e7b-47c3-a082-e672b9892f08}">
    <x18tc:text xml:space="preserve">C'est un cas d'usage standard de ChatGPT, à date on n'a pas prévu de développer un GPT dédié</x18tc:text>
  </x18tc:threadedComment>
  <x18tc:threadedComment ref="G150" dT="2025-09-24T13:39:16.00" personId="{32233897-40a9-440e-943e-faa9b8b76f15}" id="{18311759-9656-4660-981f-dea4b5ae2280}" parentId="{a756f34f-7e7b-47c3-a082-e672b9892f08}">
    <x18tc:text xml:space="preserve">Ok est ce que vous avez un prompt qui marche bien au quotidien, que vous vous êtes partagés entre vous etc...? Si oui est ce qu'on peut mettre que le cas est terminé ou est ce que ce n'est pas encore le cas donc on laisse en cours et une fois que vous avez une version de prompt satisfaisant on le passe en done?
Marquée comme fermée</x18tc:text>
  </x18tc:threadedComment>
  <x18tc:threadedComment ref="O77" dT="2025-11-26T14:09:13.00" personId="{c3af8187-bff8-44f3-b660-e9cf0d567101}" id="{65c899e9-5752-4f3d-8847-2c253f817cf0}" done="0">
    <x18tc:text xml:space="preserve">@zineb.clauzel@adevinta.com tu peux remplir les colonnes K, L, et M ?</x18tc:text>
    <x18tc:mentions>
      <x18tc:mention mentionpersonId="{61529036-e91f-4fb4-90f1-9b41e96a1676}" mentionId="{4224bbe4-5bff-4612-bb8d-7624a12d7066}" startIndex="0" length="27"/>
    </x18tc:mentions>
  </x18tc:threadedComment>
  <x18tc:threadedComment ref="D144" dT="2025-09-24T12:39:35.00" personId="{32233897-40a9-440e-943e-faa9b8b76f15}" id="{f2e9967a-28f4-4dc3-ba82-d412830d947b}" done="1">
    <x18tc:text xml:space="preserve">@anaise.blanchet@adevinta.com @laetitia.sebaoun@adevinta.com est ce que vous savez ce que vous souhaitez ici plz? thanks</x18tc:text>
    <x18tc:mentions>
      <x18tc:mention mentionpersonId="{9d50faf5-0bb7-4ab2-81ed-2b78d10dc59e}" mentionId="{9b9bf9fd-f26f-4361-bdb2-3d267e7f0d1a}" startIndex="0" length="29"/>
      <x18tc:mention mentionpersonId="{acdce0a4-b582-4764-b9f2-37af0285938c}" mentionId="{69efd033-a264-40eb-a06c-9b977155f776}" startIndex="30" length="30"/>
    </x18tc:mentions>
  </x18tc:threadedComment>
  <x18tc:threadedComment ref="D144" dT="2025-09-24T13:13:06.00" personId="{d8ab5fb5-b6ee-43ed-8f95-11f0305d7f9b}" id="{436398fa-b5e3-4328-8ea4-85d845938437}" parentId="{f2e9967a-28f4-4dc3-ba82-d412830d947b}">
    <x18tc:text xml:space="preserve">on revient vers toi là dessus
Marquée comme fermée</x18tc:text>
  </x18tc:threadedComment>
  <x18tc:threadedComment ref="G141" dT="2025-09-26T16:04:31.00" personId="{32233897-40a9-440e-943e-faa9b8b76f15}" id="{8a562417-324f-4d67-bab5-c65e2ad3ca63}" done="1">
    <x18tc:text xml:space="preserve">@anaise.blanchet@adevinta.com @laetitia.sebaoun@adevinta.com pourrez vous mettre un owner, vous ou quelqu'un d'autre côté juridique qui peut porter ce cas et en être responsable plz? Thanks</x18tc:text>
    <x18tc:mentions>
      <x18tc:mention mentionpersonId="{9d50faf5-0bb7-4ab2-81ed-2b78d10dc59e}" mentionId="{db36d33b-e873-4fe5-bf99-f65bbe8bfe47}" startIndex="0" length="29"/>
      <x18tc:mention mentionpersonId="{acdce0a4-b582-4764-b9f2-37af0285938c}" mentionId="{af85abed-c598-4d20-acdf-d309242aebb3}" startIndex="30" length="30"/>
    </x18tc:mentions>
  </x18tc:threadedComment>
  <x18tc:threadedComment ref="E179" dT="2026-04-02T20:33:41.00" personId="{a6e13c37-408c-4571-87bb-c0becaefa4da}" id="{61c1a25c-1938-44e2-9a46-8d1153d23db2}" done="0">
    <x18tc:text xml:space="preserve">C'est done donc</x18tc:text>
  </x18tc:threadedComment>
  <x18tc:threadedComment ref="A1" dT="2025-10-31T14:23:30.00" personId="{763bb66f-8e2e-482b-b779-1ba292edabf6}" id="{b1979269-e2ff-4132-8aec-c479a0bd0207}" done="0">
    <x18tc:text xml:space="preserve">attentes inputs Laurent</x18tc:text>
  </x18tc:threadedComment>
  <x18tc:threadedComment ref="D250" dT="2026-02-06T15:46:19.00" personId="{081f11c9-3ffc-49d1-a453-9733c326cb95}" id="{0b480fc4-2552-444f-98fc-cdfb3304f163}" done="0">
    <x18tc:text xml:space="preserve">@cecile.polard@adevinta.com à discuter
Assigned to cecile.polard@adevinta.com
Attribué à cecile.polard@adevinta.com</x18tc:text>
    <x18tc:mentions>
      <x18tc:mention mentionpersonId="{c1d48349-6ee7-466e-846d-3ff0ce68a0b6}" mentionId="{8a8e316e-7c76-4481-838c-39e6b011e20e}" startIndex="0" length="27"/>
    </x18tc:mentions>
  </x18tc:threadedComment>
  <x18tc:threadedComment ref="G140" dT="2025-09-26T16:04:52.00" personId="{32233897-40a9-440e-943e-faa9b8b76f15}" id="{3c7ecf92-4dc4-4ab9-89a0-36cd8de31f63}" done="1">
    <x18tc:text xml:space="preserve">@anaise.blanchet@adevinta.com @laetitia.sebaoun@adevinta.com pourrez vous mettre un owner, vous ou quelqu'un d'autre côté juridique qui peut porter ce cas et en être responsable plz? Thanks</x18tc:text>
    <x18tc:mentions>
      <x18tc:mention mentionpersonId="{9d50faf5-0bb7-4ab2-81ed-2b78d10dc59e}" mentionId="{5ae87cc8-5c53-45ce-811e-93ed4ddd82f9}" startIndex="0" length="29"/>
      <x18tc:mention mentionpersonId="{acdce0a4-b582-4764-b9f2-37af0285938c}" mentionId="{7dcf0357-8b80-4144-a28b-49e5ba3f8c0c}" startIndex="30" length="30"/>
    </x18tc:mentions>
  </x18tc:threadedComment>
  <x18tc:threadedComment ref="A1" dT="2025-09-08T16:28:29.00" personId="{64e1fad1-1a6d-466a-b68d-85c5db6a5701}" id="{ef9f3895-ad76-4704-a4d5-10462575185a}" done="0">
    <x18tc:text xml:space="preserve">c'est déjà fait par google meet</x18tc:text>
  </x18tc:threadedComment>
  <x18tc:threadedComment ref="E298" dT="2026-04-24T09:17:53.00" personId="{5f027feb-3320-437c-b96e-a1b05f457e12}" id="{cab1bcbc-c95d-4005-9836-977302c6e001}" done="0">
    <x18tc:text xml:space="preserve">@laetitia.ferrando@adevinta.com plus trop d'actualité celui-ci, notre choix d'outil s'étant porté sur Claude Code qui est déployé... donc soit on supprime, soit on passe en dore vu que Claude Code est déployé.
Assigned to laetitia.ferrando@adevinta.com
Attribué à laetitia.ferrando@adevinta.com</x18tc:text>
    <x18tc:mentions>
      <x18tc:mention mentionpersonId="{d7f550f1-3ff4-45ff-9f5c-89d6e21305df}" mentionId="{8261c1a5-ec27-4bdd-b7fb-41376ed5d5c4}" startIndex="0" length="31"/>
    </x18tc:mentions>
  </x18tc:threadedComment>
  <x18tc:threadedComment ref="D169" dT="2025-11-04T11:21:24.00" personId="{d8ab5fb5-b6ee-43ed-8f95-11f0305d7f9b}" id="{cfe2584b-9af2-4988-82f1-0958ee7ea7ef}" done="0">
    <x18tc:text xml:space="preserve">@anaise.blanchet@adevinta.com</x18tc:text>
    <x18tc:mentions>
      <x18tc:mention mentionpersonId="{9d50faf5-0bb7-4ab2-81ed-2b78d10dc59e}" mentionId="{d124b037-04cf-4c4e-ade9-99a4fe811652}" startIndex="0" length="29"/>
    </x18tc:mentions>
  </x18tc:threadedComment>
  <x18tc:threadedComment ref="D169" dT="2026-02-02T14:25:52.00" personId="{71f2e1a7-1479-4edd-a85b-0ba2cea1d0ad}" id="{3eee4301-d2b9-43d4-9d7b-621ef8c9aa5d}" parentId="{cfe2584b-9af2-4988-82f1-0958ee7ea7ef}">
    <x18tc:text xml:space="preserve">@imene.sediri@adevinta.com est ce que c'est toujours en cours ?</x18tc:text>
    <x18tc:mentions>
      <x18tc:mention mentionpersonId="{16e88bb1-45fb-4d85-9751-3f5cfee77c74}" mentionId="{2c2d4ffe-1257-41a1-93e3-a5b66750fff3}" startIndex="0" length="26"/>
    </x18tc:mentions>
  </x18tc:threadedComment>
  <x18tc:threadedComment ref="E169" dT="2026-04-02T20:31:08.00" personId="{a6e13c37-408c-4571-87bb-c0becaefa4da}" id="{c219d125-39d7-45dc-93ba-fe3c91423fe5}" done="0">
    <x18tc:text xml:space="preserve">Il me semble que ca a été fait @laetitia.ferrando@adevinta.com &gt; à vérifier avce imene</x18tc:text>
    <x18tc:mentions>
      <x18tc:mention mentionpersonId="{d7f550f1-3ff4-45ff-9f5c-89d6e21305df}" mentionId="{af32cd63-9286-4e8b-b01a-52e59cbb9a54}" startIndex="31" length="31"/>
    </x18tc:mentions>
  </x18tc:threadedComment>
  <x18tc:threadedComment ref="C49" dT="2025-09-05T15:42:01.00" personId="{32233897-40a9-440e-943e-faa9b8b76f15}" id="{f518c577-7ded-482f-8f58-a0e1fef02671}" done="1">
    <x18tc:text xml:space="preserve">Ajouts de es 3 lignes suite à conversation avec MLL @aline.berc@adevinta.com @caroline.laurencin@adevinta.com @lucie.praver@adevinta.com
Assigned to aline.berc@adevinta.com
Attribué à aline.berc@adevinta.com</x18tc:text>
    <x18tc:mentions>
      <x18tc:mention mentionpersonId="{3cece9fb-145c-4749-8515-b7e0db0882ad}" mentionId="{52b4689a-470e-4f3b-b748-2b041e27e318}" startIndex="52" length="24"/>
      <x18tc:mention mentionpersonId="{30d105ef-a35f-426a-b171-0fca1e20c399}" mentionId="{8acb761e-9974-43fb-9ce1-591184256de4}" startIndex="77" length="32"/>
      <x18tc:mention mentionpersonId="{3c45554a-925d-48c8-b33b-cd9b18a5e0c8}" mentionId="{f2408fa0-9c65-4e04-ad04-f4c7655728fa}" startIndex="110" length="26"/>
    </x18tc:mentions>
  </x18tc:threadedComment>
  <x18tc:threadedComment ref="D230" dT="2025-09-26T10:48:32.00" personId="{d8ab5fb5-b6ee-43ed-8f95-11f0305d7f9b}" id="{5887ce0a-42cf-480e-ab04-712682a4af2f}" done="0">
    <x18tc:text xml:space="preserve">@anaise.blanchet@adevinta.com c'est proche de ton Use case je crois?</x18tc:text>
    <x18tc:mentions>
      <x18tc:mention mentionpersonId="{9d50faf5-0bb7-4ab2-81ed-2b78d10dc59e}" mentionId="{f4dedfc0-0a25-460f-93d7-a6d308935e00}" startIndex="0" length="29"/>
    </x18tc:mentions>
  </x18tc:threadedComment>
  <x18tc:threadedComment ref="D230" dT="2025-09-26T12:58:42.00" personId="{6854bcd7-a0ab-47e5-a5b8-8ff1a9625009}" id="{76a7a7f6-d025-435b-a836-68c472909929}" parentId="{5887ce0a-42cf-480e-ab04-712682a4af2f}">
    <x18tc:text xml:space="preserve">Oui tout à fait, j'ai transmis Lydie le Gpt créé par Yohan, elle va le rester en rentrant de congés
1 total reaction
Laetitia Ferrando reacted with 👍 at 2025-09-26 13:06 PM</x18tc:text>
  </x18tc:threadedComment>
  <x18tc:threadedComment ref="D230" dT="2026-02-05T17:28:46.00" personId="{081f11c9-3ffc-49d1-a453-9733c326cb95}" id="{406fe500-b111-4be4-8df8-0b9f82548d6a}" parentId="{5887ce0a-42cf-480e-ab04-712682a4af2f}">
    <x18tc:text xml:space="preserve">@jonathan.bensadoun@adevinta.com tu peux checker avec Lydie ?</x18tc:text>
    <x18tc:mentions>
      <x18tc:mention mentionpersonId="{c245b42f-a977-45be-bf58-4eeaa808a923}" mentionId="{862e2d30-0318-4c8a-af52-4e9ebe4d89d8}" startIndex="0" length="32"/>
    </x18tc:mentions>
  </x18tc:threadedComment>
  <x18tc:threadedComment ref="D230" dT="2026-02-13T07:59:06.00" personId="{deff7ef5-f4f4-4af1-869e-c4350f1c5738}" id="{704158de-5c29-4f40-92ff-4253339fb795}" parentId="{5887ce0a-42cf-480e-ab04-712682a4af2f}">
    <x18tc:text xml:space="preserve">l'assistant juridique est à 50 % de bonnes réponses. Il a également "maitre coin". c'est en cours de test côté lydie.</x18tc:text>
  </x18tc:threadedComment>
  <x18tc:threadedComment ref="D230" dT="2026-03-24T16:38:23.00" personId="{32233897-40a9-440e-943e-faa9b8b76f15}" id="{34d7322a-00b8-43f2-b499-d6c6d807f242}" parentId="{5887ce0a-42cf-480e-ab04-712682a4af2f}">
    <x18tc:text xml:space="preserve">Si on se parle de maitre coin je pense qu'il est compté 2 fois au juridique et à la relations clients @anaise.blanchet@adevinta.com @jonathan.bensadoun@adevinta.com</x18tc:text>
    <x18tc:mentions>
      <x18tc:mention mentionpersonId="{9d50faf5-0bb7-4ab2-81ed-2b78d10dc59e}" mentionId="{db396ec6-4a48-41dc-9193-682ae0f783ee}" startIndex="102" length="29"/>
      <x18tc:mention mentionpersonId="{c245b42f-a977-45be-bf58-4eeaa808a923}" mentionId="{813879a4-8f43-48ee-b745-906dd59ddcae}" startIndex="132" length="32"/>
    </x18tc:mentions>
  </x18tc:threadedComment>
  <x18tc:threadedComment ref="D230" dT="2026-04-24T10:37:09.00" personId="{32233897-40a9-440e-943e-faa9b8b76f15}" id="{f02a5714-88a4-4061-9f8b-4e67ead21d05}" parentId="{5887ce0a-42cf-480e-ab04-712682a4af2f}">
    <x18tc:text xml:space="preserve">Hello je reviens vers vous sur cette question :) Thx !</x18tc:text>
  </x18tc:threadedComment>
  <x18tc:threadedComment ref="D230" dT="2026-04-29T09:02:37.00" personId="{6854bcd7-a0ab-47e5-a5b8-8ff1a9625009}" id="{0b811ce2-55b7-4e10-8609-9504f58b9a35}" parentId="{5887ce0a-42cf-480e-ab04-712682a4af2f}">
    <x18tc:text xml:space="preserve">Hello, je pense effet que ce usecase doit rester côté légal et doit ête supprimé des usecases RC.</x18tc:text>
  </x18tc:threadedComment>
  <x18tc:threadedComment ref="G163" dT="2026-02-02T14:22:44.00" personId="{71f2e1a7-1479-4edd-a85b-0ba2cea1d0ad}" id="{d3b9a6f9-3d4e-4866-a476-3b88ed410bcf}" done="1">
    <x18tc:text xml:space="preserve">@fiona.vassaux@adevinta.com c'est ce que c'est toujours "en cours" ou bien le GPT est live ?
Assigned to fiona.vassaux@adevinta.com
Attribué à fiona.vassaux@adevinta.com</x18tc:text>
    <x18tc:mentions>
      <x18tc:mention mentionpersonId="{0b6917bf-2825-4085-98cb-d62b3d4072d7}" mentionId="{4f4eca4e-9e6d-4309-8062-e0bd88a55f22}" startIndex="0" length="27"/>
    </x18tc:mentions>
  </x18tc:threadedComment>
  <x18tc:threadedComment ref="G163" dT="2026-02-02T14:29:06.00" personId="{c7550c49-ffd8-4848-9743-a77fb4d82b8d}" id="{1e885c2f-1a22-459a-805e-c05168b28b29}" parentId="{d3b9a6f9-3d4e-4866-a476-3b88ed410bcf}">
    <x18tc:text xml:space="preserve">L'assistant qui évalue le cadrage est bien live : https://chatgpt.com/g/g-68dbd032d13c81a4a6caf8a2b0e2bbb2-assistant-evaluation-cadrage-produit</x18tc:text>
    <x18tc:extLst>
      <ext uri="{F7C98A9C-CBB3-438F-8F68-D28B6AF4A901}">
        <xltc2:checksum/>
        <xltc2:hyperlink startIndex="50" length="93" url="https://chatgpt.com/g/g-68dbd032d13c81a4a6caf8a2b0e2bbb2-assistant-evaluation-cadrage-produit"/>
      </ext>
    </x18tc:extLst>
  </x18tc:threadedComment>
  <x18tc:threadedComment ref="G163" dT="2026-02-02T18:16:11.00" personId="{71f2e1a7-1479-4edd-a85b-0ba2cea1d0ad}" id="{b1c1f118-5927-4e98-a4e8-2fc488009b85}" parentId="{d3b9a6f9-3d4e-4866-a476-3b88ed410bcf}">
    <x18tc:text xml:space="preserve">Merci :)
Marqué comme terminé</x18tc:text>
  </x18tc:threadedComment>
  <x18tc:threadedComment ref="J207" dT="2025-10-29T08:55:58.00" personId="{32233897-40a9-440e-943e-faa9b8b76f15}" id="{41650bcb-b361-4f52-906e-af410cce525b}" done="0">
    <x18tc:text xml:space="preserve">@gilles.lalyre.ext@adevinta.com @abderrahmane.abdallahoum@adevinta.com Hello pourriez-vous ajouter la population concernée, si c'est un métier spécifique dans l'UX (ex. research) ou si tout l'UX ? Thanks !
Assigned to </x18tc:text>
    <x18tc:mentions>
      <x18tc:mention mentionpersonId="{84c51d00-98e9-4d9f-ad1a-71c575a6814f}" mentionId="{2e6cee4a-8454-4b11-b60d-23cb2949abc0}" startIndex="0" length="31"/>
      <x18tc:mention mentionpersonId="{9f9d6f2b-05c8-43db-ad04-24027cc667aa}" mentionId="{e27e9388-20e3-4da0-9e71-e8c7c57c94e6}" startIndex="32" length="38"/>
    </x18tc:mentions>
  </x18tc:threadedComment>
  <x18tc:threadedComment ref="D173" dT="2026-02-02T15:02:29.00" personId="{71f2e1a7-1479-4edd-a85b-0ba2cea1d0ad}" id="{c221fc31-8a78-4955-887f-c74870a69874}" done="0">
    <x18tc:text xml:space="preserve">@abderrahmane.abdallahoum@adevinta.com est ce que tu sais si c'est en cours et s'il y a un owner ? le titre est un peu large :)</x18tc:text>
    <x18tc:mentions>
      <x18tc:mention mentionpersonId="{9f9d6f2b-05c8-43db-ad04-24027cc667aa}" mentionId="{9c355cf5-5524-451e-ab0e-75fddb1392fc}" startIndex="0" length="38"/>
    </x18tc:mentions>
  </x18tc:threadedComment>
  <x18tc:threadedComment ref="D173" dT="2026-04-02T20:32:23.00" personId="{a6e13c37-408c-4571-87bb-c0becaefa4da}" id="{cb5b1a4b-cd95-4fbd-be7e-8501cddb4f3f}" parentId="{c221fc31-8a78-4955-887f-c74870a69874}">
    <x18tc:text xml:space="preserve">A supprimer - ce n'est pas un cas pris par personne @laetitia.ferrando@adevinta.com</x18tc:text>
    <x18tc:mentions>
      <x18tc:mention mentionpersonId="{d7f550f1-3ff4-45ff-9f5c-89d6e21305df}" mentionId="{d263868d-081c-4eb7-97bb-f25541c6a395}" startIndex="52" length="31"/>
    </x18tc:mentions>
  </x18tc:threadedComment>
  <x18tc:threadedComment ref="A1" dT="2025-10-14T14:26:18.00" personId="{7477dcb4-47cf-479a-899e-759b9b5ec3dd}" id="{8abc004c-ed30-4412-82d5-90a3a3520028}" done="0">
    <x18tc:text xml:space="preserve">on teste Tableau Pulse; le plugin qui rep à ce use case sur Q4, contact @saadi.kaci@adevinta.com</x18tc:text>
    <x18tc:mentions>
      <x18tc:mention mentionpersonId="{c0726289-968c-46b7-b1d1-6d44e73cef92}" mentionId="{3225e7a5-3316-43c3-b4bc-28638e86fe41}" startIndex="72" length="24"/>
    </x18tc:mentions>
  </x18tc:threadedComment>
  <x18tc:threadedComment ref="A1" dT="2025-09-26T15:55:22.00" personId="{32233897-40a9-440e-943e-faa9b8b76f15}" id="{ad4a468e-061a-4779-9676-7b252ac86eb7}" done="1">
    <x18tc:text xml:space="preserve">@marc.chaperon@adevinta.com @elsa.cadoux@adevinta.com Vous pourrez rajouter les noms dans la colonne owner plz? Que tout le monde puisse les retrouver pour leur poser des questions si besoin?</x18tc:text>
    <x18tc:mentions>
      <x18tc:mention mentionpersonId="{e0e0e1be-3852-46bf-9c74-c48cec8fd1dd}" mentionId="{a94f44d7-32fe-47d2-a86e-23a61b9530db}" startIndex="0" length="27"/>
      <x18tc:mention mentionpersonId="{61d73ee8-9fec-467d-836f-6f533cb5f205}" mentionId="{56b03f34-a475-42cf-a08d-041a0da865eb}" startIndex="28" length="25"/>
    </x18tc:mentions>
  </x18tc:threadedComment>
  <x18tc:threadedComment ref="D183" dT="2026-02-02T14:26:40.00" personId="{71f2e1a7-1479-4edd-a85b-0ba2cea1d0ad}" id="{5cbad4dd-cb0d-464c-a3d5-6106bbe46fd6}" done="1">
    <x18tc:text xml:space="preserve">@patrice.chaperon@adevinta.com  tu sais si c'est en cours ?
Assigned to patrice.chaperon@adevinta.com
Attribué à patrice.chaperon@adevinta.com</x18tc:text>
    <x18tc:mentions>
      <x18tc:mention mentionpersonId="{7931c5f7-a81f-4088-9615-e3013a7784ba}" mentionId="{eab6b233-a13e-4f6a-8b64-681db82bb070}" startIndex="0" length="30"/>
    </x18tc:mentions>
  </x18tc:threadedComment>
  <x18tc:threadedComment ref="D183" dT="2026-02-03T08:09:30.00" personId="{7477dcb4-47cf-479a-899e-759b9b5ec3dd}" id="{ffa40171-f634-4ab5-b025-9aeafe7f5227}" parentId="{5cbad4dd-cb0d-464c-a3d5-6106bbe46fd6}">
    <x18tc:text xml:space="preserve">ce sont des choses oui que l'on va pouvoir faire avec databricks dans le cadre de la transfo data
Marqué comme terminé</x18tc:text>
  </x18tc:threadedComment>
  <x18tc:threadedComment ref="O69" dT="2025-11-26T14:07:50.00" personId="{c3af8187-bff8-44f3-b660-e9cf0d567101}" id="{58fb2288-0245-4f2f-b546-70a4a3461b88}" done="0">
    <x18tc:text xml:space="preserve">@andreas.cayla@adevinta.com , tu peux remplir les colonnes K, L, et M ?
Assigned to andreas.cayla@adevinta.com
Attribué à andreas.cayla@adevinta.com</x18tc:text>
    <x18tc:mentions>
      <x18tc:mention mentionpersonId="{6d51e774-edde-41d2-8991-a79bfe12ab2b}" mentionId="{fcafd34a-ff35-4eee-8d7d-e9b894f882bf}" startIndex="0" length="27"/>
    </x18tc:mentions>
  </x18tc:threadedComment>
  <x18tc:threadedComment ref="E233" dT="2025-09-26T16:02:33.00" personId="{32233897-40a9-440e-943e-faa9b8b76f15}" id="{c824dcf3-7f7d-4a96-8b34-61797f95a65c}" done="1">
    <x18tc:text xml:space="preserve">@juliette.patry@adevinta.com @sabrina.amiri@adevinta.com pourrez vous mettre choisir un état d'avancement sur ce cas plz</x18tc:text>
    <x18tc:mentions>
      <x18tc:mention mentionpersonId="{14097870-fcd7-4b4c-9ad3-c7e56391b7c2}" mentionId="{f8302eea-4532-4634-89c0-f59d5a228e7f}" startIndex="0" length="28"/>
      <x18tc:mention mentionpersonId="{f5085ad0-8433-4836-a78b-2995a9648ac3}" mentionId="{fa080e8b-9f76-4ea1-92ef-ad7f67cdbaa3}" startIndex="29" length="27"/>
    </x18tc:mentions>
  </x18tc:threadedComment>
  <x18tc:threadedComment ref="A1" dT="2025-09-03T14:24:20.00" personId="{71f2e1a7-1479-4edd-a85b-0ba2cea1d0ad}" id="{a8079830-9937-4585-a07c-2fcf90fd1ad6}" done="0">
    <x18tc:text xml:space="preserve">Pas besoin d'IA pour ça imho</x18tc:text>
  </x18tc:threadedComment>
  <x18tc:threadedComment ref="D176" dT="2026-02-02T14:27:49.00" personId="{71f2e1a7-1479-4edd-a85b-0ba2cea1d0ad}" id="{b775f580-dd81-417a-a2fe-c552d3be1950}" done="0">
    <x18tc:text xml:space="preserve">@laurent.borel@adevinta.com est ce que c'est toujours prévu ? quel est le statut?</x18tc:text>
    <x18tc:mentions>
      <x18tc:mention mentionpersonId="{a9f5263f-7c12-446b-b4c2-42e47b8f9273}" mentionId="{8afa8e42-604d-4aed-95f8-b77f9ae52edb}" startIndex="0" length="27"/>
    </x18tc:mentions>
  </x18tc:threadedComment>
  <x18tc:threadedComment ref="D176" dT="2026-02-12T11:09:46.00" personId="{77ffac8e-99d9-47b0-b9b1-70a75111a4e9}" id="{17461af1-f548-456e-b5e3-e8a4888a2087}" parentId="{b775f580-dd81-417a-a2fe-c552d3be1950}">
    <x18tc:text xml:space="preserve">Coucou,
Non rien n'a été fait sur ce sujet 
A dispo</x18tc:text>
  </x18tc:threadedComment>
  <x18tc:threadedComment ref="C350" dT="2026-03-10T16:27:02.00" personId="{763bb66f-8e2e-482b-b779-1ba292edabf6}" id="{37977d54-e424-4815-a32c-87eab04a6497}" done="1">
    <x18tc:text xml:space="preserve">@juliette.patry@adevinta.com mémo à compléter
Assigned to juliette.patry@adevinta.com
Attribué à juliette.patry@adevinta.com</x18tc:text>
    <x18tc:mentions>
      <x18tc:mention mentionpersonId="{14097870-fcd7-4b4c-9ad3-c7e56391b7c2}" mentionId="{cdb62ec0-93ad-403d-8418-2d02c0e2e3eb}" startIndex="0" length="28"/>
    </x18tc:mentions>
  </x18tc:threadedComment>
  <x18tc:threadedComment ref="C165" dT="2025-09-09T13:14:03.00" personId="{64e1fad1-1a6d-466a-b68d-85c5db6a5701}" id="{fc22fe43-5739-49b5-af37-15e551e488fd}" done="1">
    <x18tc:text xml:space="preserve">il faut une clé open API key</x18tc:text>
  </x18tc:threadedComment>
  <x18tc:threadedComment ref="D247" dT="2026-02-06T15:44:27.00" personId="{081f11c9-3ffc-49d1-a453-9733c326cb95}" id="{18262f90-8fc8-4a7d-8e95-eb5946e4ede5}" done="0">
    <x18tc:text xml:space="preserve">@cecile.polard@adevinta.com à discuter
Assigned to cecile.polard@adevinta.com
Attribué à cecile.polard@adevinta.com</x18tc:text>
    <x18tc:mentions>
      <x18tc:mention mentionpersonId="{c1d48349-6ee7-466e-846d-3ff0ce68a0b6}" mentionId="{0e3c92bf-00cd-49ba-903e-6378f12b1b44}" startIndex="0" length="27"/>
    </x18tc:mentions>
  </x18tc:threadedComment>
  <x18tc:threadedComment ref="A1" dT="2026-02-18T12:55:34.00" personId="{f9adebae-5648-4bc6-b1d3-e443308a0122}" id="{7af98e20-74ec-4a23-884b-186708aa353b}" done="1">
    <x18tc:text xml:space="preserve">@carine.rinaldi@adevinta.com
Assigned to carine.rinaldi@adevinta.com
Attribué à carine.rinaldi@adevinta.com</x18tc:text>
    <x18tc:mentions>
      <x18tc:mention mentionpersonId="{42e8256e-b5c3-471f-bbaf-664d61463b7c}" mentionId="{3fa6dfd8-87f9-4732-a2f4-2d8182beab5b}" startIndex="0" length="28"/>
    </x18tc:mentions>
  </x18tc:threadedComment>
  <x18tc:threadedComment ref="O80" dT="2025-11-26T14:08:42.00" personId="{c3af8187-bff8-44f3-b660-e9cf0d567101}" id="{714ff0d4-6f33-4c22-8b7a-899539e8f1f7}" done="0">
    <x18tc:text xml:space="preserve">@stephane.boucher@adevinta.com tu peux remplir les colonnes K, L, et M ?
Assigned to stephane.boucher@adevinta.com
Attribué à stephane.boucher@adevinta.com</x18tc:text>
    <x18tc:mentions>
      <x18tc:mention mentionpersonId="{00a13910-cdca-44ac-81ee-e33e1ed4af89}" mentionId="{a0e127cc-907e-4f3f-aa74-69c34acd9a64}" startIndex="0" length="30"/>
    </x18tc:mentions>
  </x18tc:threadedComment>
  <x18tc:threadedComment ref="A1" dT="2025-10-02T11:58:34.00" personId="{d8ab5fb5-b6ee-43ed-8f95-11f0305d7f9b}" id="{086d9cab-b1cb-4ecb-9a31-ab20fd630ce7}" done="0">
    <x18tc:text xml:space="preserve">@florian.girard@adevinta.com Je ne suis pas sure que celui-ci ait été évoqué lors du call avec Franck, si? J'ai ajouté une colonne "Legal" en P pour que chacun puisse indiquer les cas revus ou non et les éventuels points de vigilance - tu pourras compléter pour la pub?</x18tc:text>
    <x18tc:mentions>
      <x18tc:mention mentionpersonId="{c6f2fe0c-015b-4765-99b9-c1a9ecb6b272}" mentionId="{d8319906-628f-4bd7-8013-3526741ffba7}" startIndex="0" length="28"/>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38" dT="2025-09-26T16:03:33.00" personId="{32233897-40a9-440e-943e-faa9b8b76f15}" id="{9e7fd3de-8d4a-4870-89b0-effe74059fb2}" done="1">
    <x18tc:text xml:space="preserve">@elsa.cadoux@adevinta.com @marc.chaperon@adevinta.com vous pourriez ajouter un owner plz?</x18tc:text>
    <x18tc:mentions>
      <x18tc:mention mentionpersonId="{61d73ee8-9fec-467d-836f-6f533cb5f205}" mentionId="{ee76f8e3-2b28-43a4-bbc8-fdff6c3bd5e9}" startIndex="0" length="25"/>
      <x18tc:mention mentionpersonId="{e0e0e1be-3852-46bf-9c74-c48cec8fd1dd}" mentionId="{2b5eed58-c4b3-4bed-ace7-5d4559ba06cc}" startIndex="26" length="27"/>
    </x18tc:mentions>
  </x18tc:threadedComment>
  <x18tc:threadedComment ref="E38" dT="2025-09-26T15:55:51.00" personId="{32233897-40a9-440e-943e-faa9b8b76f15}" id="{d1444bfb-08d5-41ce-b87c-900a229a2f16}" done="1">
    <x18tc:text xml:space="preserve">@marc.chaperon@adevinta.com @elsa.cadoux@adevinta.com j'imagine que c'est non commencé ici?</x18tc:text>
    <x18tc:mentions>
      <x18tc:mention mentionpersonId="{e0e0e1be-3852-46bf-9c74-c48cec8fd1dd}" mentionId="{875d05c7-3b4a-4a8f-8498-86a4af8621cf}" startIndex="0" length="27"/>
      <x18tc:mention mentionpersonId="{61d73ee8-9fec-467d-836f-6f533cb5f205}" mentionId="{0195cd6b-88cb-4180-8ad3-7edc1ba6b6f8}" startIndex="28" length="25"/>
    </x18tc:mentions>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mailto:lisa.troncin@adevinta.com" TargetMode="External"/><Relationship Id="rId190" Type="http://schemas.openxmlformats.org/officeDocument/2006/relationships/hyperlink" Target="mailto:lisa.troncin@adevinta.com" TargetMode="External"/><Relationship Id="rId42" Type="http://schemas.openxmlformats.org/officeDocument/2006/relationships/hyperlink" Target="https://notebooklm.google.com/" TargetMode="External"/><Relationship Id="rId41" Type="http://schemas.openxmlformats.org/officeDocument/2006/relationships/hyperlink" Target="https://chatgpt.com/g/g-6900c1803b4081a4bde9cb2ff2f8edf5-the-profiler" TargetMode="External"/><Relationship Id="rId44" Type="http://schemas.openxmlformats.org/officeDocument/2006/relationships/hyperlink" Target="https://docs.google.com/document/d/179kOfgC_kylgsFBgeaySKzoLTwa8pvmnVeKv81K_ZWU/edit?tab=t.0" TargetMode="External"/><Relationship Id="rId194" Type="http://schemas.openxmlformats.org/officeDocument/2006/relationships/hyperlink" Target="mailto:anna.ziane@adevinta.com" TargetMode="External"/><Relationship Id="rId43" Type="http://schemas.openxmlformats.org/officeDocument/2006/relationships/hyperlink" Target="mailto:caroline.laurencin@adevinta.com" TargetMode="External"/><Relationship Id="rId193" Type="http://schemas.openxmlformats.org/officeDocument/2006/relationships/hyperlink" Target="mailto:anna.ziane@adevinta.com" TargetMode="External"/><Relationship Id="rId46" Type="http://schemas.openxmlformats.org/officeDocument/2006/relationships/hyperlink" Target="https://chatgpt.com/g/g-69e88723c08881a48e6d918eb3f5877a" TargetMode="External"/><Relationship Id="rId192" Type="http://schemas.openxmlformats.org/officeDocument/2006/relationships/hyperlink" Target="mailto:anna.ziane@adevinta.com" TargetMode="External"/><Relationship Id="rId45" Type="http://schemas.openxmlformats.org/officeDocument/2006/relationships/hyperlink" Target="https://chatgpt.com/g/g-6936e7f28d2881a4a02cbf6a6a3e8320-assistant-capex-lbc" TargetMode="External"/><Relationship Id="rId191" Type="http://schemas.openxmlformats.org/officeDocument/2006/relationships/hyperlink" Target="http://modjo.ai/" TargetMode="External"/><Relationship Id="rId48" Type="http://schemas.openxmlformats.org/officeDocument/2006/relationships/hyperlink" Target="mailto:edward.foxon@adevinta.com" TargetMode="External"/><Relationship Id="rId187" Type="http://schemas.openxmlformats.org/officeDocument/2006/relationships/hyperlink" Target="mailto:georges-antoine.salas@adevinta.com" TargetMode="External"/><Relationship Id="rId47" Type="http://schemas.openxmlformats.org/officeDocument/2006/relationships/hyperlink" Target="https://docs.google.com/document/d/19jbDi4PH8iKxEPzc9Sg7zXfB7Cq_1YY-2_yZhzzbVRc/edit?tab=t.0" TargetMode="External"/><Relationship Id="rId186" Type="http://schemas.openxmlformats.org/officeDocument/2006/relationships/hyperlink" Target="https://chatgpt.com/g/g-689dab19259481a4a60703ffb41a61ae" TargetMode="External"/><Relationship Id="rId185" Type="http://schemas.openxmlformats.org/officeDocument/2006/relationships/hyperlink" Target="mailto:jeremy.smadja@adevinta.com" TargetMode="External"/><Relationship Id="rId49" Type="http://schemas.openxmlformats.org/officeDocument/2006/relationships/hyperlink" Target="https://chatgpt.com/g/g-68d672e69a8881a49a7a08f8df44588b-scribe-linkedin-leboncoin-immo" TargetMode="External"/><Relationship Id="rId184" Type="http://schemas.openxmlformats.org/officeDocument/2006/relationships/hyperlink" Target="mailto:jeremy.smadja@adevinta.com" TargetMode="External"/><Relationship Id="rId189" Type="http://schemas.openxmlformats.org/officeDocument/2006/relationships/hyperlink" Target="https://chatgpt.com/g/g-6900c1803b4081a4bde9cb2ff2f8edf5-the-profiler" TargetMode="External"/><Relationship Id="rId188" Type="http://schemas.openxmlformats.org/officeDocument/2006/relationships/hyperlink" Target="https://chatgpt.com/g/g-689dab19259481a4a60703ffb41a61ae" TargetMode="External"/><Relationship Id="rId31" Type="http://schemas.openxmlformats.org/officeDocument/2006/relationships/hyperlink" Target="mailto:caroline.laurencin@adevinta.com" TargetMode="External"/><Relationship Id="rId30" Type="http://schemas.openxmlformats.org/officeDocument/2006/relationships/hyperlink" Target="mailto:thibaud.hergot@adevinta.com" TargetMode="External"/><Relationship Id="rId33" Type="http://schemas.openxmlformats.org/officeDocument/2006/relationships/hyperlink" Target="mailto:insung.kwon@adevinta.com" TargetMode="External"/><Relationship Id="rId183" Type="http://schemas.openxmlformats.org/officeDocument/2006/relationships/hyperlink" Target="https://chatgpt.com/g/g-68bedf687c1c81a49170de70ef4b15da-ton-assistant-p2p" TargetMode="External"/><Relationship Id="rId32" Type="http://schemas.openxmlformats.org/officeDocument/2006/relationships/hyperlink" Target="mailto:aurore.cueff@adevinta.com" TargetMode="External"/><Relationship Id="rId182" Type="http://schemas.openxmlformats.org/officeDocument/2006/relationships/hyperlink" Target="mailto:pierre.nordmann@adevinta.com" TargetMode="External"/><Relationship Id="rId35" Type="http://schemas.openxmlformats.org/officeDocument/2006/relationships/hyperlink" Target="mailto:lucie.praver@adevinta.com" TargetMode="External"/><Relationship Id="rId181" Type="http://schemas.openxmlformats.org/officeDocument/2006/relationships/hyperlink" Target="https://chatgpt.com/g/g-688b446d10d881a48289bef0d8cc9519-guide-d-atelier-mieux-se-connaitre" TargetMode="External"/><Relationship Id="rId34" Type="http://schemas.openxmlformats.org/officeDocument/2006/relationships/hyperlink" Target="mailto:thibaud.hergot@adevinta.com" TargetMode="External"/><Relationship Id="rId180" Type="http://schemas.openxmlformats.org/officeDocument/2006/relationships/hyperlink" Target="https://chatgpt.com/g/g-688cc739cff481a49e829d6636a57eba-coach-e-virtuel-le-solution-focus" TargetMode="External"/><Relationship Id="rId37" Type="http://schemas.openxmlformats.org/officeDocument/2006/relationships/hyperlink" Target="mailto:julien.rongione@adevinta.com" TargetMode="External"/><Relationship Id="rId176" Type="http://schemas.openxmlformats.org/officeDocument/2006/relationships/hyperlink" Target="https://chatgpt.com/g/g-68c7d374dcc881a4951cdb59debec85a-guide-datelier-mode-demploi" TargetMode="External"/><Relationship Id="rId36" Type="http://schemas.openxmlformats.org/officeDocument/2006/relationships/hyperlink" Target="mailto:aurore.cueff@adevinta.com" TargetMode="External"/><Relationship Id="rId175" Type="http://schemas.openxmlformats.org/officeDocument/2006/relationships/hyperlink" Target="https://chatgpt.com/g/g-68cd5f0001bc81a48e3f0912fb67441a-guide-outil-online-groupmaker" TargetMode="External"/><Relationship Id="rId39" Type="http://schemas.openxmlformats.org/officeDocument/2006/relationships/hyperlink" Target="https://chatgpt.com/g/g-6900c1803b4081a4bde9cb2ff2f8edf5-the-profiler" TargetMode="External"/><Relationship Id="rId174" Type="http://schemas.openxmlformats.org/officeDocument/2006/relationships/hyperlink" Target="https://chatgpt.com/g/g-6937e05ce10481a4bb0d65f6f582e82c-barometre-de-preuve-hybride" TargetMode="External"/><Relationship Id="rId38" Type="http://schemas.openxmlformats.org/officeDocument/2006/relationships/hyperlink" Target="mailto:lucie.praver@adevinta.com" TargetMode="External"/><Relationship Id="rId173" Type="http://schemas.openxmlformats.org/officeDocument/2006/relationships/hyperlink" Target="https://chatgpt.com/g/g-69034b576a0c81a487a2415b1d840f91-barometre-de-preuve-vulgarise" TargetMode="External"/><Relationship Id="rId179" Type="http://schemas.openxmlformats.org/officeDocument/2006/relationships/hyperlink" Target="https://chatgpt.com/g/g-68ad73343d4881a48095d7197a33face-aider-a-ecrire-un-message" TargetMode="External"/><Relationship Id="rId178" Type="http://schemas.openxmlformats.org/officeDocument/2006/relationships/hyperlink" Target="https://chatgpt.com/g/g-68adb268e4d081a4a81312f91155bc65-coache-virtuelle-satir-assouplir-les-regles" TargetMode="External"/><Relationship Id="rId177" Type="http://schemas.openxmlformats.org/officeDocument/2006/relationships/hyperlink" Target="https://chatgpt.com/g/g-68b01154657081a4bff749b2021aad97-coache-virtuelle-satir-iceberg" TargetMode="External"/><Relationship Id="rId20" Type="http://schemas.openxmlformats.org/officeDocument/2006/relationships/hyperlink" Target="mailto:aline.noyelle-becerra@adevinta.com" TargetMode="External"/><Relationship Id="rId22" Type="http://schemas.openxmlformats.org/officeDocument/2006/relationships/hyperlink" Target="mailto:aline.noyelle-becerra@adevinta.com" TargetMode="External"/><Relationship Id="rId21" Type="http://schemas.openxmlformats.org/officeDocument/2006/relationships/hyperlink" Target="mailto:aline.noyelle-becerra@adevinta.com" TargetMode="External"/><Relationship Id="rId24" Type="http://schemas.openxmlformats.org/officeDocument/2006/relationships/hyperlink" Target="mailto:aline.noyelle-becerra@adevinta.com" TargetMode="External"/><Relationship Id="rId23" Type="http://schemas.openxmlformats.org/officeDocument/2006/relationships/hyperlink" Target="mailto:aline.noyelle-becerra@adevinta.com" TargetMode="External"/><Relationship Id="rId26" Type="http://schemas.openxmlformats.org/officeDocument/2006/relationships/hyperlink" Target="mailto:erwan.brouttier@adevinta.com" TargetMode="External"/><Relationship Id="rId25" Type="http://schemas.openxmlformats.org/officeDocument/2006/relationships/hyperlink" Target="https://chatgpt.com/g/g-692dc510090881a4b01e6b8f4d94be73-akimotor" TargetMode="External"/><Relationship Id="rId28" Type="http://schemas.openxmlformats.org/officeDocument/2006/relationships/hyperlink" Target="mailto:caroline.laurencin@adevinta.com" TargetMode="External"/><Relationship Id="rId27" Type="http://schemas.openxmlformats.org/officeDocument/2006/relationships/hyperlink" Target="mailto:caroline.laurencin@adevinta.com" TargetMode="External"/><Relationship Id="rId29" Type="http://schemas.openxmlformats.org/officeDocument/2006/relationships/hyperlink" Target="mailto:thibaud.hergot@adevinta.com" TargetMode="External"/><Relationship Id="rId11" Type="http://schemas.openxmlformats.org/officeDocument/2006/relationships/hyperlink" Target="mailto:aline.noyelle-becerra@adevinta.com" TargetMode="External"/><Relationship Id="rId10" Type="http://schemas.openxmlformats.org/officeDocument/2006/relationships/hyperlink" Target="mailto:aline.noyelle-becerra@adevinta.com" TargetMode="External"/><Relationship Id="rId13" Type="http://schemas.openxmlformats.org/officeDocument/2006/relationships/hyperlink" Target="https://docs.google.com/document/d/14_vOXlpJKgY0l-xYnVsvLIVXUhcl_YxuBUWGzHKWAmg/edit?usp=sharing" TargetMode="External"/><Relationship Id="rId12" Type="http://schemas.openxmlformats.org/officeDocument/2006/relationships/hyperlink" Target="https://agriaffaires.zendesk.com/hc/fr" TargetMode="External"/><Relationship Id="rId15" Type="http://schemas.openxmlformats.org/officeDocument/2006/relationships/hyperlink" Target="mailto:aline.noyelle-becerra@adevinta.com" TargetMode="External"/><Relationship Id="rId198" Type="http://schemas.openxmlformats.org/officeDocument/2006/relationships/hyperlink" Target="mailto:anna.ziane@adevinta.com" TargetMode="External"/><Relationship Id="rId14" Type="http://schemas.openxmlformats.org/officeDocument/2006/relationships/hyperlink" Target="mailto:aline.noyelle-becerra@adevinta.com" TargetMode="External"/><Relationship Id="rId197" Type="http://schemas.openxmlformats.org/officeDocument/2006/relationships/hyperlink" Target="mailto:anna.ziane@adevinta.com" TargetMode="External"/><Relationship Id="rId17" Type="http://schemas.openxmlformats.org/officeDocument/2006/relationships/hyperlink" Target="mailto:aline.noyelle-becerra@adevinta.com" TargetMode="External"/><Relationship Id="rId196" Type="http://schemas.openxmlformats.org/officeDocument/2006/relationships/hyperlink" Target="mailto:anna.ziane@adevinta.com" TargetMode="External"/><Relationship Id="rId16" Type="http://schemas.openxmlformats.org/officeDocument/2006/relationships/hyperlink" Target="mailto:aline.noyelle-becerra@adevinta.com" TargetMode="External"/><Relationship Id="rId195" Type="http://schemas.openxmlformats.org/officeDocument/2006/relationships/hyperlink" Target="mailto:anna.ziane@adevinta.com" TargetMode="External"/><Relationship Id="rId19" Type="http://schemas.openxmlformats.org/officeDocument/2006/relationships/hyperlink" Target="mailto:aline.noyelle-becerra@adevinta.com" TargetMode="External"/><Relationship Id="rId18" Type="http://schemas.openxmlformats.org/officeDocument/2006/relationships/hyperlink" Target="mailto:aline.noyelle-becerra@adevinta.com" TargetMode="External"/><Relationship Id="rId199" Type="http://schemas.openxmlformats.org/officeDocument/2006/relationships/hyperlink" Target="mailto:anna.ziane@adevinta.com" TargetMode="External"/><Relationship Id="rId84" Type="http://schemas.openxmlformats.org/officeDocument/2006/relationships/hyperlink" Target="https://notebooklm.google.com/notebook/a93e9712-ab78-4953-a309-a1cb07b33235" TargetMode="External"/><Relationship Id="rId83" Type="http://schemas.openxmlformats.org/officeDocument/2006/relationships/hyperlink" Target="mailto:lisa.assanto@adevinta.com" TargetMode="External"/><Relationship Id="rId86" Type="http://schemas.openxmlformats.org/officeDocument/2006/relationships/hyperlink" Target="https://chatgpt.com/g/g-68873d86e07081a4aeeede242916c352-faq-juridiques-adv-et-commerciaux?model=gpt-4o" TargetMode="External"/><Relationship Id="rId85" Type="http://schemas.openxmlformats.org/officeDocument/2006/relationships/hyperlink" Target="https://chatgpt.com/g/g-68d3ebe625cc81a4854de8ca0bb87d6f-assistant-juridique" TargetMode="External"/><Relationship Id="rId88" Type="http://schemas.openxmlformats.org/officeDocument/2006/relationships/hyperlink" Target="mailto:youness.nadir@adevinta.com" TargetMode="External"/><Relationship Id="rId150" Type="http://schemas.openxmlformats.org/officeDocument/2006/relationships/hyperlink" Target="mailto:cecile.polard@adevinta.com" TargetMode="External"/><Relationship Id="rId87" Type="http://schemas.openxmlformats.org/officeDocument/2006/relationships/hyperlink" Target="mailto:fiona.vassaux@adevinta.com" TargetMode="External"/><Relationship Id="rId89" Type="http://schemas.openxmlformats.org/officeDocument/2006/relationships/hyperlink" Target="mailto:pierre.palisson@adevinta.com" TargetMode="External"/><Relationship Id="rId80" Type="http://schemas.openxmlformats.org/officeDocument/2006/relationships/hyperlink" Target="https://chatgpt.com/g/g-68b83cd180b481a4bf3d02e683f523dc-sales-genius-leboncoin-immo" TargetMode="External"/><Relationship Id="rId82" Type="http://schemas.openxmlformats.org/officeDocument/2006/relationships/hyperlink" Target="https://chatgpt.com/g/g-693ad7e1cfe481a49dbd0631923155a8-evolutions-produits-tdr" TargetMode="External"/><Relationship Id="rId81" Type="http://schemas.openxmlformats.org/officeDocument/2006/relationships/hyperlink" Target="https://chatgpt.com/g/g-68b83cd180b481a4bf3d02e683f523dc-sales-genius-leboncoin-immo"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mailto:cecile.polard@adevinta.com" TargetMode="External"/><Relationship Id="rId4" Type="http://schemas.openxmlformats.org/officeDocument/2006/relationships/hyperlink" Target="mailto:aline.noyelle-becerra@adevinta.com" TargetMode="External"/><Relationship Id="rId148" Type="http://schemas.openxmlformats.org/officeDocument/2006/relationships/hyperlink" Target="mailto:juliette.patry@adevinta.com" TargetMode="External"/><Relationship Id="rId9" Type="http://schemas.openxmlformats.org/officeDocument/2006/relationships/hyperlink" Target="mailto:aline.noyelle-becerra@adevinta.com" TargetMode="External"/><Relationship Id="rId143" Type="http://schemas.openxmlformats.org/officeDocument/2006/relationships/hyperlink" Target="mailto:juliette.patry@adevinta.com" TargetMode="External"/><Relationship Id="rId142" Type="http://schemas.openxmlformats.org/officeDocument/2006/relationships/hyperlink" Target="mailto:mathilde.morel@adevinta.com" TargetMode="External"/><Relationship Id="rId141" Type="http://schemas.openxmlformats.org/officeDocument/2006/relationships/hyperlink" Target="mailto:mathilde.morel@adevinta.com" TargetMode="External"/><Relationship Id="rId140" Type="http://schemas.openxmlformats.org/officeDocument/2006/relationships/hyperlink" Target="https://chatgpt.com/g/g-69a1afcc74a481a48bb3bb7d578c74ce-professeur-lbc" TargetMode="External"/><Relationship Id="rId5" Type="http://schemas.openxmlformats.org/officeDocument/2006/relationships/hyperlink" Target="mailto:aline.noyelle-becerra@adevinta.com" TargetMode="External"/><Relationship Id="rId147" Type="http://schemas.openxmlformats.org/officeDocument/2006/relationships/hyperlink" Target="mailto:elodie.baudin@adevinta.com" TargetMode="External"/><Relationship Id="rId6" Type="http://schemas.openxmlformats.org/officeDocument/2006/relationships/hyperlink" Target="mailto:erwan.brouttier@adevinta.com" TargetMode="External"/><Relationship Id="rId146" Type="http://schemas.openxmlformats.org/officeDocument/2006/relationships/hyperlink" Target="mailto:carine.rinaldi@adevinta.com" TargetMode="External"/><Relationship Id="rId7" Type="http://schemas.openxmlformats.org/officeDocument/2006/relationships/hyperlink" Target="mailto:erwan.brouttier@adevinta.com" TargetMode="External"/><Relationship Id="rId145" Type="http://schemas.openxmlformats.org/officeDocument/2006/relationships/hyperlink" Target="mailto:quentin.michalik@adevinta.com" TargetMode="External"/><Relationship Id="rId8" Type="http://schemas.openxmlformats.org/officeDocument/2006/relationships/hyperlink" Target="mailto:aline.noyelle-becerra@adevinta.com" TargetMode="External"/><Relationship Id="rId144" Type="http://schemas.openxmlformats.org/officeDocument/2006/relationships/hyperlink" Target="mailto:juliette.patry@adevinta.com" TargetMode="External"/><Relationship Id="rId73" Type="http://schemas.openxmlformats.org/officeDocument/2006/relationships/hyperlink" Target="mailto:virginie.rudelle@adevinta.com" TargetMode="External"/><Relationship Id="rId72" Type="http://schemas.openxmlformats.org/officeDocument/2006/relationships/hyperlink" Target="https://docs.google.com/presentation/d/139R1uAV9mY1yF-o6xmoz8moF-ArUfQ7rJYr4u7CeCj8/edit?slide=id.g39f783d3921_0_0" TargetMode="External"/><Relationship Id="rId75" Type="http://schemas.openxmlformats.org/officeDocument/2006/relationships/hyperlink" Target="https://chatgpt.com/g/g-693036e29d4481a49a74953b20c6f5b7-marketing-radar" TargetMode="External"/><Relationship Id="rId74" Type="http://schemas.openxmlformats.org/officeDocument/2006/relationships/hyperlink" Target="https://chatgpt.com/g/g-68b83cd180b481a4bf3d02e683f523dc-sales-genius-leboncoin-immo" TargetMode="External"/><Relationship Id="rId77" Type="http://schemas.openxmlformats.org/officeDocument/2006/relationships/hyperlink" Target="https://docs.google.com/spreadsheets/d/1eB5mJD-O89cHfso_jwm5ycQ5JdQqXm263l_Qzt7Ae3Y/edit?gid=487742801" TargetMode="External"/><Relationship Id="rId76" Type="http://schemas.openxmlformats.org/officeDocument/2006/relationships/hyperlink" Target="https://chatgpt.com/g/g-693036e29d4481a49a74953b20c6f5b7-marketing-radar" TargetMode="External"/><Relationship Id="rId79" Type="http://schemas.openxmlformats.org/officeDocument/2006/relationships/hyperlink" Target="https://chatgpt.com/g/g-68b83cd180b481a4bf3d02e683f523dc-sales-genius-leboncoin-immo" TargetMode="External"/><Relationship Id="rId78" Type="http://schemas.openxmlformats.org/officeDocument/2006/relationships/hyperlink" Target="https://chatgpt.com/g/g-68b83cd180b481a4bf3d02e683f523dc-sales-genius-leboncoin-immo" TargetMode="External"/><Relationship Id="rId71" Type="http://schemas.openxmlformats.org/officeDocument/2006/relationships/hyperlink" Target="https://chatgpt.com/g/g-68b83cd180b481a4bf3d02e683f523dc-sales-genius-leboncoin-immo" TargetMode="External"/><Relationship Id="rId70" Type="http://schemas.openxmlformats.org/officeDocument/2006/relationships/hyperlink" Target="https://chatgpt.com/g/g-68b83cd180b481a4bf3d02e683f523dc-sales-genius-leboncoin-immo" TargetMode="External"/><Relationship Id="rId139" Type="http://schemas.openxmlformats.org/officeDocument/2006/relationships/hyperlink" Target="mailto:carine.rinaldi@adevinta.com" TargetMode="External"/><Relationship Id="rId138" Type="http://schemas.openxmlformats.org/officeDocument/2006/relationships/hyperlink" Target="mailto:carine.rinaldi@adevinta.com" TargetMode="External"/><Relationship Id="rId137" Type="http://schemas.openxmlformats.org/officeDocument/2006/relationships/hyperlink" Target="mailto:cecile.polard@adevinta.com" TargetMode="External"/><Relationship Id="rId132" Type="http://schemas.openxmlformats.org/officeDocument/2006/relationships/hyperlink" Target="mailto:mathilde.morel@adevinta.com" TargetMode="External"/><Relationship Id="rId131" Type="http://schemas.openxmlformats.org/officeDocument/2006/relationships/hyperlink" Target="https://chatgpt.com/g/g-687f595dc3e481a49901fabd5c97e862-mt-assistant-exemples-de-programmation" TargetMode="External"/><Relationship Id="rId130" Type="http://schemas.openxmlformats.org/officeDocument/2006/relationships/hyperlink" Target="https://chatgpt.com/g/g-687f3e4cc7b881a4bcdd3a46f0731cab-mediatrading-assistant-bilans" TargetMode="External"/><Relationship Id="rId136" Type="http://schemas.openxmlformats.org/officeDocument/2006/relationships/hyperlink" Target="mailto:juliette.patry@adevinta.com" TargetMode="External"/><Relationship Id="rId135" Type="http://schemas.openxmlformats.org/officeDocument/2006/relationships/hyperlink" Target="mailto:quentin.michalik@adevinta.com" TargetMode="External"/><Relationship Id="rId134" Type="http://schemas.openxmlformats.org/officeDocument/2006/relationships/hyperlink" Target="mailto:cecile.polard@adevinta.com" TargetMode="External"/><Relationship Id="rId133" Type="http://schemas.openxmlformats.org/officeDocument/2006/relationships/hyperlink" Target="https://chatgpt.com/g/g-68d3ebe625cc81a4854de8ca0bb87d6f-assistant-juridique" TargetMode="External"/><Relationship Id="rId62" Type="http://schemas.openxmlformats.org/officeDocument/2006/relationships/hyperlink" Target="mailto:lisa.assanto@adevinta.com" TargetMode="External"/><Relationship Id="rId61" Type="http://schemas.openxmlformats.org/officeDocument/2006/relationships/hyperlink" Target="mailto:lisa.assanto@adevinta.com" TargetMode="External"/><Relationship Id="rId64" Type="http://schemas.openxmlformats.org/officeDocument/2006/relationships/hyperlink" Target="mailto:anna.ziane@adevinta.com" TargetMode="External"/><Relationship Id="rId63" Type="http://schemas.openxmlformats.org/officeDocument/2006/relationships/hyperlink" Target="mailto:anna.ziane@adevinta.com" TargetMode="External"/><Relationship Id="rId66" Type="http://schemas.openxmlformats.org/officeDocument/2006/relationships/hyperlink" Target="mailto:anna.ziane@adevinta.com" TargetMode="External"/><Relationship Id="rId172" Type="http://schemas.openxmlformats.org/officeDocument/2006/relationships/hyperlink" Target="https://chatgpt.com/g/g-690a2bfafb7081a4898113fa2ee21edc-barometre-de-preuve-rigoureux" TargetMode="External"/><Relationship Id="rId65" Type="http://schemas.openxmlformats.org/officeDocument/2006/relationships/hyperlink" Target="mailto:anna.ziane@adevinta.com" TargetMode="External"/><Relationship Id="rId171" Type="http://schemas.openxmlformats.org/officeDocument/2006/relationships/hyperlink" Target="https://chatgpt.com/g/g-690dc2619bf081a487bd688deb887605-aide-brief-du-vendredi" TargetMode="External"/><Relationship Id="rId68" Type="http://schemas.openxmlformats.org/officeDocument/2006/relationships/hyperlink" Target="https://chatgpt.com/g/g-693036e29d4481a49a74953b20c6f5b7-marketing-radar" TargetMode="External"/><Relationship Id="rId170" Type="http://schemas.openxmlformats.org/officeDocument/2006/relationships/hyperlink" Target="https://chatgpt.com/g/g-691ee8d1f91881a49b96e794e089bc2a-aide-cadrage" TargetMode="External"/><Relationship Id="rId67" Type="http://schemas.openxmlformats.org/officeDocument/2006/relationships/hyperlink" Target="mailto:anna.ziane@adevinta.com" TargetMode="External"/><Relationship Id="rId60" Type="http://schemas.openxmlformats.org/officeDocument/2006/relationships/hyperlink" Target="mailto:lisa.assanto@adevinta.com" TargetMode="External"/><Relationship Id="rId165" Type="http://schemas.openxmlformats.org/officeDocument/2006/relationships/hyperlink" Target="https://chatgpt.com/g/g-688746f035ac81a4ba2648c600aae516-expert-depot-dynamique" TargetMode="External"/><Relationship Id="rId69" Type="http://schemas.openxmlformats.org/officeDocument/2006/relationships/hyperlink" Target="mailto:virginie.rudelle@adevinta.com" TargetMode="External"/><Relationship Id="rId164" Type="http://schemas.openxmlformats.org/officeDocument/2006/relationships/hyperlink" Target="https://chatgpt.com/g/g-6888efe9487081a49912b8a89e2326b5-architecte-adr?model=gpt-5-thinking" TargetMode="External"/><Relationship Id="rId163" Type="http://schemas.openxmlformats.org/officeDocument/2006/relationships/hyperlink" Target="mailto:andy.ladjadj@adevinta.com" TargetMode="External"/><Relationship Id="rId162" Type="http://schemas.openxmlformats.org/officeDocument/2006/relationships/hyperlink" Target="https://backstage.mpi-internal.com/docs/leboncoin/component/backstage/soundcheck/overview/" TargetMode="External"/><Relationship Id="rId169" Type="http://schemas.openxmlformats.org/officeDocument/2006/relationships/hyperlink" Target="mailto:vincent.demeules@adevinta.com" TargetMode="External"/><Relationship Id="rId168" Type="http://schemas.openxmlformats.org/officeDocument/2006/relationships/hyperlink" Target="mailto:vincent.demeules@adevinta.com" TargetMode="External"/><Relationship Id="rId167" Type="http://schemas.openxmlformats.org/officeDocument/2006/relationships/hyperlink" Target="https://chatgpt.com/g/g-68d3b476624081a499c7dc752f9bb9da-assistant-onboarding" TargetMode="External"/><Relationship Id="rId166" Type="http://schemas.openxmlformats.org/officeDocument/2006/relationships/hyperlink" Target="https://chatgpt.com/g/g-6890ac5ed71081a487d6b39f41e91d5a-slide-buddy" TargetMode="External"/><Relationship Id="rId51" Type="http://schemas.openxmlformats.org/officeDocument/2006/relationships/hyperlink" Target="https://wave.adevinta.com/leboncoin/ls/community/la-communaut%C3%A9-immo/post/6467348287077170" TargetMode="External"/><Relationship Id="rId50" Type="http://schemas.openxmlformats.org/officeDocument/2006/relationships/hyperlink" Target="https://www.figma.com/fr-fr/make/" TargetMode="External"/><Relationship Id="rId53" Type="http://schemas.openxmlformats.org/officeDocument/2006/relationships/hyperlink" Target="https://chatgpt.com/g/g-699447ba51c081a4935066c1a69b5212-sketching-discours-commercial" TargetMode="External"/><Relationship Id="rId52" Type="http://schemas.openxmlformats.org/officeDocument/2006/relationships/hyperlink" Target="https://notebooklm.google.com/notebook/2a9af11d-b4a7-4dfa-99c0-148d597c9a0b" TargetMode="External"/><Relationship Id="rId55" Type="http://schemas.openxmlformats.org/officeDocument/2006/relationships/hyperlink" Target="https://getmint.ai/" TargetMode="External"/><Relationship Id="rId161" Type="http://schemas.openxmlformats.org/officeDocument/2006/relationships/hyperlink" Target="mailto:jeremy.smadja@adevinta.com" TargetMode="External"/><Relationship Id="rId54" Type="http://schemas.openxmlformats.org/officeDocument/2006/relationships/hyperlink" Target="https://drive.google.com/drive/u/0/folders/1NLqLRWQzn3b46Cy-xYABhjR-R7sl5bh_" TargetMode="External"/><Relationship Id="rId160" Type="http://schemas.openxmlformats.org/officeDocument/2006/relationships/hyperlink" Target="mailto:jeremy.smadja@adevinta.com" TargetMode="External"/><Relationship Id="rId57" Type="http://schemas.openxmlformats.org/officeDocument/2006/relationships/hyperlink" Target="https://chatgpt.com/g/g-69e5d8e23e0481a4bb399e47ff57baec-le-bon-presentateur" TargetMode="External"/><Relationship Id="rId56" Type="http://schemas.openxmlformats.org/officeDocument/2006/relationships/hyperlink" Target="https://chatgpt.com/g/g-69947d8752dc81a4b273d771709a0f9c-assistant-email-immo" TargetMode="External"/><Relationship Id="rId159" Type="http://schemas.openxmlformats.org/officeDocument/2006/relationships/hyperlink" Target="https://github.mpi-internal.com/jeremy-smadja/auto-pppexemple" TargetMode="External"/><Relationship Id="rId59" Type="http://schemas.openxmlformats.org/officeDocument/2006/relationships/hyperlink" Target="mailto:anna.ziane@adevinta.com" TargetMode="External"/><Relationship Id="rId154" Type="http://schemas.openxmlformats.org/officeDocument/2006/relationships/hyperlink" Target="https://chatgpt.com/g/g-697b725c7a2881a49649979cbd81f36e" TargetMode="External"/><Relationship Id="rId58" Type="http://schemas.openxmlformats.org/officeDocument/2006/relationships/hyperlink" Target="mailto:virginie.rudelle@adevinta.com" TargetMode="External"/><Relationship Id="rId153" Type="http://schemas.openxmlformats.org/officeDocument/2006/relationships/hyperlink" Target="https://github.mpi-internal.com/leboncoin/google-super-publipostage" TargetMode="External"/><Relationship Id="rId152" Type="http://schemas.openxmlformats.org/officeDocument/2006/relationships/hyperlink" Target="mailto:cecile.polard@adevinta.com" TargetMode="External"/><Relationship Id="rId151" Type="http://schemas.openxmlformats.org/officeDocument/2006/relationships/hyperlink" Target="mailto:cecile.polard@adevinta.com" TargetMode="External"/><Relationship Id="rId158" Type="http://schemas.openxmlformats.org/officeDocument/2006/relationships/hyperlink" Target="https://chatgpt.com/g/g-68cbcec5296c81a49630780b7947bfdc-auto-ppp-iss" TargetMode="External"/><Relationship Id="rId157" Type="http://schemas.openxmlformats.org/officeDocument/2006/relationships/hyperlink" Target="https://gerrit.googlesource.com/plugins/ai-code-review/" TargetMode="External"/><Relationship Id="rId156" Type="http://schemas.openxmlformats.org/officeDocument/2006/relationships/hyperlink" Target="https://chatgpt.com/g/g-6900c1803b4081a4bde9cb2ff2f8edf5-the-profiler" TargetMode="External"/><Relationship Id="rId155" Type="http://schemas.openxmlformats.org/officeDocument/2006/relationships/hyperlink" Target="https://chatgpt.com/g/g-6900c1803b4081a4bde9cb2ff2f8edf5-the-profiler" TargetMode="External"/><Relationship Id="rId107" Type="http://schemas.openxmlformats.org/officeDocument/2006/relationships/hyperlink" Target="mailto:priscilla.morienne@adevinta.com" TargetMode="External"/><Relationship Id="rId106" Type="http://schemas.openxmlformats.org/officeDocument/2006/relationships/hyperlink" Target="https://chatgpt.com/g/g-68b1bbbb377081a4a16c3d7b6d85ca87-pablo-votre-assistant-tableau" TargetMode="External"/><Relationship Id="rId105" Type="http://schemas.openxmlformats.org/officeDocument/2006/relationships/hyperlink" Target="mailto:patrice.chaperon@adevinta.com" TargetMode="External"/><Relationship Id="rId104" Type="http://schemas.openxmlformats.org/officeDocument/2006/relationships/hyperlink" Target="mailto:patrice.chaperon@adevinta.com" TargetMode="External"/><Relationship Id="rId109" Type="http://schemas.openxmlformats.org/officeDocument/2006/relationships/hyperlink" Target="mailto:priscilla.morienne@adevinta.com" TargetMode="External"/><Relationship Id="rId108" Type="http://schemas.openxmlformats.org/officeDocument/2006/relationships/hyperlink" Target="mailto:priscilla.morienne@adevinta.com" TargetMode="External"/><Relationship Id="rId103" Type="http://schemas.openxmlformats.org/officeDocument/2006/relationships/hyperlink" Target="mailto:chloe.lasserre@adevinta.com" TargetMode="External"/><Relationship Id="rId102" Type="http://schemas.openxmlformats.org/officeDocument/2006/relationships/hyperlink" Target="mailto:chloe.lasserre@adevinta.com" TargetMode="External"/><Relationship Id="rId101" Type="http://schemas.openxmlformats.org/officeDocument/2006/relationships/hyperlink" Target="https://leboncoinpro.datadoghq.com/dashboard/5j8-f2t-dzf/foundations-spark-usage-webprod?fromUser=false&amp;refresh_mode=sliding&amp;from_ts=1769414097308&amp;to_ts=1769417697308&amp;live=true" TargetMode="External"/><Relationship Id="rId100" Type="http://schemas.openxmlformats.org/officeDocument/2006/relationships/hyperlink" Target="mailto:chloe.lasserre@adevinta.com" TargetMode="External"/><Relationship Id="rId129" Type="http://schemas.openxmlformats.org/officeDocument/2006/relationships/hyperlink" Target="https://chatgpt.com/g/g-68c1ac6aee5081a4802039e023983fdf-mt-assistant-bilans-ea" TargetMode="External"/><Relationship Id="rId128" Type="http://schemas.openxmlformats.org/officeDocument/2006/relationships/hyperlink" Target="https://chatgpt.com/g/g-69c3f20a4c2081a4b780c08b74e4bcc2-lebonsegment" TargetMode="External"/><Relationship Id="rId127" Type="http://schemas.openxmlformats.org/officeDocument/2006/relationships/hyperlink" Target="https://notebooklm.google.com/notebook/e4394101-e9fb-4eef-96aa-512e7ce262f3/preview" TargetMode="External"/><Relationship Id="rId126" Type="http://schemas.openxmlformats.org/officeDocument/2006/relationships/hyperlink" Target="https://docs.google.com/presentation/d/1d793Js5IHi9Nmedvb7jGaEbU0Dmm2wIJ_NTGrqnNbAU/edit?slide=id.g3d05b199339_0_3020" TargetMode="External"/><Relationship Id="rId121" Type="http://schemas.openxmlformats.org/officeDocument/2006/relationships/hyperlink" Target="mailto:ludovic.hazart@adevinta.com" TargetMode="External"/><Relationship Id="rId120" Type="http://schemas.openxmlformats.org/officeDocument/2006/relationships/hyperlink" Target="mailto:pauline.minary@adevinta.com" TargetMode="External"/><Relationship Id="rId125" Type="http://schemas.openxmlformats.org/officeDocument/2006/relationships/hyperlink" Target="https://chatgpt.com/g/g-69679b96ae3c81a49be65c9fd73065fa-lea-votre-copilote-pour-vendre-l-ea" TargetMode="External"/><Relationship Id="rId124" Type="http://schemas.openxmlformats.org/officeDocument/2006/relationships/hyperlink" Target="mailto:melanie.meng@adevinta.com" TargetMode="External"/><Relationship Id="rId123" Type="http://schemas.openxmlformats.org/officeDocument/2006/relationships/hyperlink" Target="mailto:gilles.lalyre.ext@adevinta.com" TargetMode="External"/><Relationship Id="rId122" Type="http://schemas.openxmlformats.org/officeDocument/2006/relationships/hyperlink" Target="https://chatgpt.com/g/g-68cd6e11845c81a4b672ab11d59fce2d-capello-guide-d-ux-writing-lbc" TargetMode="External"/><Relationship Id="rId95" Type="http://schemas.openxmlformats.org/officeDocument/2006/relationships/hyperlink" Target="mailto:anais.langlet@adevinta.com" TargetMode="External"/><Relationship Id="rId94" Type="http://schemas.openxmlformats.org/officeDocument/2006/relationships/hyperlink" Target="mailto:laurent.borel@adevinta.com" TargetMode="External"/><Relationship Id="rId97" Type="http://schemas.openxmlformats.org/officeDocument/2006/relationships/hyperlink" Target="mailto:adil.ghazaoui-didi@adevinta.com" TargetMode="External"/><Relationship Id="rId96" Type="http://schemas.openxmlformats.org/officeDocument/2006/relationships/hyperlink" Target="mailto:julia.langlois@adevinta.com" TargetMode="External"/><Relationship Id="rId99" Type="http://schemas.openxmlformats.org/officeDocument/2006/relationships/hyperlink" Target="mailto:chloe.lasserre@adevinta.com" TargetMode="External"/><Relationship Id="rId98" Type="http://schemas.openxmlformats.org/officeDocument/2006/relationships/hyperlink" Target="mailto:pauline.minary@adevinta.com" TargetMode="External"/><Relationship Id="rId91" Type="http://schemas.openxmlformats.org/officeDocument/2006/relationships/hyperlink" Target="mailto:ludovic.hazart@adevinta.com" TargetMode="External"/><Relationship Id="rId90" Type="http://schemas.openxmlformats.org/officeDocument/2006/relationships/hyperlink" Target="https://chatgpt.com/g/g-68e90791ddd081a4a2337c8b27a8054a-confidence-helper" TargetMode="External"/><Relationship Id="rId93" Type="http://schemas.openxmlformats.org/officeDocument/2006/relationships/hyperlink" Target="mailto:patrice.chaperon@adevinta.com" TargetMode="External"/><Relationship Id="rId92" Type="http://schemas.openxmlformats.org/officeDocument/2006/relationships/hyperlink" Target="mailto:anais.langlet@adevinta.com" TargetMode="External"/><Relationship Id="rId118" Type="http://schemas.openxmlformats.org/officeDocument/2006/relationships/hyperlink" Target="mailto:laurent.borel@adevinta.com" TargetMode="External"/><Relationship Id="rId117" Type="http://schemas.openxmlformats.org/officeDocument/2006/relationships/hyperlink" Target="mailto:abderrahmane.abdallahoum@adevinta.com" TargetMode="External"/><Relationship Id="rId116" Type="http://schemas.openxmlformats.org/officeDocument/2006/relationships/hyperlink" Target="https://chatgpt.com/g/g-68dbf10d36c081a4b0c8230d45732858-pixel-l-outil-de-design-review-ultime" TargetMode="External"/><Relationship Id="rId115" Type="http://schemas.openxmlformats.org/officeDocument/2006/relationships/hyperlink" Target="https://chatgpt.com/g/g-68dbf10d36c081a4b0c8230d45732858-pixel-l-outil-de-design-review-ultime" TargetMode="External"/><Relationship Id="rId119" Type="http://schemas.openxmlformats.org/officeDocument/2006/relationships/hyperlink" Target="mailto:abderrahmane.abdallahoum@adevinta.com" TargetMode="External"/><Relationship Id="rId110" Type="http://schemas.openxmlformats.org/officeDocument/2006/relationships/hyperlink" Target="mailto:laurent.borel@adevinta.com" TargetMode="External"/><Relationship Id="rId114" Type="http://schemas.openxmlformats.org/officeDocument/2006/relationships/hyperlink" Target="mailto:davide.duina@adevinta.com" TargetMode="External"/><Relationship Id="rId113" Type="http://schemas.openxmlformats.org/officeDocument/2006/relationships/hyperlink" Target="mailto:davide.duina@adevinta.com" TargetMode="External"/><Relationship Id="rId112" Type="http://schemas.openxmlformats.org/officeDocument/2006/relationships/hyperlink" Target="mailto:imene.sediri@adevinta.com" TargetMode="External"/><Relationship Id="rId111" Type="http://schemas.openxmlformats.org/officeDocument/2006/relationships/hyperlink" Target="mailto:patrice.chaperon@adevinta.com" TargetMode="External"/><Relationship Id="rId206" Type="http://schemas.openxmlformats.org/officeDocument/2006/relationships/hyperlink" Target="mailto:davide.duina@adevinta.com" TargetMode="External"/><Relationship Id="rId205" Type="http://schemas.openxmlformats.org/officeDocument/2006/relationships/hyperlink" Target="https://chatgpt.com/g/g-69f06df35d1881a4986915cb868144c6-campaign-url-builder" TargetMode="External"/><Relationship Id="rId204" Type="http://schemas.openxmlformats.org/officeDocument/2006/relationships/hyperlink" Target="mailto:celine.to@adevinta.com" TargetMode="External"/><Relationship Id="rId203" Type="http://schemas.openxmlformats.org/officeDocument/2006/relationships/hyperlink" Target="mailto:celine.to@adevinta.com" TargetMode="External"/><Relationship Id="rId209" Type="http://schemas.openxmlformats.org/officeDocument/2006/relationships/vmlDrawing" Target="../drawings/vmlDrawing1.vml"/><Relationship Id="rId208" Type="http://schemas.openxmlformats.org/officeDocument/2006/relationships/drawing" Target="../drawings/drawing1.xml"/><Relationship Id="rId207" Type="http://schemas.openxmlformats.org/officeDocument/2006/relationships/hyperlink" Target="https://drive.google.com/file/d/1btS39b5QSduvoaGsMLTvpiq1-q432dgE/view" TargetMode="External"/><Relationship Id="rId202" Type="http://schemas.openxmlformats.org/officeDocument/2006/relationships/hyperlink" Target="mailto:adil.ghazaoui-didi@adevinta.com" TargetMode="External"/><Relationship Id="rId201" Type="http://schemas.openxmlformats.org/officeDocument/2006/relationships/hyperlink" Target="https://github.mpi-internal.com/leboncoin/claude-code-plugins/tree/main/plugins/product-management" TargetMode="External"/><Relationship Id="rId200" Type="http://schemas.openxmlformats.org/officeDocument/2006/relationships/hyperlink" Target="mailto:pierre.abi-aad@adevinta.com" TargetMode="Externa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chatgpt.com/g/g-688b446d10d881a48289bef0d8cc9519-guide-d-atelier-mieux-se-connaitre" TargetMode="External"/><Relationship Id="rId21" Type="http://schemas.openxmlformats.org/officeDocument/2006/relationships/drawing" Target="../drawings/drawing7.xml"/><Relationship Id="rId23" Type="http://schemas.openxmlformats.org/officeDocument/2006/relationships/table" Target="../tables/table1.xml"/><Relationship Id="rId11" Type="http://schemas.openxmlformats.org/officeDocument/2006/relationships/hyperlink" Target="https://chatgpt.com/g/g-690a2bfafb7081a4898113fa2ee21edc-barometre-de-preuve-rigoureux" TargetMode="External"/><Relationship Id="rId10" Type="http://schemas.openxmlformats.org/officeDocument/2006/relationships/hyperlink" Target="https://chatgpt.com/g/g-690dc2619bf081a487bd688deb887605-aide-brief-du-vendredi" TargetMode="External"/><Relationship Id="rId13" Type="http://schemas.openxmlformats.org/officeDocument/2006/relationships/hyperlink" Target="https://chatgpt.com/g/g-6937e05ce10481a4bb0d65f6f582e82c-barometre-de-preuve-hybride" TargetMode="External"/><Relationship Id="rId12" Type="http://schemas.openxmlformats.org/officeDocument/2006/relationships/hyperlink" Target="https://chatgpt.com/g/g-69034b576a0c81a487a2415b1d840f91-barometre-de-preuve-vulgarise" TargetMode="External"/><Relationship Id="rId15" Type="http://schemas.openxmlformats.org/officeDocument/2006/relationships/hyperlink" Target="https://chatgpt.com/g/g-68c7d374dcc881a4951cdb59debec85a-guide-datelier-mode-demploi" TargetMode="External"/><Relationship Id="rId14" Type="http://schemas.openxmlformats.org/officeDocument/2006/relationships/hyperlink" Target="https://chatgpt.com/g/g-68cd5f0001bc81a48e3f0912fb67441a-guide-outil-online-groupmaker" TargetMode="External"/><Relationship Id="rId17" Type="http://schemas.openxmlformats.org/officeDocument/2006/relationships/hyperlink" Target="https://chatgpt.com/g/g-68adb268e4d081a4a81312f91155bc65-coache-virtuelle-satir-assouplir-les-regles" TargetMode="External"/><Relationship Id="rId16" Type="http://schemas.openxmlformats.org/officeDocument/2006/relationships/hyperlink" Target="https://chatgpt.com/g/g-68b01154657081a4bff749b2021aad97-coache-virtuelle-satir-iceberg" TargetMode="External"/><Relationship Id="rId19" Type="http://schemas.openxmlformats.org/officeDocument/2006/relationships/hyperlink" Target="https://chatgpt.com/g/g-688cc739cff481a49e829d6636a57eba-coach-e-virtuel-le-solution-focus" TargetMode="External"/><Relationship Id="rId18" Type="http://schemas.openxmlformats.org/officeDocument/2006/relationships/hyperlink" Target="https://chatgpt.com/g/g-68ad73343d4881a48095d7197a33face-aide-ecrire-un-message" TargetMode="External"/><Relationship Id="rId1" Type="http://schemas.openxmlformats.org/officeDocument/2006/relationships/hyperlink" Target="https://agriaffaires.zendesk.com/hc/fr" TargetMode="External"/><Relationship Id="rId2" Type="http://schemas.openxmlformats.org/officeDocument/2006/relationships/hyperlink" Target="https://notebooklm.google.com/notebook/2a9af11d-b4a7-4dfa-99c0-148d597c9a0b" TargetMode="External"/><Relationship Id="rId3" Type="http://schemas.openxmlformats.org/officeDocument/2006/relationships/hyperlink" Target="https://chatgpt.com/g/g-68e90791ddd081a4a2337c8b27a8054a-confidence-helper" TargetMode="External"/><Relationship Id="rId4" Type="http://schemas.openxmlformats.org/officeDocument/2006/relationships/hyperlink" Target="https://chatgpt.com/g/g-69679b96ae3c81a49be65c9fd73065fa-lea-votre-copilote-pour-vendre-l-ea" TargetMode="External"/><Relationship Id="rId9" Type="http://schemas.openxmlformats.org/officeDocument/2006/relationships/hyperlink" Target="https://chatgpt.com/g/g-691ee8d1f91881a49b96e794e089bc2a-aide-cadrage" TargetMode="External"/><Relationship Id="rId5" Type="http://schemas.openxmlformats.org/officeDocument/2006/relationships/hyperlink" Target="https://chatgpt.com/g/g-68c1ac6aee5081a4802039e023983fdf-mt-assistant-bilans-ea" TargetMode="External"/><Relationship Id="rId6" Type="http://schemas.openxmlformats.org/officeDocument/2006/relationships/hyperlink" Target="https://chatgpt.com/g/g-687f3e4cc7b881a4bcdd3a46f0731cab-mediatrading-assistant-bilans" TargetMode="External"/><Relationship Id="rId7" Type="http://schemas.openxmlformats.org/officeDocument/2006/relationships/hyperlink" Target="https://chatgpt.com/g/g-687f595dc3e481a49901fabd5c97e862-mt-assistant-exemples-de-programmation" TargetMode="External"/><Relationship Id="rId8" Type="http://schemas.openxmlformats.org/officeDocument/2006/relationships/hyperlink" Target="https://github.mpi-internal.com/leboncoin/google-super-publipostage" TargetMode="External"/></Relationships>
</file>

<file path=xl/worksheets/_rels/sheet7.xml.rels><?xml version="1.0" encoding="UTF-8" standalone="yes"?><Relationships xmlns="http://schemas.openxmlformats.org/package/2006/relationships"><Relationship Id="rId20" Type="http://schemas.openxmlformats.org/officeDocument/2006/relationships/vmlDrawing" Target="../drawings/vmlDrawing2.vml"/><Relationship Id="rId22" Type="http://schemas.openxmlformats.org/officeDocument/2006/relationships/table" Target="../tables/table2.xml"/><Relationship Id="rId11" Type="http://schemas.openxmlformats.org/officeDocument/2006/relationships/hyperlink" Target="https://sites.google.com/adevinta.com/calcul-de-renta/accueil" TargetMode="External"/><Relationship Id="rId10" Type="http://schemas.openxmlformats.org/officeDocument/2006/relationships/hyperlink" Target="mailto:hugo.blum.ext@adevinta.com" TargetMode="External"/><Relationship Id="rId13" Type="http://schemas.openxmlformats.org/officeDocument/2006/relationships/hyperlink" Target="https://docs.getdx.com/dashboard/slas/" TargetMode="External"/><Relationship Id="rId12" Type="http://schemas.openxmlformats.org/officeDocument/2006/relationships/hyperlink" Target="mailto:edward.foxon@adevinta.com" TargetMode="External"/><Relationship Id="rId15" Type="http://schemas.openxmlformats.org/officeDocument/2006/relationships/hyperlink" Target="mailto:andy.ladjadj@adevinta.com" TargetMode="External"/><Relationship Id="rId14" Type="http://schemas.openxmlformats.org/officeDocument/2006/relationships/hyperlink" Target="mailto:andy.ladjadj@adevinta.com" TargetMode="External"/><Relationship Id="rId17" Type="http://schemas.openxmlformats.org/officeDocument/2006/relationships/hyperlink" Target="mailto:andy.ladjadj@adevinta.com" TargetMode="External"/><Relationship Id="rId16" Type="http://schemas.openxmlformats.org/officeDocument/2006/relationships/hyperlink" Target="https://docs.getdx.com/dashboard/slas/" TargetMode="External"/><Relationship Id="rId19" Type="http://schemas.openxmlformats.org/officeDocument/2006/relationships/drawing" Target="../drawings/drawing8.xml"/><Relationship Id="rId18" Type="http://schemas.openxmlformats.org/officeDocument/2006/relationships/hyperlink" Target="mailto:andy.ladjadj@adevinta.com"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mailto:lisa.assanto@adevinta.com" TargetMode="External"/><Relationship Id="rId9" Type="http://schemas.openxmlformats.org/officeDocument/2006/relationships/hyperlink" Target="mailto:patrice.chaperon@adevinta.com" TargetMode="External"/><Relationship Id="rId5" Type="http://schemas.openxmlformats.org/officeDocument/2006/relationships/hyperlink" Target="mailto:virginie.rudelle@adevinta.com" TargetMode="External"/><Relationship Id="rId6" Type="http://schemas.openxmlformats.org/officeDocument/2006/relationships/hyperlink" Target="mailto:maxime.viniane@adevinta.com" TargetMode="External"/><Relationship Id="rId7" Type="http://schemas.openxmlformats.org/officeDocument/2006/relationships/hyperlink" Target="mailto:patrice.chaperon@adevinta.com" TargetMode="External"/><Relationship Id="rId8" Type="http://schemas.openxmlformats.org/officeDocument/2006/relationships/hyperlink" Target="mailto:patrice.chaperon@adevinta.com"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0"/>
  <cols>
    <col customWidth="1" min="1" max="1" width="19.5"/>
    <col customWidth="1" min="2" max="2" width="12.63"/>
    <col customWidth="1" min="3" max="3" width="43.13"/>
    <col customWidth="1" min="4" max="4" width="55.75"/>
    <col customWidth="1" min="5" max="5" width="23.63"/>
    <col customWidth="1" min="6" max="6" width="20.75"/>
    <col customWidth="1" min="7" max="7" width="20.0"/>
    <col customWidth="1" min="8" max="8" width="17.38"/>
    <col customWidth="1" min="9" max="9" width="21.25"/>
    <col customWidth="1" min="10" max="10" width="15.88"/>
    <col customWidth="1" min="11" max="11" width="29.0"/>
    <col customWidth="1" min="12" max="12" width="74.0"/>
    <col customWidth="1" min="13" max="13" width="18.75"/>
    <col customWidth="1" min="14" max="14" width="17.0"/>
    <col customWidth="1" min="15" max="15" width="30.0"/>
    <col customWidth="1" min="16" max="16" width="20.0"/>
    <col customWidth="1" min="17" max="17" width="20.75"/>
    <col customWidth="1" min="18" max="18" width="23.5"/>
    <col customWidth="1" min="19" max="19" width="23.13"/>
  </cols>
  <sheetData>
    <row r="1" ht="15.75" customHeight="1">
      <c r="A1" s="1" t="s">
        <v>0</v>
      </c>
      <c r="B1" s="1" t="s">
        <v>1</v>
      </c>
      <c r="C1" s="1" t="s">
        <v>2</v>
      </c>
      <c r="D1" s="2" t="s">
        <v>3</v>
      </c>
      <c r="E1" s="1" t="s">
        <v>4</v>
      </c>
      <c r="F1" s="1" t="s">
        <v>5</v>
      </c>
      <c r="G1" s="1" t="s">
        <v>6</v>
      </c>
      <c r="H1" s="1" t="s">
        <v>7</v>
      </c>
      <c r="I1" s="1" t="s">
        <v>8</v>
      </c>
      <c r="J1" s="1" t="s">
        <v>9</v>
      </c>
      <c r="K1" s="1" t="s">
        <v>10</v>
      </c>
      <c r="L1" s="3" t="s">
        <v>11</v>
      </c>
      <c r="M1" s="1" t="s">
        <v>12</v>
      </c>
      <c r="N1" s="1" t="s">
        <v>13</v>
      </c>
      <c r="O1" s="1" t="s">
        <v>14</v>
      </c>
      <c r="P1" s="1" t="s">
        <v>15</v>
      </c>
      <c r="Q1" s="1" t="s">
        <v>16</v>
      </c>
      <c r="R1" s="1" t="s">
        <v>17</v>
      </c>
      <c r="S1" s="4" t="s">
        <v>18</v>
      </c>
      <c r="T1" s="5" t="s">
        <v>19</v>
      </c>
      <c r="U1" s="6" t="s">
        <v>20</v>
      </c>
      <c r="V1" s="6" t="s">
        <v>20</v>
      </c>
      <c r="W1" s="6" t="s">
        <v>20</v>
      </c>
      <c r="X1" s="6" t="s">
        <v>20</v>
      </c>
      <c r="Y1" s="6" t="s">
        <v>20</v>
      </c>
      <c r="Z1" s="6" t="s">
        <v>20</v>
      </c>
      <c r="AA1" s="6" t="s">
        <v>20</v>
      </c>
      <c r="AB1" s="6" t="s">
        <v>20</v>
      </c>
      <c r="AC1" s="6" t="s">
        <v>20</v>
      </c>
      <c r="AD1" s="6" t="s">
        <v>20</v>
      </c>
      <c r="AE1" s="6" t="s">
        <v>20</v>
      </c>
      <c r="AF1" s="6" t="s">
        <v>20</v>
      </c>
      <c r="AG1" s="6" t="s">
        <v>20</v>
      </c>
      <c r="AH1" s="6" t="s">
        <v>20</v>
      </c>
      <c r="AI1" s="6" t="s">
        <v>20</v>
      </c>
      <c r="AJ1" s="6" t="s">
        <v>20</v>
      </c>
    </row>
    <row r="2" ht="15.75" hidden="1" customHeight="1">
      <c r="A2" s="7" t="s">
        <v>21</v>
      </c>
      <c r="B2" s="7" t="s">
        <v>22</v>
      </c>
      <c r="C2" s="8" t="s">
        <v>23</v>
      </c>
      <c r="D2" s="9" t="s">
        <v>24</v>
      </c>
      <c r="E2" s="7" t="s">
        <v>25</v>
      </c>
      <c r="F2" s="7"/>
      <c r="G2" s="10" t="s">
        <v>26</v>
      </c>
      <c r="H2" s="7"/>
      <c r="I2" s="7" t="s">
        <v>27</v>
      </c>
      <c r="J2" s="7" t="s">
        <v>28</v>
      </c>
      <c r="K2" s="9" t="s">
        <v>29</v>
      </c>
      <c r="L2" s="7"/>
      <c r="M2" s="7" t="s">
        <v>30</v>
      </c>
      <c r="N2" s="7"/>
      <c r="O2" s="9" t="s">
        <v>31</v>
      </c>
      <c r="P2" s="10"/>
      <c r="Q2" s="7" t="s">
        <v>32</v>
      </c>
      <c r="R2" s="9"/>
      <c r="S2" s="9"/>
      <c r="T2" s="7" t="s">
        <v>33</v>
      </c>
      <c r="U2" s="9"/>
      <c r="V2" s="9"/>
      <c r="W2" s="9"/>
      <c r="X2" s="9"/>
      <c r="Y2" s="9"/>
      <c r="Z2" s="9"/>
      <c r="AA2" s="9"/>
      <c r="AB2" s="9"/>
      <c r="AC2" s="9"/>
      <c r="AD2" s="9"/>
      <c r="AE2" s="9"/>
      <c r="AF2" s="9"/>
      <c r="AG2" s="9"/>
      <c r="AH2" s="9"/>
      <c r="AI2" s="9"/>
      <c r="AJ2" s="9"/>
    </row>
    <row r="3" ht="15.75" hidden="1" customHeight="1">
      <c r="A3" s="11" t="s">
        <v>34</v>
      </c>
      <c r="B3" s="11" t="s">
        <v>35</v>
      </c>
      <c r="C3" s="12" t="s">
        <v>36</v>
      </c>
      <c r="D3" s="13" t="s">
        <v>37</v>
      </c>
      <c r="E3" s="11" t="s">
        <v>25</v>
      </c>
      <c r="F3" s="11"/>
      <c r="G3" s="11" t="s">
        <v>38</v>
      </c>
      <c r="H3" s="11" t="s">
        <v>39</v>
      </c>
      <c r="I3" s="11" t="s">
        <v>27</v>
      </c>
      <c r="J3" s="11" t="s">
        <v>40</v>
      </c>
      <c r="K3" s="13" t="s">
        <v>41</v>
      </c>
      <c r="L3" s="11" t="s">
        <v>42</v>
      </c>
      <c r="M3" s="11" t="s">
        <v>43</v>
      </c>
      <c r="N3" s="11" t="s">
        <v>43</v>
      </c>
      <c r="O3" s="13" t="s">
        <v>44</v>
      </c>
      <c r="P3" s="11" t="s">
        <v>45</v>
      </c>
      <c r="Q3" s="11" t="s">
        <v>46</v>
      </c>
      <c r="R3" s="13"/>
      <c r="S3" s="13"/>
      <c r="T3" s="11" t="s">
        <v>33</v>
      </c>
      <c r="U3" s="13"/>
      <c r="V3" s="13"/>
      <c r="W3" s="13"/>
      <c r="X3" s="13"/>
      <c r="Y3" s="13"/>
      <c r="Z3" s="13"/>
      <c r="AA3" s="13"/>
      <c r="AB3" s="13"/>
      <c r="AC3" s="13"/>
      <c r="AD3" s="13"/>
      <c r="AE3" s="13"/>
      <c r="AF3" s="13"/>
      <c r="AG3" s="13"/>
      <c r="AH3" s="13"/>
      <c r="AI3" s="13"/>
      <c r="AJ3" s="13"/>
    </row>
    <row r="4" ht="15.75" hidden="1" customHeight="1">
      <c r="A4" s="7" t="s">
        <v>34</v>
      </c>
      <c r="B4" s="7" t="s">
        <v>35</v>
      </c>
      <c r="C4" s="8" t="s">
        <v>47</v>
      </c>
      <c r="D4" s="9" t="s">
        <v>48</v>
      </c>
      <c r="E4" s="7" t="s">
        <v>49</v>
      </c>
      <c r="F4" s="7"/>
      <c r="G4" s="7" t="s">
        <v>50</v>
      </c>
      <c r="H4" s="7" t="s">
        <v>51</v>
      </c>
      <c r="I4" s="7" t="s">
        <v>51</v>
      </c>
      <c r="J4" s="7" t="s">
        <v>52</v>
      </c>
      <c r="K4" s="9" t="s">
        <v>53</v>
      </c>
      <c r="L4" s="7" t="s">
        <v>54</v>
      </c>
      <c r="M4" s="14">
        <v>46082.0</v>
      </c>
      <c r="N4" s="7"/>
      <c r="O4" s="15"/>
      <c r="P4" s="7" t="s">
        <v>55</v>
      </c>
      <c r="Q4" s="7" t="s">
        <v>55</v>
      </c>
      <c r="R4" s="9"/>
      <c r="S4" s="9" t="s">
        <v>56</v>
      </c>
      <c r="T4" s="7"/>
      <c r="U4" s="9"/>
      <c r="V4" s="9"/>
      <c r="W4" s="9"/>
      <c r="X4" s="9"/>
      <c r="Y4" s="9"/>
      <c r="Z4" s="9"/>
      <c r="AA4" s="9"/>
      <c r="AB4" s="9"/>
      <c r="AC4" s="9"/>
      <c r="AD4" s="9"/>
      <c r="AE4" s="9"/>
      <c r="AF4" s="9"/>
      <c r="AG4" s="9"/>
      <c r="AH4" s="9"/>
      <c r="AI4" s="9"/>
      <c r="AJ4" s="9"/>
    </row>
    <row r="5" ht="15.75" hidden="1" customHeight="1">
      <c r="A5" s="11" t="s">
        <v>34</v>
      </c>
      <c r="B5" s="11" t="s">
        <v>35</v>
      </c>
      <c r="C5" s="12" t="s">
        <v>57</v>
      </c>
      <c r="D5" s="13" t="s">
        <v>58</v>
      </c>
      <c r="E5" s="11" t="s">
        <v>25</v>
      </c>
      <c r="F5" s="11"/>
      <c r="G5" s="11" t="s">
        <v>50</v>
      </c>
      <c r="H5" s="11" t="s">
        <v>59</v>
      </c>
      <c r="I5" s="11" t="s">
        <v>51</v>
      </c>
      <c r="J5" s="11" t="s">
        <v>52</v>
      </c>
      <c r="K5" s="13" t="s">
        <v>60</v>
      </c>
      <c r="L5" s="12" t="s">
        <v>61</v>
      </c>
      <c r="M5" s="11" t="s">
        <v>62</v>
      </c>
      <c r="N5" s="11"/>
      <c r="O5" s="13"/>
      <c r="P5" s="11" t="s">
        <v>63</v>
      </c>
      <c r="Q5" s="11" t="s">
        <v>64</v>
      </c>
      <c r="R5" s="13"/>
      <c r="S5" s="13" t="s">
        <v>65</v>
      </c>
      <c r="T5" s="11"/>
      <c r="U5" s="13"/>
      <c r="V5" s="13"/>
      <c r="W5" s="13"/>
      <c r="X5" s="13"/>
      <c r="Y5" s="13"/>
      <c r="Z5" s="13"/>
      <c r="AA5" s="13"/>
      <c r="AB5" s="13"/>
      <c r="AC5" s="13"/>
      <c r="AD5" s="13"/>
      <c r="AE5" s="13"/>
      <c r="AF5" s="13"/>
      <c r="AG5" s="13"/>
      <c r="AH5" s="13"/>
      <c r="AI5" s="13"/>
      <c r="AJ5" s="13"/>
    </row>
    <row r="6" ht="15.75" hidden="1" customHeight="1">
      <c r="A6" s="7" t="s">
        <v>34</v>
      </c>
      <c r="B6" s="7" t="s">
        <v>35</v>
      </c>
      <c r="C6" s="8" t="s">
        <v>66</v>
      </c>
      <c r="D6" s="9" t="s">
        <v>67</v>
      </c>
      <c r="E6" s="7" t="s">
        <v>25</v>
      </c>
      <c r="F6" s="7"/>
      <c r="G6" s="7" t="s">
        <v>68</v>
      </c>
      <c r="H6" s="7" t="s">
        <v>39</v>
      </c>
      <c r="I6" s="7" t="s">
        <v>27</v>
      </c>
      <c r="J6" s="7" t="s">
        <v>40</v>
      </c>
      <c r="K6" s="9" t="s">
        <v>69</v>
      </c>
      <c r="L6" s="7"/>
      <c r="M6" s="7" t="s">
        <v>43</v>
      </c>
      <c r="N6" s="7" t="s">
        <v>43</v>
      </c>
      <c r="O6" s="9" t="s">
        <v>44</v>
      </c>
      <c r="P6" s="7" t="s">
        <v>45</v>
      </c>
      <c r="Q6" s="7" t="s">
        <v>70</v>
      </c>
      <c r="R6" s="9"/>
      <c r="S6" s="9"/>
      <c r="T6" s="7" t="s">
        <v>33</v>
      </c>
      <c r="U6" s="9"/>
      <c r="V6" s="9"/>
      <c r="W6" s="9"/>
      <c r="X6" s="9"/>
      <c r="Y6" s="9"/>
      <c r="Z6" s="9"/>
      <c r="AA6" s="9"/>
      <c r="AB6" s="9"/>
      <c r="AC6" s="9"/>
      <c r="AD6" s="9"/>
      <c r="AE6" s="9"/>
      <c r="AF6" s="9"/>
      <c r="AG6" s="9"/>
      <c r="AH6" s="9"/>
      <c r="AI6" s="9"/>
      <c r="AJ6" s="9"/>
    </row>
    <row r="7" ht="15.75" hidden="1" customHeight="1">
      <c r="A7" s="11" t="s">
        <v>34</v>
      </c>
      <c r="B7" s="11" t="s">
        <v>35</v>
      </c>
      <c r="C7" s="12" t="s">
        <v>71</v>
      </c>
      <c r="D7" s="13" t="s">
        <v>72</v>
      </c>
      <c r="E7" s="11" t="s">
        <v>25</v>
      </c>
      <c r="F7" s="11"/>
      <c r="G7" s="11" t="s">
        <v>50</v>
      </c>
      <c r="H7" s="11" t="s">
        <v>59</v>
      </c>
      <c r="I7" s="11" t="s">
        <v>51</v>
      </c>
      <c r="J7" s="11" t="s">
        <v>52</v>
      </c>
      <c r="K7" s="13" t="s">
        <v>73</v>
      </c>
      <c r="L7" s="12" t="s">
        <v>74</v>
      </c>
      <c r="M7" s="11" t="s">
        <v>75</v>
      </c>
      <c r="N7" s="11"/>
      <c r="O7" s="13"/>
      <c r="P7" s="11" t="s">
        <v>76</v>
      </c>
      <c r="Q7" s="11" t="s">
        <v>64</v>
      </c>
      <c r="R7" s="13"/>
      <c r="S7" s="13" t="s">
        <v>65</v>
      </c>
      <c r="T7" s="11"/>
      <c r="U7" s="13"/>
      <c r="V7" s="13"/>
      <c r="W7" s="13"/>
      <c r="X7" s="13"/>
      <c r="Y7" s="13"/>
      <c r="Z7" s="13"/>
      <c r="AA7" s="13"/>
      <c r="AB7" s="13"/>
      <c r="AC7" s="13"/>
      <c r="AD7" s="13"/>
      <c r="AE7" s="13"/>
      <c r="AF7" s="13"/>
      <c r="AG7" s="13"/>
      <c r="AH7" s="13"/>
      <c r="AI7" s="13"/>
      <c r="AJ7" s="13"/>
    </row>
    <row r="8" ht="15.75" hidden="1" customHeight="1">
      <c r="A8" s="7" t="s">
        <v>34</v>
      </c>
      <c r="B8" s="7" t="s">
        <v>77</v>
      </c>
      <c r="C8" s="8" t="s">
        <v>78</v>
      </c>
      <c r="D8" s="9" t="s">
        <v>79</v>
      </c>
      <c r="E8" s="7" t="s">
        <v>25</v>
      </c>
      <c r="F8" s="7"/>
      <c r="G8" s="16" t="s">
        <v>80</v>
      </c>
      <c r="H8" s="9"/>
      <c r="I8" s="7" t="s">
        <v>51</v>
      </c>
      <c r="J8" s="7" t="s">
        <v>77</v>
      </c>
      <c r="K8" s="9" t="s">
        <v>81</v>
      </c>
      <c r="L8" s="7"/>
      <c r="M8" s="7"/>
      <c r="N8" s="7" t="s">
        <v>82</v>
      </c>
      <c r="O8" s="8"/>
      <c r="P8" s="7"/>
      <c r="Q8" s="7"/>
      <c r="R8" s="9"/>
      <c r="S8" s="17"/>
      <c r="T8" s="9"/>
      <c r="U8" s="9"/>
      <c r="V8" s="9"/>
      <c r="W8" s="9"/>
      <c r="X8" s="9"/>
      <c r="Y8" s="9"/>
      <c r="Z8" s="9"/>
      <c r="AA8" s="9"/>
      <c r="AB8" s="9"/>
      <c r="AC8" s="9"/>
      <c r="AD8" s="9"/>
      <c r="AE8" s="9"/>
      <c r="AF8" s="9"/>
      <c r="AG8" s="9"/>
      <c r="AH8" s="9"/>
      <c r="AI8" s="9"/>
      <c r="AJ8" s="9"/>
    </row>
    <row r="9" ht="15.75" hidden="1" customHeight="1">
      <c r="A9" s="11" t="s">
        <v>34</v>
      </c>
      <c r="B9" s="11" t="s">
        <v>77</v>
      </c>
      <c r="C9" s="12" t="s">
        <v>83</v>
      </c>
      <c r="D9" s="13" t="s">
        <v>84</v>
      </c>
      <c r="E9" s="11" t="s">
        <v>25</v>
      </c>
      <c r="F9" s="11"/>
      <c r="G9" s="18" t="s">
        <v>80</v>
      </c>
      <c r="H9" s="13"/>
      <c r="I9" s="11" t="s">
        <v>27</v>
      </c>
      <c r="J9" s="11" t="s">
        <v>77</v>
      </c>
      <c r="K9" s="13" t="s">
        <v>85</v>
      </c>
      <c r="L9" s="11"/>
      <c r="M9" s="11"/>
      <c r="N9" s="11" t="s">
        <v>82</v>
      </c>
      <c r="O9" s="12"/>
      <c r="P9" s="11"/>
      <c r="Q9" s="11"/>
      <c r="R9" s="13"/>
      <c r="S9" s="19"/>
      <c r="T9" s="13"/>
      <c r="U9" s="13"/>
      <c r="V9" s="13"/>
      <c r="W9" s="13"/>
      <c r="X9" s="13"/>
      <c r="Y9" s="13"/>
      <c r="Z9" s="13"/>
      <c r="AA9" s="13"/>
      <c r="AB9" s="13"/>
      <c r="AC9" s="13"/>
      <c r="AD9" s="13"/>
      <c r="AE9" s="13"/>
      <c r="AF9" s="13"/>
      <c r="AG9" s="13"/>
      <c r="AH9" s="13"/>
      <c r="AI9" s="13"/>
      <c r="AJ9" s="13"/>
    </row>
    <row r="10" ht="15.75" hidden="1" customHeight="1">
      <c r="A10" s="7" t="s">
        <v>34</v>
      </c>
      <c r="B10" s="7" t="s">
        <v>86</v>
      </c>
      <c r="C10" s="8" t="s">
        <v>87</v>
      </c>
      <c r="D10" s="9" t="s">
        <v>88</v>
      </c>
      <c r="E10" s="7" t="s">
        <v>25</v>
      </c>
      <c r="F10" s="7"/>
      <c r="G10" s="16" t="s">
        <v>89</v>
      </c>
      <c r="H10" s="9"/>
      <c r="I10" s="7" t="s">
        <v>51</v>
      </c>
      <c r="J10" s="7" t="s">
        <v>86</v>
      </c>
      <c r="K10" s="9" t="s">
        <v>90</v>
      </c>
      <c r="L10" s="7"/>
      <c r="M10" s="7"/>
      <c r="N10" s="7"/>
      <c r="O10" s="8"/>
      <c r="P10" s="7" t="s">
        <v>91</v>
      </c>
      <c r="Q10" s="7"/>
      <c r="R10" s="9"/>
      <c r="S10" s="17"/>
      <c r="T10" s="9"/>
      <c r="U10" s="9"/>
      <c r="V10" s="9"/>
      <c r="W10" s="9"/>
      <c r="X10" s="9"/>
      <c r="Y10" s="9"/>
      <c r="Z10" s="9"/>
      <c r="AA10" s="9"/>
      <c r="AB10" s="9"/>
      <c r="AC10" s="9"/>
      <c r="AD10" s="9"/>
      <c r="AE10" s="9"/>
      <c r="AF10" s="9"/>
      <c r="AG10" s="9"/>
      <c r="AH10" s="9"/>
      <c r="AI10" s="9"/>
      <c r="AJ10" s="9"/>
    </row>
    <row r="11" ht="15.75" hidden="1" customHeight="1">
      <c r="A11" s="11" t="s">
        <v>34</v>
      </c>
      <c r="B11" s="11" t="s">
        <v>86</v>
      </c>
      <c r="C11" s="12" t="s">
        <v>92</v>
      </c>
      <c r="D11" s="13" t="s">
        <v>93</v>
      </c>
      <c r="E11" s="11" t="s">
        <v>25</v>
      </c>
      <c r="F11" s="11"/>
      <c r="G11" s="18" t="s">
        <v>89</v>
      </c>
      <c r="H11" s="13"/>
      <c r="I11" s="11" t="s">
        <v>51</v>
      </c>
      <c r="J11" s="11" t="s">
        <v>86</v>
      </c>
      <c r="K11" s="13" t="s">
        <v>90</v>
      </c>
      <c r="L11" s="11"/>
      <c r="M11" s="11"/>
      <c r="N11" s="11"/>
      <c r="O11" s="12"/>
      <c r="P11" s="11" t="s">
        <v>91</v>
      </c>
      <c r="Q11" s="11"/>
      <c r="R11" s="13"/>
      <c r="S11" s="19"/>
      <c r="T11" s="13"/>
      <c r="U11" s="13"/>
      <c r="V11" s="13"/>
      <c r="W11" s="13"/>
      <c r="X11" s="13"/>
      <c r="Y11" s="13"/>
      <c r="Z11" s="13"/>
      <c r="AA11" s="13"/>
      <c r="AB11" s="13"/>
      <c r="AC11" s="13"/>
      <c r="AD11" s="13"/>
      <c r="AE11" s="13"/>
      <c r="AF11" s="13"/>
      <c r="AG11" s="13"/>
      <c r="AH11" s="13"/>
      <c r="AI11" s="13"/>
      <c r="AJ11" s="13"/>
    </row>
    <row r="12" ht="15.75" hidden="1" customHeight="1">
      <c r="A12" s="7" t="s">
        <v>34</v>
      </c>
      <c r="B12" s="7" t="s">
        <v>22</v>
      </c>
      <c r="C12" s="8" t="s">
        <v>94</v>
      </c>
      <c r="D12" s="9" t="s">
        <v>95</v>
      </c>
      <c r="E12" s="7" t="s">
        <v>96</v>
      </c>
      <c r="F12" s="7"/>
      <c r="G12" s="7" t="s">
        <v>97</v>
      </c>
      <c r="H12" s="7" t="s">
        <v>59</v>
      </c>
      <c r="I12" s="7" t="s">
        <v>27</v>
      </c>
      <c r="J12" s="7" t="s">
        <v>98</v>
      </c>
      <c r="K12" s="9" t="s">
        <v>99</v>
      </c>
      <c r="L12" s="8" t="s">
        <v>100</v>
      </c>
      <c r="M12" s="7"/>
      <c r="N12" s="7"/>
      <c r="O12" s="9"/>
      <c r="P12" s="7" t="s">
        <v>101</v>
      </c>
      <c r="Q12" s="7" t="s">
        <v>102</v>
      </c>
      <c r="R12" s="9"/>
      <c r="S12" s="9" t="s">
        <v>103</v>
      </c>
      <c r="T12" s="7" t="s">
        <v>33</v>
      </c>
      <c r="U12" s="9"/>
      <c r="V12" s="9"/>
      <c r="W12" s="9"/>
      <c r="X12" s="9"/>
      <c r="Y12" s="9"/>
      <c r="Z12" s="9"/>
      <c r="AA12" s="9"/>
      <c r="AB12" s="9"/>
      <c r="AC12" s="9"/>
      <c r="AD12" s="9"/>
      <c r="AE12" s="9"/>
      <c r="AF12" s="9"/>
      <c r="AG12" s="9"/>
      <c r="AH12" s="9"/>
      <c r="AI12" s="9"/>
      <c r="AJ12" s="9"/>
    </row>
    <row r="13" ht="15.75" hidden="1" customHeight="1">
      <c r="A13" s="11" t="s">
        <v>34</v>
      </c>
      <c r="B13" s="11" t="s">
        <v>35</v>
      </c>
      <c r="C13" s="12" t="s">
        <v>104</v>
      </c>
      <c r="D13" s="13" t="s">
        <v>105</v>
      </c>
      <c r="E13" s="11" t="s">
        <v>96</v>
      </c>
      <c r="F13" s="11"/>
      <c r="G13" s="11" t="s">
        <v>106</v>
      </c>
      <c r="H13" s="11" t="s">
        <v>59</v>
      </c>
      <c r="I13" s="11" t="s">
        <v>27</v>
      </c>
      <c r="J13" s="11" t="s">
        <v>52</v>
      </c>
      <c r="K13" s="13" t="s">
        <v>107</v>
      </c>
      <c r="L13" s="12" t="s">
        <v>108</v>
      </c>
      <c r="M13" s="11"/>
      <c r="N13" s="11" t="s">
        <v>109</v>
      </c>
      <c r="O13" s="13"/>
      <c r="P13" s="11" t="s">
        <v>110</v>
      </c>
      <c r="Q13" s="11" t="s">
        <v>111</v>
      </c>
      <c r="R13" s="13"/>
      <c r="S13" s="13" t="s">
        <v>112</v>
      </c>
      <c r="T13" s="11"/>
      <c r="U13" s="13"/>
      <c r="V13" s="13"/>
      <c r="W13" s="13"/>
      <c r="X13" s="13"/>
      <c r="Y13" s="13"/>
      <c r="Z13" s="13"/>
      <c r="AA13" s="13"/>
      <c r="AB13" s="13"/>
      <c r="AC13" s="13"/>
      <c r="AD13" s="13"/>
      <c r="AE13" s="13"/>
      <c r="AF13" s="13"/>
      <c r="AG13" s="13"/>
      <c r="AH13" s="13"/>
      <c r="AI13" s="13"/>
      <c r="AJ13" s="13"/>
    </row>
    <row r="14" ht="15.75" hidden="1" customHeight="1">
      <c r="A14" s="7" t="s">
        <v>34</v>
      </c>
      <c r="B14" s="7" t="s">
        <v>77</v>
      </c>
      <c r="C14" s="8" t="s">
        <v>113</v>
      </c>
      <c r="D14" s="9" t="s">
        <v>114</v>
      </c>
      <c r="E14" s="7" t="s">
        <v>96</v>
      </c>
      <c r="F14" s="7"/>
      <c r="G14" s="16" t="s">
        <v>80</v>
      </c>
      <c r="H14" s="9" t="s">
        <v>39</v>
      </c>
      <c r="I14" s="7" t="s">
        <v>27</v>
      </c>
      <c r="J14" s="7" t="s">
        <v>115</v>
      </c>
      <c r="K14" s="9" t="s">
        <v>116</v>
      </c>
      <c r="L14" s="7"/>
      <c r="M14" s="7"/>
      <c r="N14" s="7" t="s">
        <v>117</v>
      </c>
      <c r="O14" s="8"/>
      <c r="P14" s="7"/>
      <c r="Q14" s="7"/>
      <c r="R14" s="9"/>
      <c r="S14" s="17"/>
      <c r="T14" s="9"/>
      <c r="U14" s="9"/>
      <c r="V14" s="9"/>
      <c r="W14" s="9"/>
      <c r="X14" s="9"/>
      <c r="Y14" s="9"/>
      <c r="Z14" s="9"/>
      <c r="AA14" s="9"/>
      <c r="AB14" s="9"/>
      <c r="AC14" s="9"/>
      <c r="AD14" s="9"/>
      <c r="AE14" s="9"/>
      <c r="AF14" s="9"/>
      <c r="AG14" s="9"/>
      <c r="AH14" s="9"/>
      <c r="AI14" s="9"/>
      <c r="AJ14" s="9"/>
    </row>
    <row r="15" ht="15.75" hidden="1" customHeight="1">
      <c r="A15" s="11" t="s">
        <v>34</v>
      </c>
      <c r="B15" s="11" t="s">
        <v>77</v>
      </c>
      <c r="C15" s="12" t="s">
        <v>113</v>
      </c>
      <c r="D15" s="13" t="s">
        <v>118</v>
      </c>
      <c r="E15" s="11" t="s">
        <v>96</v>
      </c>
      <c r="F15" s="11"/>
      <c r="G15" s="18" t="s">
        <v>80</v>
      </c>
      <c r="H15" s="13"/>
      <c r="I15" s="11" t="s">
        <v>51</v>
      </c>
      <c r="J15" s="11" t="s">
        <v>77</v>
      </c>
      <c r="K15" s="13" t="s">
        <v>119</v>
      </c>
      <c r="L15" s="11"/>
      <c r="M15" s="11"/>
      <c r="N15" s="11" t="s">
        <v>82</v>
      </c>
      <c r="O15" s="12"/>
      <c r="P15" s="11"/>
      <c r="Q15" s="11"/>
      <c r="R15" s="13"/>
      <c r="S15" s="19"/>
      <c r="T15" s="13"/>
      <c r="U15" s="13"/>
      <c r="V15" s="13"/>
      <c r="W15" s="13"/>
      <c r="X15" s="13"/>
      <c r="Y15" s="13"/>
      <c r="Z15" s="13"/>
      <c r="AA15" s="13"/>
      <c r="AB15" s="13"/>
      <c r="AC15" s="13"/>
      <c r="AD15" s="13"/>
      <c r="AE15" s="13"/>
      <c r="AF15" s="13"/>
      <c r="AG15" s="13"/>
      <c r="AH15" s="13"/>
      <c r="AI15" s="13"/>
      <c r="AJ15" s="13"/>
    </row>
    <row r="16" ht="15.75" hidden="1" customHeight="1">
      <c r="A16" s="7" t="s">
        <v>34</v>
      </c>
      <c r="B16" s="7" t="s">
        <v>77</v>
      </c>
      <c r="C16" s="8" t="s">
        <v>120</v>
      </c>
      <c r="D16" s="9" t="s">
        <v>121</v>
      </c>
      <c r="E16" s="7" t="s">
        <v>96</v>
      </c>
      <c r="F16" s="7"/>
      <c r="G16" s="16" t="s">
        <v>80</v>
      </c>
      <c r="H16" s="9"/>
      <c r="I16" s="7" t="s">
        <v>27</v>
      </c>
      <c r="J16" s="7" t="s">
        <v>77</v>
      </c>
      <c r="K16" s="9" t="s">
        <v>122</v>
      </c>
      <c r="L16" s="7"/>
      <c r="M16" s="7"/>
      <c r="N16" s="7"/>
      <c r="O16" s="8"/>
      <c r="P16" s="7"/>
      <c r="Q16" s="7"/>
      <c r="R16" s="9"/>
      <c r="S16" s="17"/>
      <c r="T16" s="9"/>
      <c r="U16" s="9"/>
      <c r="V16" s="9"/>
      <c r="W16" s="9"/>
      <c r="X16" s="9"/>
      <c r="Y16" s="9"/>
      <c r="Z16" s="9"/>
      <c r="AA16" s="9"/>
      <c r="AB16" s="9"/>
      <c r="AC16" s="9"/>
      <c r="AD16" s="9"/>
      <c r="AE16" s="9"/>
      <c r="AF16" s="9"/>
      <c r="AG16" s="9"/>
      <c r="AH16" s="9"/>
      <c r="AI16" s="9"/>
      <c r="AJ16" s="9"/>
    </row>
    <row r="17" ht="15.75" hidden="1" customHeight="1">
      <c r="A17" s="11" t="s">
        <v>34</v>
      </c>
      <c r="B17" s="11" t="s">
        <v>77</v>
      </c>
      <c r="C17" s="12" t="s">
        <v>123</v>
      </c>
      <c r="D17" s="13" t="s">
        <v>124</v>
      </c>
      <c r="E17" s="11" t="s">
        <v>96</v>
      </c>
      <c r="F17" s="11"/>
      <c r="G17" s="18" t="s">
        <v>80</v>
      </c>
      <c r="H17" s="13"/>
      <c r="I17" s="11" t="s">
        <v>27</v>
      </c>
      <c r="J17" s="11" t="s">
        <v>77</v>
      </c>
      <c r="K17" s="13" t="s">
        <v>125</v>
      </c>
      <c r="L17" s="11"/>
      <c r="M17" s="11"/>
      <c r="N17" s="11"/>
      <c r="O17" s="12"/>
      <c r="P17" s="11"/>
      <c r="Q17" s="11"/>
      <c r="R17" s="13"/>
      <c r="S17" s="19"/>
      <c r="T17" s="13"/>
      <c r="U17" s="13"/>
      <c r="V17" s="13"/>
      <c r="W17" s="13"/>
      <c r="X17" s="13"/>
      <c r="Y17" s="13"/>
      <c r="Z17" s="13"/>
      <c r="AA17" s="13"/>
      <c r="AB17" s="13"/>
      <c r="AC17" s="13"/>
      <c r="AD17" s="13"/>
      <c r="AE17" s="13"/>
      <c r="AF17" s="13"/>
      <c r="AG17" s="13"/>
      <c r="AH17" s="13"/>
      <c r="AI17" s="13"/>
      <c r="AJ17" s="13"/>
    </row>
    <row r="18" ht="75.75" hidden="1" customHeight="1">
      <c r="A18" s="7" t="s">
        <v>34</v>
      </c>
      <c r="B18" s="7" t="s">
        <v>126</v>
      </c>
      <c r="C18" s="8" t="s">
        <v>127</v>
      </c>
      <c r="D18" s="9" t="s">
        <v>128</v>
      </c>
      <c r="E18" s="7" t="s">
        <v>96</v>
      </c>
      <c r="F18" s="7"/>
      <c r="G18" s="7" t="s">
        <v>129</v>
      </c>
      <c r="H18" s="7" t="s">
        <v>39</v>
      </c>
      <c r="I18" s="7" t="s">
        <v>27</v>
      </c>
      <c r="J18" s="7" t="s">
        <v>130</v>
      </c>
      <c r="K18" s="9" t="s">
        <v>131</v>
      </c>
      <c r="L18" s="8" t="s">
        <v>132</v>
      </c>
      <c r="M18" s="7"/>
      <c r="N18" s="7" t="s">
        <v>133</v>
      </c>
      <c r="O18" s="9" t="s">
        <v>134</v>
      </c>
      <c r="P18" s="7" t="s">
        <v>135</v>
      </c>
      <c r="Q18" s="7" t="s">
        <v>136</v>
      </c>
      <c r="R18" s="9"/>
      <c r="S18" s="9"/>
      <c r="T18" s="7"/>
      <c r="U18" s="9"/>
      <c r="V18" s="9"/>
      <c r="W18" s="9"/>
      <c r="X18" s="9"/>
      <c r="Y18" s="9"/>
      <c r="Z18" s="9"/>
      <c r="AA18" s="9"/>
      <c r="AB18" s="9"/>
      <c r="AC18" s="9"/>
      <c r="AD18" s="9"/>
      <c r="AE18" s="9"/>
      <c r="AF18" s="9"/>
      <c r="AG18" s="9"/>
      <c r="AH18" s="9"/>
      <c r="AI18" s="9"/>
      <c r="AJ18" s="9"/>
    </row>
    <row r="19" ht="15.75" hidden="1" customHeight="1">
      <c r="A19" s="11" t="s">
        <v>34</v>
      </c>
      <c r="B19" s="11" t="s">
        <v>126</v>
      </c>
      <c r="C19" s="12" t="s">
        <v>137</v>
      </c>
      <c r="D19" s="13" t="s">
        <v>138</v>
      </c>
      <c r="E19" s="11" t="s">
        <v>96</v>
      </c>
      <c r="F19" s="11"/>
      <c r="G19" s="11" t="s">
        <v>129</v>
      </c>
      <c r="H19" s="11" t="s">
        <v>59</v>
      </c>
      <c r="I19" s="11" t="s">
        <v>27</v>
      </c>
      <c r="J19" s="11" t="s">
        <v>139</v>
      </c>
      <c r="K19" s="13" t="s">
        <v>140</v>
      </c>
      <c r="L19" s="12" t="s">
        <v>141</v>
      </c>
      <c r="M19" s="11"/>
      <c r="N19" s="11" t="s">
        <v>142</v>
      </c>
      <c r="O19" s="13"/>
      <c r="P19" s="11" t="s">
        <v>45</v>
      </c>
      <c r="Q19" s="11" t="s">
        <v>143</v>
      </c>
      <c r="R19" s="13"/>
      <c r="S19" s="13" t="s">
        <v>144</v>
      </c>
      <c r="T19" s="11" t="s">
        <v>33</v>
      </c>
      <c r="U19" s="13"/>
      <c r="V19" s="13"/>
      <c r="W19" s="13"/>
      <c r="X19" s="13"/>
      <c r="Y19" s="13"/>
      <c r="Z19" s="13"/>
      <c r="AA19" s="13"/>
      <c r="AB19" s="13"/>
      <c r="AC19" s="13"/>
      <c r="AD19" s="13"/>
      <c r="AE19" s="13"/>
      <c r="AF19" s="13"/>
      <c r="AG19" s="13"/>
      <c r="AH19" s="13"/>
      <c r="AI19" s="13"/>
      <c r="AJ19" s="13"/>
    </row>
    <row r="20" ht="15.75" hidden="1" customHeight="1">
      <c r="A20" s="7" t="s">
        <v>34</v>
      </c>
      <c r="B20" s="7" t="s">
        <v>126</v>
      </c>
      <c r="C20" s="8" t="s">
        <v>145</v>
      </c>
      <c r="D20" s="9" t="s">
        <v>146</v>
      </c>
      <c r="E20" s="7" t="s">
        <v>96</v>
      </c>
      <c r="F20" s="7"/>
      <c r="G20" s="7" t="s">
        <v>129</v>
      </c>
      <c r="H20" s="7" t="s">
        <v>59</v>
      </c>
      <c r="I20" s="7" t="s">
        <v>27</v>
      </c>
      <c r="J20" s="7" t="s">
        <v>139</v>
      </c>
      <c r="K20" s="9" t="s">
        <v>147</v>
      </c>
      <c r="L20" s="7"/>
      <c r="M20" s="7"/>
      <c r="N20" s="7" t="s">
        <v>142</v>
      </c>
      <c r="O20" s="9" t="s">
        <v>148</v>
      </c>
      <c r="P20" s="7" t="s">
        <v>45</v>
      </c>
      <c r="Q20" s="7" t="s">
        <v>143</v>
      </c>
      <c r="R20" s="9"/>
      <c r="S20" s="9"/>
      <c r="T20" s="7" t="s">
        <v>33</v>
      </c>
      <c r="U20" s="9"/>
      <c r="V20" s="9"/>
      <c r="W20" s="9"/>
      <c r="X20" s="9"/>
      <c r="Y20" s="9"/>
      <c r="Z20" s="9"/>
      <c r="AA20" s="9"/>
      <c r="AB20" s="9"/>
      <c r="AC20" s="9"/>
      <c r="AD20" s="9"/>
      <c r="AE20" s="9"/>
      <c r="AF20" s="9"/>
      <c r="AG20" s="9"/>
      <c r="AH20" s="9"/>
      <c r="AI20" s="9"/>
      <c r="AJ20" s="9"/>
    </row>
    <row r="21" ht="15.75" hidden="1" customHeight="1">
      <c r="A21" s="11" t="s">
        <v>34</v>
      </c>
      <c r="B21" s="11" t="s">
        <v>35</v>
      </c>
      <c r="C21" s="12" t="s">
        <v>149</v>
      </c>
      <c r="D21" s="13" t="s">
        <v>150</v>
      </c>
      <c r="E21" s="11" t="s">
        <v>49</v>
      </c>
      <c r="F21" s="11"/>
      <c r="G21" s="11" t="s">
        <v>50</v>
      </c>
      <c r="H21" s="11" t="s">
        <v>39</v>
      </c>
      <c r="I21" s="11" t="s">
        <v>151</v>
      </c>
      <c r="J21" s="11" t="s">
        <v>52</v>
      </c>
      <c r="K21" s="13" t="s">
        <v>152</v>
      </c>
      <c r="L21" s="11"/>
      <c r="M21" s="20">
        <v>45977.0</v>
      </c>
      <c r="N21" s="11"/>
      <c r="O21" s="21"/>
      <c r="P21" s="11" t="s">
        <v>55</v>
      </c>
      <c r="Q21" s="11" t="s">
        <v>55</v>
      </c>
      <c r="R21" s="13"/>
      <c r="S21" s="13" t="s">
        <v>112</v>
      </c>
      <c r="T21" s="11"/>
      <c r="U21" s="13"/>
      <c r="V21" s="13"/>
      <c r="W21" s="13"/>
      <c r="X21" s="13"/>
      <c r="Y21" s="13"/>
      <c r="Z21" s="13"/>
      <c r="AA21" s="13"/>
      <c r="AB21" s="13"/>
      <c r="AC21" s="13"/>
      <c r="AD21" s="13"/>
      <c r="AE21" s="13"/>
      <c r="AF21" s="13"/>
      <c r="AG21" s="13"/>
      <c r="AH21" s="13"/>
      <c r="AI21" s="13"/>
      <c r="AJ21" s="13"/>
    </row>
    <row r="22" ht="15.75" hidden="1" customHeight="1">
      <c r="A22" s="7" t="s">
        <v>34</v>
      </c>
      <c r="B22" s="7" t="s">
        <v>35</v>
      </c>
      <c r="C22" s="8" t="s">
        <v>153</v>
      </c>
      <c r="D22" s="9" t="s">
        <v>154</v>
      </c>
      <c r="E22" s="7" t="s">
        <v>49</v>
      </c>
      <c r="F22" s="7"/>
      <c r="G22" s="7" t="s">
        <v>50</v>
      </c>
      <c r="H22" s="7" t="s">
        <v>39</v>
      </c>
      <c r="I22" s="7" t="s">
        <v>51</v>
      </c>
      <c r="J22" s="7" t="s">
        <v>52</v>
      </c>
      <c r="K22" s="9" t="s">
        <v>155</v>
      </c>
      <c r="L22" s="7"/>
      <c r="M22" s="7" t="s">
        <v>156</v>
      </c>
      <c r="N22" s="7"/>
      <c r="O22" s="15"/>
      <c r="P22" s="7" t="s">
        <v>55</v>
      </c>
      <c r="Q22" s="7" t="s">
        <v>55</v>
      </c>
      <c r="R22" s="9"/>
      <c r="S22" s="9" t="s">
        <v>157</v>
      </c>
      <c r="T22" s="7"/>
      <c r="U22" s="9"/>
      <c r="V22" s="9"/>
      <c r="W22" s="9"/>
      <c r="X22" s="9"/>
      <c r="Y22" s="9"/>
      <c r="Z22" s="9"/>
      <c r="AA22" s="9"/>
      <c r="AB22" s="9"/>
      <c r="AC22" s="9"/>
      <c r="AD22" s="9"/>
      <c r="AE22" s="9"/>
      <c r="AF22" s="9"/>
      <c r="AG22" s="9"/>
      <c r="AH22" s="9"/>
      <c r="AI22" s="9"/>
      <c r="AJ22" s="9"/>
    </row>
    <row r="23" ht="15.75" hidden="1" customHeight="1">
      <c r="A23" s="11" t="s">
        <v>34</v>
      </c>
      <c r="B23" s="11" t="s">
        <v>35</v>
      </c>
      <c r="C23" s="12" t="s">
        <v>36</v>
      </c>
      <c r="D23" s="13" t="s">
        <v>158</v>
      </c>
      <c r="E23" s="11" t="s">
        <v>49</v>
      </c>
      <c r="F23" s="11"/>
      <c r="G23" s="11" t="s">
        <v>38</v>
      </c>
      <c r="H23" s="11" t="s">
        <v>51</v>
      </c>
      <c r="I23" s="11" t="s">
        <v>51</v>
      </c>
      <c r="J23" s="11" t="s">
        <v>40</v>
      </c>
      <c r="K23" s="13" t="s">
        <v>159</v>
      </c>
      <c r="L23" s="11"/>
      <c r="M23" s="11"/>
      <c r="N23" s="11"/>
      <c r="O23" s="21"/>
      <c r="P23" s="11" t="s">
        <v>160</v>
      </c>
      <c r="Q23" s="11" t="s">
        <v>161</v>
      </c>
      <c r="R23" s="13"/>
      <c r="S23" s="13"/>
      <c r="T23" s="11" t="s">
        <v>33</v>
      </c>
      <c r="U23" s="13"/>
      <c r="V23" s="13"/>
      <c r="W23" s="13"/>
      <c r="X23" s="13"/>
      <c r="Y23" s="13"/>
      <c r="Z23" s="13"/>
      <c r="AA23" s="13"/>
      <c r="AB23" s="13"/>
      <c r="AC23" s="13"/>
      <c r="AD23" s="13"/>
      <c r="AE23" s="13"/>
      <c r="AF23" s="13"/>
      <c r="AG23" s="13"/>
      <c r="AH23" s="13"/>
      <c r="AI23" s="13"/>
      <c r="AJ23" s="13"/>
    </row>
    <row r="24" ht="15.75" hidden="1" customHeight="1">
      <c r="A24" s="7" t="s">
        <v>34</v>
      </c>
      <c r="B24" s="7" t="s">
        <v>35</v>
      </c>
      <c r="C24" s="8" t="s">
        <v>162</v>
      </c>
      <c r="D24" s="9" t="s">
        <v>163</v>
      </c>
      <c r="E24" s="7" t="s">
        <v>49</v>
      </c>
      <c r="F24" s="7"/>
      <c r="G24" s="7" t="s">
        <v>50</v>
      </c>
      <c r="H24" s="9"/>
      <c r="I24" s="7" t="s">
        <v>151</v>
      </c>
      <c r="J24" s="7" t="s">
        <v>52</v>
      </c>
      <c r="K24" s="9" t="s">
        <v>164</v>
      </c>
      <c r="L24" s="7"/>
      <c r="M24" s="7"/>
      <c r="N24" s="7"/>
      <c r="O24" s="22" t="s">
        <v>165</v>
      </c>
      <c r="P24" s="7" t="s">
        <v>166</v>
      </c>
      <c r="Q24" s="7" t="s">
        <v>166</v>
      </c>
      <c r="R24" s="9" t="s">
        <v>167</v>
      </c>
      <c r="S24" s="9"/>
      <c r="T24" s="9"/>
      <c r="U24" s="9"/>
      <c r="V24" s="9"/>
      <c r="W24" s="9"/>
      <c r="X24" s="9"/>
      <c r="Y24" s="9"/>
      <c r="Z24" s="9"/>
      <c r="AA24" s="9"/>
      <c r="AB24" s="9"/>
      <c r="AC24" s="9"/>
      <c r="AD24" s="9"/>
      <c r="AE24" s="9"/>
      <c r="AF24" s="9"/>
      <c r="AG24" s="9"/>
      <c r="AH24" s="9"/>
      <c r="AI24" s="9"/>
      <c r="AJ24" s="9"/>
    </row>
    <row r="25" ht="15.75" hidden="1" customHeight="1">
      <c r="A25" s="11" t="s">
        <v>34</v>
      </c>
      <c r="B25" s="11" t="s">
        <v>35</v>
      </c>
      <c r="C25" s="12" t="s">
        <v>168</v>
      </c>
      <c r="D25" s="13" t="s">
        <v>169</v>
      </c>
      <c r="E25" s="11" t="s">
        <v>49</v>
      </c>
      <c r="F25" s="11"/>
      <c r="G25" s="11" t="s">
        <v>50</v>
      </c>
      <c r="H25" s="13"/>
      <c r="I25" s="11" t="s">
        <v>151</v>
      </c>
      <c r="J25" s="11" t="s">
        <v>52</v>
      </c>
      <c r="K25" s="13" t="s">
        <v>170</v>
      </c>
      <c r="L25" s="11"/>
      <c r="M25" s="11"/>
      <c r="N25" s="11"/>
      <c r="O25" s="21"/>
      <c r="P25" s="11" t="s">
        <v>166</v>
      </c>
      <c r="Q25" s="11" t="s">
        <v>166</v>
      </c>
      <c r="R25" s="13" t="s">
        <v>171</v>
      </c>
      <c r="S25" s="13"/>
      <c r="T25" s="13"/>
      <c r="U25" s="13"/>
      <c r="V25" s="13"/>
      <c r="W25" s="13"/>
      <c r="X25" s="13"/>
      <c r="Y25" s="13"/>
      <c r="Z25" s="13"/>
      <c r="AA25" s="13"/>
      <c r="AB25" s="13"/>
      <c r="AC25" s="13"/>
      <c r="AD25" s="13"/>
      <c r="AE25" s="13"/>
      <c r="AF25" s="13"/>
      <c r="AG25" s="13"/>
      <c r="AH25" s="13"/>
      <c r="AI25" s="13"/>
      <c r="AJ25" s="13"/>
    </row>
    <row r="26" ht="15.75" hidden="1" customHeight="1">
      <c r="A26" s="7" t="s">
        <v>34</v>
      </c>
      <c r="B26" s="7" t="s">
        <v>35</v>
      </c>
      <c r="C26" s="8" t="s">
        <v>172</v>
      </c>
      <c r="D26" s="9" t="s">
        <v>173</v>
      </c>
      <c r="E26" s="7" t="s">
        <v>49</v>
      </c>
      <c r="F26" s="7"/>
      <c r="G26" s="7" t="s">
        <v>50</v>
      </c>
      <c r="H26" s="7"/>
      <c r="I26" s="7" t="s">
        <v>151</v>
      </c>
      <c r="J26" s="7" t="s">
        <v>52</v>
      </c>
      <c r="K26" s="9" t="s">
        <v>174</v>
      </c>
      <c r="L26" s="7"/>
      <c r="M26" s="23">
        <v>45991.0</v>
      </c>
      <c r="N26" s="7"/>
      <c r="O26" s="22" t="s">
        <v>175</v>
      </c>
      <c r="P26" s="7" t="s">
        <v>176</v>
      </c>
      <c r="Q26" s="7" t="s">
        <v>161</v>
      </c>
      <c r="R26" s="9"/>
      <c r="S26" s="9" t="s">
        <v>177</v>
      </c>
      <c r="T26" s="7" t="s">
        <v>33</v>
      </c>
      <c r="U26" s="9"/>
      <c r="V26" s="9"/>
      <c r="W26" s="9"/>
      <c r="X26" s="9"/>
      <c r="Y26" s="9"/>
      <c r="Z26" s="9"/>
      <c r="AA26" s="9"/>
      <c r="AB26" s="9"/>
      <c r="AC26" s="9"/>
      <c r="AD26" s="9"/>
      <c r="AE26" s="9"/>
      <c r="AF26" s="9"/>
      <c r="AG26" s="9"/>
      <c r="AH26" s="9"/>
      <c r="AI26" s="9"/>
      <c r="AJ26" s="9"/>
    </row>
    <row r="27" ht="15.75" hidden="1" customHeight="1">
      <c r="A27" s="11" t="s">
        <v>34</v>
      </c>
      <c r="B27" s="11" t="s">
        <v>35</v>
      </c>
      <c r="C27" s="12" t="s">
        <v>178</v>
      </c>
      <c r="D27" s="13" t="s">
        <v>179</v>
      </c>
      <c r="E27" s="11" t="s">
        <v>49</v>
      </c>
      <c r="F27" s="11"/>
      <c r="G27" s="11" t="s">
        <v>38</v>
      </c>
      <c r="H27" s="11" t="s">
        <v>51</v>
      </c>
      <c r="I27" s="11" t="s">
        <v>151</v>
      </c>
      <c r="J27" s="11" t="s">
        <v>40</v>
      </c>
      <c r="K27" s="13" t="s">
        <v>180</v>
      </c>
      <c r="L27" s="11"/>
      <c r="M27" s="11"/>
      <c r="N27" s="11"/>
      <c r="O27" s="21"/>
      <c r="P27" s="11" t="s">
        <v>91</v>
      </c>
      <c r="Q27" s="11" t="s">
        <v>161</v>
      </c>
      <c r="R27" s="13"/>
      <c r="S27" s="13"/>
      <c r="T27" s="11" t="s">
        <v>33</v>
      </c>
      <c r="U27" s="13"/>
      <c r="V27" s="13"/>
      <c r="W27" s="13"/>
      <c r="X27" s="13"/>
      <c r="Y27" s="13"/>
      <c r="Z27" s="13"/>
      <c r="AA27" s="13"/>
      <c r="AB27" s="13"/>
      <c r="AC27" s="13"/>
      <c r="AD27" s="13"/>
      <c r="AE27" s="13"/>
      <c r="AF27" s="13"/>
      <c r="AG27" s="13"/>
      <c r="AH27" s="13"/>
      <c r="AI27" s="13"/>
      <c r="AJ27" s="13"/>
    </row>
    <row r="28" ht="15.75" hidden="1" customHeight="1">
      <c r="A28" s="7" t="s">
        <v>34</v>
      </c>
      <c r="B28" s="7" t="s">
        <v>35</v>
      </c>
      <c r="C28" s="8" t="s">
        <v>181</v>
      </c>
      <c r="D28" s="9" t="s">
        <v>182</v>
      </c>
      <c r="E28" s="7" t="s">
        <v>49</v>
      </c>
      <c r="F28" s="7"/>
      <c r="G28" s="7" t="s">
        <v>50</v>
      </c>
      <c r="H28" s="9"/>
      <c r="I28" s="7" t="s">
        <v>151</v>
      </c>
      <c r="J28" s="7" t="s">
        <v>52</v>
      </c>
      <c r="K28" s="9" t="s">
        <v>183</v>
      </c>
      <c r="L28" s="7"/>
      <c r="M28" s="7"/>
      <c r="N28" s="7"/>
      <c r="O28" s="15"/>
      <c r="P28" s="10" t="s">
        <v>184</v>
      </c>
      <c r="Q28" s="10" t="s">
        <v>184</v>
      </c>
      <c r="R28" s="24" t="s">
        <v>167</v>
      </c>
      <c r="S28" s="9"/>
      <c r="T28" s="9"/>
      <c r="U28" s="9"/>
      <c r="V28" s="9"/>
      <c r="W28" s="9"/>
      <c r="X28" s="9"/>
      <c r="Y28" s="9"/>
      <c r="Z28" s="9"/>
      <c r="AA28" s="9"/>
      <c r="AB28" s="9"/>
      <c r="AC28" s="9"/>
      <c r="AD28" s="9"/>
      <c r="AE28" s="9"/>
      <c r="AF28" s="9"/>
      <c r="AG28" s="9"/>
      <c r="AH28" s="9"/>
      <c r="AI28" s="9"/>
      <c r="AJ28" s="9"/>
    </row>
    <row r="29" ht="15.75" hidden="1" customHeight="1">
      <c r="A29" s="11" t="s">
        <v>34</v>
      </c>
      <c r="B29" s="11" t="s">
        <v>35</v>
      </c>
      <c r="C29" s="12" t="s">
        <v>185</v>
      </c>
      <c r="D29" s="13" t="s">
        <v>186</v>
      </c>
      <c r="E29" s="11" t="s">
        <v>49</v>
      </c>
      <c r="F29" s="11"/>
      <c r="G29" s="25" t="s">
        <v>26</v>
      </c>
      <c r="H29" s="13"/>
      <c r="I29" s="11" t="s">
        <v>151</v>
      </c>
      <c r="J29" s="11" t="s">
        <v>187</v>
      </c>
      <c r="K29" s="13" t="s">
        <v>188</v>
      </c>
      <c r="L29" s="11"/>
      <c r="M29" s="11"/>
      <c r="N29" s="11"/>
      <c r="O29" s="21"/>
      <c r="P29" s="25"/>
      <c r="Q29" s="11" t="s">
        <v>161</v>
      </c>
      <c r="R29" s="13" t="s">
        <v>167</v>
      </c>
      <c r="S29" s="13" t="s">
        <v>189</v>
      </c>
      <c r="T29" s="13"/>
      <c r="U29" s="13"/>
      <c r="V29" s="13"/>
      <c r="W29" s="13"/>
      <c r="X29" s="13"/>
      <c r="Y29" s="13"/>
      <c r="Z29" s="13"/>
      <c r="AA29" s="13"/>
      <c r="AB29" s="13"/>
      <c r="AC29" s="13"/>
      <c r="AD29" s="13"/>
      <c r="AE29" s="13"/>
      <c r="AF29" s="13"/>
      <c r="AG29" s="13"/>
      <c r="AH29" s="13"/>
      <c r="AI29" s="13"/>
      <c r="AJ29" s="13"/>
    </row>
    <row r="30" ht="15.75" hidden="1" customHeight="1">
      <c r="A30" s="7" t="s">
        <v>34</v>
      </c>
      <c r="B30" s="7" t="s">
        <v>35</v>
      </c>
      <c r="C30" s="8" t="s">
        <v>190</v>
      </c>
      <c r="D30" s="9" t="s">
        <v>191</v>
      </c>
      <c r="E30" s="7" t="s">
        <v>49</v>
      </c>
      <c r="F30" s="7"/>
      <c r="G30" s="7" t="s">
        <v>50</v>
      </c>
      <c r="H30" s="9"/>
      <c r="I30" s="7" t="s">
        <v>151</v>
      </c>
      <c r="J30" s="7" t="s">
        <v>52</v>
      </c>
      <c r="K30" s="9" t="s">
        <v>192</v>
      </c>
      <c r="L30" s="7"/>
      <c r="M30" s="7"/>
      <c r="N30" s="7"/>
      <c r="O30" s="9" t="s">
        <v>192</v>
      </c>
      <c r="P30" s="7" t="s">
        <v>193</v>
      </c>
      <c r="Q30" s="7" t="s">
        <v>193</v>
      </c>
      <c r="R30" s="9" t="s">
        <v>167</v>
      </c>
      <c r="S30" s="9"/>
      <c r="T30" s="9"/>
      <c r="U30" s="9"/>
      <c r="V30" s="9"/>
      <c r="W30" s="9"/>
      <c r="X30" s="9"/>
      <c r="Y30" s="9"/>
      <c r="Z30" s="9"/>
      <c r="AA30" s="9"/>
      <c r="AB30" s="9"/>
      <c r="AC30" s="9"/>
      <c r="AD30" s="9"/>
      <c r="AE30" s="9"/>
      <c r="AF30" s="9"/>
      <c r="AG30" s="9"/>
      <c r="AH30" s="9"/>
      <c r="AI30" s="9"/>
      <c r="AJ30" s="9"/>
    </row>
    <row r="31" ht="15.75" hidden="1" customHeight="1">
      <c r="A31" s="11" t="s">
        <v>34</v>
      </c>
      <c r="B31" s="11" t="s">
        <v>35</v>
      </c>
      <c r="C31" s="12" t="s">
        <v>194</v>
      </c>
      <c r="D31" s="13" t="s">
        <v>195</v>
      </c>
      <c r="E31" s="11" t="s">
        <v>49</v>
      </c>
      <c r="F31" s="11"/>
      <c r="G31" s="11" t="s">
        <v>50</v>
      </c>
      <c r="H31" s="13"/>
      <c r="I31" s="11" t="s">
        <v>151</v>
      </c>
      <c r="J31" s="11" t="s">
        <v>52</v>
      </c>
      <c r="K31" s="13" t="s">
        <v>196</v>
      </c>
      <c r="L31" s="11"/>
      <c r="M31" s="11"/>
      <c r="N31" s="11"/>
      <c r="O31" s="21"/>
      <c r="P31" s="11" t="s">
        <v>166</v>
      </c>
      <c r="Q31" s="11" t="s">
        <v>166</v>
      </c>
      <c r="R31" s="13" t="s">
        <v>167</v>
      </c>
      <c r="S31" s="13"/>
      <c r="T31" s="13"/>
      <c r="U31" s="13"/>
      <c r="V31" s="13"/>
      <c r="W31" s="13"/>
      <c r="X31" s="13"/>
      <c r="Y31" s="13"/>
      <c r="Z31" s="13"/>
      <c r="AA31" s="13"/>
      <c r="AB31" s="13"/>
      <c r="AC31" s="13"/>
      <c r="AD31" s="13"/>
      <c r="AE31" s="13"/>
      <c r="AF31" s="13"/>
      <c r="AG31" s="13"/>
      <c r="AH31" s="13"/>
      <c r="AI31" s="13"/>
      <c r="AJ31" s="13"/>
    </row>
    <row r="32" ht="15.75" hidden="1" customHeight="1">
      <c r="A32" s="7" t="s">
        <v>34</v>
      </c>
      <c r="B32" s="7" t="s">
        <v>77</v>
      </c>
      <c r="C32" s="8" t="s">
        <v>78</v>
      </c>
      <c r="D32" s="9" t="s">
        <v>197</v>
      </c>
      <c r="E32" s="7" t="s">
        <v>49</v>
      </c>
      <c r="F32" s="7"/>
      <c r="G32" s="16" t="s">
        <v>80</v>
      </c>
      <c r="H32" s="9"/>
      <c r="I32" s="7" t="s">
        <v>51</v>
      </c>
      <c r="J32" s="7" t="s">
        <v>77</v>
      </c>
      <c r="K32" s="9" t="s">
        <v>198</v>
      </c>
      <c r="L32" s="7"/>
      <c r="M32" s="7"/>
      <c r="N32" s="7"/>
      <c r="O32" s="8"/>
      <c r="P32" s="7" t="s">
        <v>91</v>
      </c>
      <c r="Q32" s="7"/>
      <c r="R32" s="9"/>
      <c r="S32" s="17"/>
      <c r="T32" s="9"/>
      <c r="U32" s="9"/>
      <c r="V32" s="9"/>
      <c r="W32" s="9"/>
      <c r="X32" s="9"/>
      <c r="Y32" s="9"/>
      <c r="Z32" s="9"/>
      <c r="AA32" s="9"/>
      <c r="AB32" s="9"/>
      <c r="AC32" s="9"/>
      <c r="AD32" s="9"/>
      <c r="AE32" s="9"/>
      <c r="AF32" s="9"/>
      <c r="AG32" s="9"/>
      <c r="AH32" s="9"/>
      <c r="AI32" s="9"/>
      <c r="AJ32" s="9"/>
    </row>
    <row r="33" ht="15.75" hidden="1" customHeight="1">
      <c r="A33" s="11" t="s">
        <v>34</v>
      </c>
      <c r="B33" s="11" t="s">
        <v>77</v>
      </c>
      <c r="C33" s="12" t="s">
        <v>78</v>
      </c>
      <c r="D33" s="13" t="s">
        <v>199</v>
      </c>
      <c r="E33" s="11" t="s">
        <v>49</v>
      </c>
      <c r="F33" s="11"/>
      <c r="G33" s="18" t="s">
        <v>80</v>
      </c>
      <c r="H33" s="13"/>
      <c r="I33" s="11" t="s">
        <v>51</v>
      </c>
      <c r="J33" s="11" t="s">
        <v>77</v>
      </c>
      <c r="K33" s="13" t="s">
        <v>200</v>
      </c>
      <c r="L33" s="11"/>
      <c r="M33" s="11"/>
      <c r="N33" s="11"/>
      <c r="O33" s="12"/>
      <c r="P33" s="11" t="s">
        <v>91</v>
      </c>
      <c r="Q33" s="11"/>
      <c r="R33" s="13"/>
      <c r="S33" s="19"/>
      <c r="T33" s="13"/>
      <c r="U33" s="13"/>
      <c r="V33" s="13"/>
      <c r="W33" s="13"/>
      <c r="X33" s="13"/>
      <c r="Y33" s="13"/>
      <c r="Z33" s="13"/>
      <c r="AA33" s="13"/>
      <c r="AB33" s="13"/>
      <c r="AC33" s="13"/>
      <c r="AD33" s="13"/>
      <c r="AE33" s="13"/>
      <c r="AF33" s="13"/>
      <c r="AG33" s="13"/>
      <c r="AH33" s="13"/>
      <c r="AI33" s="13"/>
      <c r="AJ33" s="13"/>
    </row>
    <row r="34" ht="15.75" hidden="1" customHeight="1">
      <c r="A34" s="7" t="s">
        <v>34</v>
      </c>
      <c r="B34" s="7" t="s">
        <v>77</v>
      </c>
      <c r="C34" s="8" t="s">
        <v>201</v>
      </c>
      <c r="D34" s="9" t="s">
        <v>202</v>
      </c>
      <c r="E34" s="7" t="s">
        <v>49</v>
      </c>
      <c r="F34" s="7"/>
      <c r="G34" s="16" t="s">
        <v>80</v>
      </c>
      <c r="H34" s="9"/>
      <c r="I34" s="7" t="s">
        <v>51</v>
      </c>
      <c r="J34" s="7" t="s">
        <v>77</v>
      </c>
      <c r="K34" s="9" t="s">
        <v>203</v>
      </c>
      <c r="L34" s="7"/>
      <c r="M34" s="7"/>
      <c r="N34" s="7"/>
      <c r="O34" s="8"/>
      <c r="P34" s="7" t="s">
        <v>91</v>
      </c>
      <c r="Q34" s="7"/>
      <c r="R34" s="9"/>
      <c r="S34" s="17"/>
      <c r="T34" s="9"/>
      <c r="U34" s="9"/>
      <c r="V34" s="9"/>
      <c r="W34" s="9"/>
      <c r="X34" s="9"/>
      <c r="Y34" s="9"/>
      <c r="Z34" s="9"/>
      <c r="AA34" s="9"/>
      <c r="AB34" s="9"/>
      <c r="AC34" s="9"/>
      <c r="AD34" s="9"/>
      <c r="AE34" s="9"/>
      <c r="AF34" s="9"/>
      <c r="AG34" s="9"/>
      <c r="AH34" s="9"/>
      <c r="AI34" s="9"/>
      <c r="AJ34" s="9"/>
    </row>
    <row r="35" ht="15.75" hidden="1" customHeight="1">
      <c r="A35" s="11" t="s">
        <v>34</v>
      </c>
      <c r="B35" s="11" t="s">
        <v>77</v>
      </c>
      <c r="C35" s="12" t="s">
        <v>78</v>
      </c>
      <c r="D35" s="13" t="s">
        <v>204</v>
      </c>
      <c r="E35" s="11" t="s">
        <v>49</v>
      </c>
      <c r="F35" s="11"/>
      <c r="G35" s="18" t="s">
        <v>80</v>
      </c>
      <c r="H35" s="13"/>
      <c r="I35" s="11" t="s">
        <v>151</v>
      </c>
      <c r="J35" s="11" t="s">
        <v>77</v>
      </c>
      <c r="K35" s="13" t="s">
        <v>205</v>
      </c>
      <c r="L35" s="11"/>
      <c r="M35" s="11"/>
      <c r="N35" s="11"/>
      <c r="O35" s="12"/>
      <c r="P35" s="11" t="s">
        <v>91</v>
      </c>
      <c r="Q35" s="11"/>
      <c r="R35" s="13"/>
      <c r="S35" s="19"/>
      <c r="T35" s="13"/>
      <c r="U35" s="13"/>
      <c r="V35" s="13"/>
      <c r="W35" s="13"/>
      <c r="X35" s="13"/>
      <c r="Y35" s="13"/>
      <c r="Z35" s="13"/>
      <c r="AA35" s="13"/>
      <c r="AB35" s="13"/>
      <c r="AC35" s="13"/>
      <c r="AD35" s="13"/>
      <c r="AE35" s="13"/>
      <c r="AF35" s="13"/>
      <c r="AG35" s="13"/>
      <c r="AH35" s="13"/>
      <c r="AI35" s="13"/>
      <c r="AJ35" s="13"/>
    </row>
    <row r="36" ht="15.75" hidden="1" customHeight="1">
      <c r="A36" s="7" t="s">
        <v>34</v>
      </c>
      <c r="B36" s="7" t="s">
        <v>77</v>
      </c>
      <c r="C36" s="8" t="s">
        <v>78</v>
      </c>
      <c r="D36" s="9" t="s">
        <v>206</v>
      </c>
      <c r="E36" s="7" t="s">
        <v>49</v>
      </c>
      <c r="F36" s="7"/>
      <c r="G36" s="16" t="s">
        <v>80</v>
      </c>
      <c r="H36" s="9"/>
      <c r="I36" s="7" t="s">
        <v>151</v>
      </c>
      <c r="J36" s="7" t="s">
        <v>77</v>
      </c>
      <c r="K36" s="9" t="s">
        <v>198</v>
      </c>
      <c r="L36" s="7"/>
      <c r="M36" s="7"/>
      <c r="N36" s="7"/>
      <c r="O36" s="8"/>
      <c r="P36" s="7" t="s">
        <v>91</v>
      </c>
      <c r="Q36" s="7"/>
      <c r="R36" s="9"/>
      <c r="S36" s="17"/>
      <c r="T36" s="9"/>
      <c r="U36" s="9"/>
      <c r="V36" s="9"/>
      <c r="W36" s="9"/>
      <c r="X36" s="9"/>
      <c r="Y36" s="9"/>
      <c r="Z36" s="9"/>
      <c r="AA36" s="9"/>
      <c r="AB36" s="9"/>
      <c r="AC36" s="9"/>
      <c r="AD36" s="9"/>
      <c r="AE36" s="9"/>
      <c r="AF36" s="9"/>
      <c r="AG36" s="9"/>
      <c r="AH36" s="9"/>
      <c r="AI36" s="9"/>
      <c r="AJ36" s="9"/>
    </row>
    <row r="37" ht="15.75" hidden="1" customHeight="1">
      <c r="A37" s="11" t="s">
        <v>34</v>
      </c>
      <c r="B37" s="11" t="s">
        <v>77</v>
      </c>
      <c r="C37" s="12" t="s">
        <v>78</v>
      </c>
      <c r="D37" s="13" t="s">
        <v>207</v>
      </c>
      <c r="E37" s="11" t="s">
        <v>49</v>
      </c>
      <c r="F37" s="11"/>
      <c r="G37" s="18" t="s">
        <v>80</v>
      </c>
      <c r="H37" s="13"/>
      <c r="I37" s="11" t="s">
        <v>151</v>
      </c>
      <c r="J37" s="11" t="s">
        <v>208</v>
      </c>
      <c r="K37" s="13" t="s">
        <v>81</v>
      </c>
      <c r="L37" s="11"/>
      <c r="M37" s="11"/>
      <c r="N37" s="11"/>
      <c r="O37" s="12"/>
      <c r="P37" s="11" t="s">
        <v>91</v>
      </c>
      <c r="Q37" s="11"/>
      <c r="R37" s="13"/>
      <c r="S37" s="19"/>
      <c r="T37" s="13"/>
      <c r="U37" s="13"/>
      <c r="V37" s="13"/>
      <c r="W37" s="13"/>
      <c r="X37" s="13"/>
      <c r="Y37" s="13"/>
      <c r="Z37" s="13"/>
      <c r="AA37" s="13"/>
      <c r="AB37" s="13"/>
      <c r="AC37" s="13"/>
      <c r="AD37" s="13"/>
      <c r="AE37" s="13"/>
      <c r="AF37" s="13"/>
      <c r="AG37" s="13"/>
      <c r="AH37" s="13"/>
      <c r="AI37" s="13"/>
      <c r="AJ37" s="13"/>
    </row>
    <row r="38" ht="15.75" hidden="1" customHeight="1">
      <c r="A38" s="7" t="s">
        <v>34</v>
      </c>
      <c r="B38" s="7" t="s">
        <v>77</v>
      </c>
      <c r="C38" s="8" t="s">
        <v>209</v>
      </c>
      <c r="D38" s="9" t="s">
        <v>210</v>
      </c>
      <c r="E38" s="7" t="s">
        <v>49</v>
      </c>
      <c r="F38" s="7"/>
      <c r="G38" s="16" t="s">
        <v>80</v>
      </c>
      <c r="H38" s="9"/>
      <c r="I38" s="7" t="s">
        <v>151</v>
      </c>
      <c r="J38" s="7" t="s">
        <v>77</v>
      </c>
      <c r="K38" s="9" t="s">
        <v>211</v>
      </c>
      <c r="L38" s="7"/>
      <c r="M38" s="7"/>
      <c r="N38" s="7"/>
      <c r="O38" s="8"/>
      <c r="P38" s="7" t="s">
        <v>91</v>
      </c>
      <c r="Q38" s="7"/>
      <c r="R38" s="9"/>
      <c r="S38" s="17"/>
      <c r="T38" s="9"/>
      <c r="U38" s="9"/>
      <c r="V38" s="9"/>
      <c r="W38" s="9"/>
      <c r="X38" s="9"/>
      <c r="Y38" s="9"/>
      <c r="Z38" s="9"/>
      <c r="AA38" s="9"/>
      <c r="AB38" s="9"/>
      <c r="AC38" s="9"/>
      <c r="AD38" s="9"/>
      <c r="AE38" s="9"/>
      <c r="AF38" s="9"/>
      <c r="AG38" s="9"/>
      <c r="AH38" s="9"/>
      <c r="AI38" s="9"/>
      <c r="AJ38" s="9"/>
    </row>
    <row r="39" ht="15.75" hidden="1" customHeight="1">
      <c r="A39" s="11" t="s">
        <v>34</v>
      </c>
      <c r="B39" s="11" t="s">
        <v>77</v>
      </c>
      <c r="C39" s="12" t="s">
        <v>212</v>
      </c>
      <c r="D39" s="13" t="s">
        <v>213</v>
      </c>
      <c r="E39" s="11" t="s">
        <v>49</v>
      </c>
      <c r="F39" s="11"/>
      <c r="G39" s="18" t="s">
        <v>80</v>
      </c>
      <c r="H39" s="13"/>
      <c r="I39" s="11" t="s">
        <v>151</v>
      </c>
      <c r="J39" s="11" t="s">
        <v>77</v>
      </c>
      <c r="K39" s="13" t="s">
        <v>211</v>
      </c>
      <c r="L39" s="11"/>
      <c r="M39" s="11"/>
      <c r="N39" s="11"/>
      <c r="O39" s="12"/>
      <c r="P39" s="11" t="s">
        <v>91</v>
      </c>
      <c r="Q39" s="11"/>
      <c r="R39" s="13"/>
      <c r="S39" s="19"/>
      <c r="T39" s="13"/>
      <c r="U39" s="13"/>
      <c r="V39" s="13"/>
      <c r="W39" s="13"/>
      <c r="X39" s="13"/>
      <c r="Y39" s="13"/>
      <c r="Z39" s="13"/>
      <c r="AA39" s="13"/>
      <c r="AB39" s="13"/>
      <c r="AC39" s="13"/>
      <c r="AD39" s="13"/>
      <c r="AE39" s="13"/>
      <c r="AF39" s="13"/>
      <c r="AG39" s="13"/>
      <c r="AH39" s="13"/>
      <c r="AI39" s="13"/>
      <c r="AJ39" s="13"/>
    </row>
    <row r="40" ht="15.75" hidden="1" customHeight="1">
      <c r="A40" s="7" t="s">
        <v>34</v>
      </c>
      <c r="B40" s="7" t="s">
        <v>77</v>
      </c>
      <c r="C40" s="8" t="s">
        <v>214</v>
      </c>
      <c r="D40" s="9" t="s">
        <v>215</v>
      </c>
      <c r="E40" s="7" t="s">
        <v>49</v>
      </c>
      <c r="F40" s="7"/>
      <c r="G40" s="16" t="s">
        <v>80</v>
      </c>
      <c r="H40" s="9"/>
      <c r="I40" s="7" t="s">
        <v>151</v>
      </c>
      <c r="J40" s="7" t="s">
        <v>77</v>
      </c>
      <c r="K40" s="9" t="s">
        <v>216</v>
      </c>
      <c r="L40" s="7"/>
      <c r="M40" s="7"/>
      <c r="N40" s="7"/>
      <c r="O40" s="8"/>
      <c r="P40" s="7" t="s">
        <v>91</v>
      </c>
      <c r="Q40" s="7"/>
      <c r="R40" s="9"/>
      <c r="S40" s="17"/>
      <c r="T40" s="9"/>
      <c r="U40" s="9"/>
      <c r="V40" s="9"/>
      <c r="W40" s="9"/>
      <c r="X40" s="9"/>
      <c r="Y40" s="9"/>
      <c r="Z40" s="9"/>
      <c r="AA40" s="9"/>
      <c r="AB40" s="9"/>
      <c r="AC40" s="9"/>
      <c r="AD40" s="9"/>
      <c r="AE40" s="9"/>
      <c r="AF40" s="9"/>
      <c r="AG40" s="9"/>
      <c r="AH40" s="9"/>
      <c r="AI40" s="9"/>
      <c r="AJ40" s="9"/>
    </row>
    <row r="41" ht="15.75" hidden="1" customHeight="1">
      <c r="A41" s="11" t="s">
        <v>34</v>
      </c>
      <c r="B41" s="11" t="s">
        <v>77</v>
      </c>
      <c r="C41" s="12" t="s">
        <v>120</v>
      </c>
      <c r="D41" s="13" t="s">
        <v>217</v>
      </c>
      <c r="E41" s="11" t="s">
        <v>49</v>
      </c>
      <c r="F41" s="11"/>
      <c r="G41" s="18" t="s">
        <v>80</v>
      </c>
      <c r="H41" s="13"/>
      <c r="I41" s="11" t="s">
        <v>151</v>
      </c>
      <c r="J41" s="11" t="s">
        <v>77</v>
      </c>
      <c r="K41" s="13" t="s">
        <v>218</v>
      </c>
      <c r="L41" s="11"/>
      <c r="M41" s="11"/>
      <c r="N41" s="11"/>
      <c r="O41" s="12"/>
      <c r="P41" s="11" t="s">
        <v>91</v>
      </c>
      <c r="Q41" s="11"/>
      <c r="R41" s="13"/>
      <c r="S41" s="19"/>
      <c r="T41" s="13"/>
      <c r="U41" s="13"/>
      <c r="V41" s="13"/>
      <c r="W41" s="13"/>
      <c r="X41" s="13"/>
      <c r="Y41" s="13"/>
      <c r="Z41" s="13"/>
      <c r="AA41" s="13"/>
      <c r="AB41" s="13"/>
      <c r="AC41" s="13"/>
      <c r="AD41" s="13"/>
      <c r="AE41" s="13"/>
      <c r="AF41" s="13"/>
      <c r="AG41" s="13"/>
      <c r="AH41" s="13"/>
      <c r="AI41" s="13"/>
      <c r="AJ41" s="13"/>
    </row>
    <row r="42" ht="15.75" hidden="1" customHeight="1">
      <c r="A42" s="7" t="s">
        <v>34</v>
      </c>
      <c r="B42" s="7" t="s">
        <v>77</v>
      </c>
      <c r="C42" s="8" t="s">
        <v>219</v>
      </c>
      <c r="D42" s="9" t="s">
        <v>220</v>
      </c>
      <c r="E42" s="7" t="s">
        <v>49</v>
      </c>
      <c r="F42" s="7"/>
      <c r="G42" s="16" t="s">
        <v>80</v>
      </c>
      <c r="H42" s="9"/>
      <c r="I42" s="7" t="s">
        <v>151</v>
      </c>
      <c r="J42" s="7" t="s">
        <v>77</v>
      </c>
      <c r="K42" s="9" t="s">
        <v>198</v>
      </c>
      <c r="L42" s="7"/>
      <c r="M42" s="7"/>
      <c r="N42" s="7"/>
      <c r="O42" s="8"/>
      <c r="P42" s="7" t="s">
        <v>91</v>
      </c>
      <c r="Q42" s="7"/>
      <c r="R42" s="9"/>
      <c r="S42" s="17"/>
      <c r="T42" s="9"/>
      <c r="U42" s="9"/>
      <c r="V42" s="9"/>
      <c r="W42" s="9"/>
      <c r="X42" s="9"/>
      <c r="Y42" s="9"/>
      <c r="Z42" s="9"/>
      <c r="AA42" s="9"/>
      <c r="AB42" s="9"/>
      <c r="AC42" s="9"/>
      <c r="AD42" s="9"/>
      <c r="AE42" s="9"/>
      <c r="AF42" s="9"/>
      <c r="AG42" s="9"/>
      <c r="AH42" s="9"/>
      <c r="AI42" s="9"/>
      <c r="AJ42" s="9"/>
    </row>
    <row r="43" ht="15.75" hidden="1" customHeight="1">
      <c r="A43" s="11" t="s">
        <v>34</v>
      </c>
      <c r="B43" s="11" t="s">
        <v>126</v>
      </c>
      <c r="C43" s="12" t="s">
        <v>221</v>
      </c>
      <c r="D43" s="12" t="s">
        <v>222</v>
      </c>
      <c r="E43" s="11" t="s">
        <v>49</v>
      </c>
      <c r="F43" s="11"/>
      <c r="G43" s="11" t="s">
        <v>223</v>
      </c>
      <c r="H43" s="11" t="s">
        <v>51</v>
      </c>
      <c r="I43" s="11" t="s">
        <v>27</v>
      </c>
      <c r="J43" s="11" t="s">
        <v>224</v>
      </c>
      <c r="K43" s="12" t="s">
        <v>188</v>
      </c>
      <c r="L43" s="11"/>
      <c r="M43" s="11"/>
      <c r="N43" s="11"/>
      <c r="O43" s="12" t="s">
        <v>225</v>
      </c>
      <c r="P43" s="11" t="s">
        <v>226</v>
      </c>
      <c r="Q43" s="11" t="s">
        <v>136</v>
      </c>
      <c r="R43" s="26" t="s">
        <v>227</v>
      </c>
      <c r="S43" s="19" t="s">
        <v>228</v>
      </c>
      <c r="T43" s="13" t="s">
        <v>33</v>
      </c>
      <c r="U43" s="13"/>
      <c r="V43" s="13"/>
      <c r="W43" s="13"/>
      <c r="X43" s="13"/>
      <c r="Y43" s="13"/>
      <c r="Z43" s="13"/>
      <c r="AA43" s="13"/>
      <c r="AB43" s="13"/>
      <c r="AC43" s="13"/>
      <c r="AD43" s="13"/>
      <c r="AE43" s="13"/>
      <c r="AF43" s="13"/>
      <c r="AG43" s="13"/>
      <c r="AH43" s="13"/>
      <c r="AI43" s="13"/>
      <c r="AJ43" s="13"/>
    </row>
    <row r="44" ht="15.75" hidden="1" customHeight="1">
      <c r="A44" s="7" t="s">
        <v>34</v>
      </c>
      <c r="B44" s="7" t="s">
        <v>126</v>
      </c>
      <c r="C44" s="8" t="s">
        <v>229</v>
      </c>
      <c r="D44" s="9" t="s">
        <v>230</v>
      </c>
      <c r="E44" s="7" t="s">
        <v>49</v>
      </c>
      <c r="F44" s="7"/>
      <c r="G44" s="7" t="s">
        <v>129</v>
      </c>
      <c r="H44" s="9"/>
      <c r="I44" s="7" t="s">
        <v>151</v>
      </c>
      <c r="J44" s="7" t="s">
        <v>139</v>
      </c>
      <c r="K44" s="9" t="s">
        <v>188</v>
      </c>
      <c r="L44" s="7"/>
      <c r="M44" s="7"/>
      <c r="N44" s="7"/>
      <c r="O44" s="15"/>
      <c r="P44" s="7" t="s">
        <v>91</v>
      </c>
      <c r="Q44" s="10" t="s">
        <v>231</v>
      </c>
      <c r="R44" s="24" t="s">
        <v>167</v>
      </c>
      <c r="S44" s="9"/>
      <c r="T44" s="9"/>
      <c r="U44" s="9"/>
      <c r="V44" s="9"/>
      <c r="W44" s="9"/>
      <c r="X44" s="9"/>
      <c r="Y44" s="9"/>
      <c r="Z44" s="9"/>
      <c r="AA44" s="9"/>
      <c r="AB44" s="9"/>
      <c r="AC44" s="9"/>
      <c r="AD44" s="9"/>
      <c r="AE44" s="9"/>
      <c r="AF44" s="9"/>
      <c r="AG44" s="9"/>
      <c r="AH44" s="9"/>
      <c r="AI44" s="9"/>
      <c r="AJ44" s="9"/>
    </row>
    <row r="45" ht="15.75" hidden="1" customHeight="1">
      <c r="A45" s="11" t="s">
        <v>34</v>
      </c>
      <c r="B45" s="11" t="s">
        <v>126</v>
      </c>
      <c r="C45" s="12" t="s">
        <v>232</v>
      </c>
      <c r="D45" s="13" t="s">
        <v>233</v>
      </c>
      <c r="E45" s="11" t="s">
        <v>49</v>
      </c>
      <c r="F45" s="11"/>
      <c r="G45" s="11" t="s">
        <v>129</v>
      </c>
      <c r="H45" s="13"/>
      <c r="I45" s="11" t="s">
        <v>151</v>
      </c>
      <c r="J45" s="11" t="s">
        <v>139</v>
      </c>
      <c r="K45" s="13" t="s">
        <v>234</v>
      </c>
      <c r="L45" s="11"/>
      <c r="M45" s="11"/>
      <c r="N45" s="11"/>
      <c r="O45" s="21"/>
      <c r="P45" s="11" t="s">
        <v>91</v>
      </c>
      <c r="Q45" s="11" t="s">
        <v>161</v>
      </c>
      <c r="R45" s="27" t="s">
        <v>167</v>
      </c>
      <c r="S45" s="13"/>
      <c r="T45" s="13"/>
      <c r="U45" s="13"/>
      <c r="V45" s="13"/>
      <c r="W45" s="13"/>
      <c r="X45" s="13"/>
      <c r="Y45" s="13"/>
      <c r="Z45" s="13"/>
      <c r="AA45" s="13"/>
      <c r="AB45" s="13"/>
      <c r="AC45" s="13"/>
      <c r="AD45" s="13"/>
      <c r="AE45" s="13"/>
      <c r="AF45" s="13"/>
      <c r="AG45" s="13"/>
      <c r="AH45" s="13"/>
      <c r="AI45" s="13"/>
      <c r="AJ45" s="13"/>
    </row>
    <row r="46" ht="15.75" hidden="1" customHeight="1">
      <c r="A46" s="7" t="s">
        <v>34</v>
      </c>
      <c r="B46" s="7" t="s">
        <v>126</v>
      </c>
      <c r="C46" s="8" t="s">
        <v>235</v>
      </c>
      <c r="D46" s="9" t="s">
        <v>236</v>
      </c>
      <c r="E46" s="7" t="s">
        <v>49</v>
      </c>
      <c r="F46" s="7"/>
      <c r="G46" s="7" t="s">
        <v>223</v>
      </c>
      <c r="H46" s="9"/>
      <c r="I46" s="7" t="s">
        <v>27</v>
      </c>
      <c r="J46" s="7" t="s">
        <v>224</v>
      </c>
      <c r="K46" s="9" t="s">
        <v>237</v>
      </c>
      <c r="L46" s="7"/>
      <c r="M46" s="7"/>
      <c r="N46" s="7"/>
      <c r="O46" s="15"/>
      <c r="P46" s="7" t="s">
        <v>238</v>
      </c>
      <c r="Q46" s="7" t="s">
        <v>166</v>
      </c>
      <c r="R46" s="9" t="s">
        <v>171</v>
      </c>
      <c r="S46" s="9" t="s">
        <v>239</v>
      </c>
      <c r="T46" s="9"/>
      <c r="U46" s="9"/>
      <c r="V46" s="9"/>
      <c r="W46" s="9"/>
      <c r="X46" s="9"/>
      <c r="Y46" s="9"/>
      <c r="Z46" s="9"/>
      <c r="AA46" s="9"/>
      <c r="AB46" s="9"/>
      <c r="AC46" s="9"/>
      <c r="AD46" s="9"/>
      <c r="AE46" s="9"/>
      <c r="AF46" s="9"/>
      <c r="AG46" s="9"/>
      <c r="AH46" s="9"/>
      <c r="AI46" s="9"/>
      <c r="AJ46" s="9"/>
    </row>
    <row r="47" ht="15.75" hidden="1" customHeight="1">
      <c r="A47" s="11" t="s">
        <v>34</v>
      </c>
      <c r="B47" s="11" t="s">
        <v>240</v>
      </c>
      <c r="C47" s="12" t="s">
        <v>241</v>
      </c>
      <c r="D47" s="13" t="s">
        <v>242</v>
      </c>
      <c r="E47" s="11" t="s">
        <v>49</v>
      </c>
      <c r="F47" s="11"/>
      <c r="G47" s="11" t="s">
        <v>243</v>
      </c>
      <c r="H47" s="13"/>
      <c r="I47" s="11" t="s">
        <v>151</v>
      </c>
      <c r="J47" s="11"/>
      <c r="K47" s="12" t="s">
        <v>244</v>
      </c>
      <c r="L47" s="11"/>
      <c r="M47" s="11" t="s">
        <v>49</v>
      </c>
      <c r="N47" s="11"/>
      <c r="O47" s="12"/>
      <c r="P47" s="11" t="s">
        <v>245</v>
      </c>
      <c r="Q47" s="11" t="s">
        <v>102</v>
      </c>
      <c r="R47" s="13"/>
      <c r="S47" s="19" t="s">
        <v>246</v>
      </c>
      <c r="T47" s="13"/>
      <c r="U47" s="13"/>
      <c r="V47" s="13"/>
      <c r="W47" s="13"/>
      <c r="X47" s="13"/>
      <c r="Y47" s="13"/>
      <c r="Z47" s="13"/>
      <c r="AA47" s="13"/>
      <c r="AB47" s="13"/>
      <c r="AC47" s="13"/>
      <c r="AD47" s="13"/>
      <c r="AE47" s="13"/>
      <c r="AF47" s="13"/>
      <c r="AG47" s="13"/>
      <c r="AH47" s="13"/>
      <c r="AI47" s="13"/>
      <c r="AJ47" s="13"/>
    </row>
    <row r="48" ht="15.75" hidden="1" customHeight="1">
      <c r="A48" s="7" t="s">
        <v>34</v>
      </c>
      <c r="B48" s="7" t="s">
        <v>86</v>
      </c>
      <c r="C48" s="8" t="s">
        <v>247</v>
      </c>
      <c r="D48" s="9" t="s">
        <v>248</v>
      </c>
      <c r="E48" s="7" t="s">
        <v>49</v>
      </c>
      <c r="F48" s="28" t="s">
        <v>249</v>
      </c>
      <c r="G48" s="16" t="s">
        <v>89</v>
      </c>
      <c r="H48" s="9"/>
      <c r="I48" s="7" t="s">
        <v>51</v>
      </c>
      <c r="J48" s="7" t="s">
        <v>86</v>
      </c>
      <c r="K48" s="9" t="s">
        <v>90</v>
      </c>
      <c r="L48" s="7"/>
      <c r="M48" s="7"/>
      <c r="N48" s="7"/>
      <c r="O48" s="8"/>
      <c r="P48" s="7" t="s">
        <v>91</v>
      </c>
      <c r="Q48" s="7"/>
      <c r="R48" s="26" t="s">
        <v>227</v>
      </c>
      <c r="S48" s="17"/>
      <c r="T48" s="9"/>
      <c r="U48" s="9"/>
      <c r="V48" s="9"/>
      <c r="W48" s="9"/>
      <c r="X48" s="9"/>
      <c r="Y48" s="9"/>
      <c r="Z48" s="9"/>
      <c r="AA48" s="9"/>
      <c r="AB48" s="9"/>
      <c r="AC48" s="9"/>
      <c r="AD48" s="9"/>
      <c r="AE48" s="9"/>
      <c r="AF48" s="9"/>
      <c r="AG48" s="9"/>
      <c r="AH48" s="9"/>
      <c r="AI48" s="9"/>
      <c r="AJ48" s="9"/>
    </row>
    <row r="49" ht="15.75" hidden="1" customHeight="1">
      <c r="A49" s="11" t="s">
        <v>250</v>
      </c>
      <c r="B49" s="11" t="s">
        <v>251</v>
      </c>
      <c r="C49" s="12" t="s">
        <v>252</v>
      </c>
      <c r="D49" s="13" t="s">
        <v>253</v>
      </c>
      <c r="E49" s="11" t="s">
        <v>25</v>
      </c>
      <c r="F49" s="11"/>
      <c r="G49" s="11" t="s">
        <v>254</v>
      </c>
      <c r="H49" s="11"/>
      <c r="I49" s="11" t="s">
        <v>151</v>
      </c>
      <c r="J49" s="11"/>
      <c r="K49" s="12"/>
      <c r="L49" s="12" t="s">
        <v>255</v>
      </c>
      <c r="M49" s="11"/>
      <c r="N49" s="11"/>
      <c r="O49" s="12"/>
      <c r="P49" s="11" t="s">
        <v>256</v>
      </c>
      <c r="Q49" s="11" t="s">
        <v>257</v>
      </c>
      <c r="R49" s="13" t="s">
        <v>258</v>
      </c>
      <c r="S49" s="13"/>
      <c r="T49" s="11"/>
      <c r="U49" s="13"/>
      <c r="V49" s="13"/>
      <c r="W49" s="13"/>
      <c r="X49" s="13"/>
      <c r="Y49" s="13"/>
      <c r="Z49" s="13"/>
      <c r="AA49" s="13"/>
      <c r="AB49" s="13"/>
      <c r="AC49" s="13"/>
      <c r="AD49" s="13"/>
      <c r="AE49" s="13"/>
      <c r="AF49" s="13"/>
      <c r="AG49" s="13"/>
      <c r="AH49" s="13"/>
      <c r="AI49" s="13"/>
      <c r="AJ49" s="13"/>
    </row>
    <row r="50" ht="15.75" hidden="1" customHeight="1">
      <c r="A50" s="7" t="s">
        <v>250</v>
      </c>
      <c r="B50" s="7" t="s">
        <v>250</v>
      </c>
      <c r="C50" s="8" t="s">
        <v>259</v>
      </c>
      <c r="D50" s="9" t="s">
        <v>260</v>
      </c>
      <c r="E50" s="7" t="s">
        <v>25</v>
      </c>
      <c r="F50" s="7"/>
      <c r="G50" s="16" t="s">
        <v>261</v>
      </c>
      <c r="H50" s="7"/>
      <c r="I50" s="7" t="s">
        <v>27</v>
      </c>
      <c r="J50" s="7"/>
      <c r="K50" s="8"/>
      <c r="L50" s="8" t="s">
        <v>262</v>
      </c>
      <c r="M50" s="7"/>
      <c r="N50" s="7"/>
      <c r="O50" s="8"/>
      <c r="P50" s="7"/>
      <c r="Q50" s="7" t="s">
        <v>102</v>
      </c>
      <c r="R50" s="9"/>
      <c r="S50" s="15"/>
      <c r="T50" s="7"/>
      <c r="U50" s="9"/>
      <c r="V50" s="9"/>
      <c r="W50" s="9"/>
      <c r="X50" s="9"/>
      <c r="Y50" s="9"/>
      <c r="Z50" s="9"/>
      <c r="AA50" s="9"/>
      <c r="AB50" s="9"/>
      <c r="AC50" s="9"/>
      <c r="AD50" s="9"/>
      <c r="AE50" s="9"/>
      <c r="AF50" s="9"/>
      <c r="AG50" s="9"/>
      <c r="AH50" s="9"/>
      <c r="AI50" s="9"/>
      <c r="AJ50" s="9"/>
    </row>
    <row r="51" ht="15.75" hidden="1" customHeight="1">
      <c r="A51" s="11" t="s">
        <v>250</v>
      </c>
      <c r="B51" s="11" t="s">
        <v>263</v>
      </c>
      <c r="C51" s="12" t="s">
        <v>264</v>
      </c>
      <c r="D51" s="13" t="s">
        <v>265</v>
      </c>
      <c r="E51" s="11" t="s">
        <v>25</v>
      </c>
      <c r="F51" s="11"/>
      <c r="G51" s="11"/>
      <c r="H51" s="11" t="s">
        <v>39</v>
      </c>
      <c r="I51" s="11" t="s">
        <v>51</v>
      </c>
      <c r="J51" s="11"/>
      <c r="K51" s="12"/>
      <c r="L51" s="12" t="s">
        <v>266</v>
      </c>
      <c r="M51" s="11"/>
      <c r="N51" s="11"/>
      <c r="O51" s="12"/>
      <c r="P51" s="11"/>
      <c r="Q51" s="11" t="s">
        <v>102</v>
      </c>
      <c r="R51" s="13"/>
      <c r="S51" s="21"/>
      <c r="T51" s="11"/>
      <c r="U51" s="13"/>
      <c r="V51" s="13"/>
      <c r="W51" s="13"/>
      <c r="X51" s="13"/>
      <c r="Y51" s="13"/>
      <c r="Z51" s="13"/>
      <c r="AA51" s="13"/>
      <c r="AB51" s="13"/>
      <c r="AC51" s="13"/>
      <c r="AD51" s="13"/>
      <c r="AE51" s="13"/>
      <c r="AF51" s="13"/>
      <c r="AG51" s="13"/>
      <c r="AH51" s="13"/>
      <c r="AI51" s="13"/>
      <c r="AJ51" s="13"/>
    </row>
    <row r="52" ht="15.75" hidden="1" customHeight="1">
      <c r="A52" s="7" t="s">
        <v>250</v>
      </c>
      <c r="B52" s="7" t="s">
        <v>251</v>
      </c>
      <c r="C52" s="8" t="s">
        <v>267</v>
      </c>
      <c r="D52" s="9" t="s">
        <v>268</v>
      </c>
      <c r="E52" s="7" t="s">
        <v>25</v>
      </c>
      <c r="F52" s="7" t="s">
        <v>269</v>
      </c>
      <c r="G52" s="7" t="s">
        <v>270</v>
      </c>
      <c r="H52" s="9" t="s">
        <v>51</v>
      </c>
      <c r="I52" s="7" t="s">
        <v>51</v>
      </c>
      <c r="J52" s="7" t="s">
        <v>271</v>
      </c>
      <c r="K52" s="8"/>
      <c r="L52" s="8" t="s">
        <v>272</v>
      </c>
      <c r="M52" s="7"/>
      <c r="N52" s="7"/>
      <c r="O52" s="8"/>
      <c r="P52" s="7"/>
      <c r="Q52" s="7"/>
      <c r="R52" s="9"/>
      <c r="S52" s="17"/>
      <c r="T52" s="9"/>
      <c r="U52" s="9"/>
      <c r="V52" s="9"/>
      <c r="W52" s="9"/>
      <c r="X52" s="9"/>
      <c r="Y52" s="9"/>
      <c r="Z52" s="9"/>
      <c r="AA52" s="9"/>
      <c r="AB52" s="9"/>
      <c r="AC52" s="9"/>
      <c r="AD52" s="9"/>
      <c r="AE52" s="9"/>
      <c r="AF52" s="9"/>
      <c r="AG52" s="9"/>
      <c r="AH52" s="9"/>
      <c r="AI52" s="9"/>
      <c r="AJ52" s="9"/>
    </row>
    <row r="53" ht="15.75" hidden="1" customHeight="1">
      <c r="A53" s="11" t="s">
        <v>250</v>
      </c>
      <c r="B53" s="11" t="s">
        <v>251</v>
      </c>
      <c r="C53" s="12" t="s">
        <v>273</v>
      </c>
      <c r="D53" s="13" t="s">
        <v>274</v>
      </c>
      <c r="E53" s="11" t="s">
        <v>25</v>
      </c>
      <c r="F53" s="11" t="s">
        <v>275</v>
      </c>
      <c r="G53" s="11" t="s">
        <v>270</v>
      </c>
      <c r="H53" s="13" t="s">
        <v>51</v>
      </c>
      <c r="I53" s="11" t="s">
        <v>51</v>
      </c>
      <c r="J53" s="11" t="s">
        <v>271</v>
      </c>
      <c r="K53" s="12" t="s">
        <v>276</v>
      </c>
      <c r="L53" s="12" t="s">
        <v>277</v>
      </c>
      <c r="M53" s="11"/>
      <c r="N53" s="11"/>
      <c r="O53" s="12"/>
      <c r="P53" s="11"/>
      <c r="Q53" s="11"/>
      <c r="R53" s="13"/>
      <c r="S53" s="19"/>
      <c r="T53" s="13"/>
      <c r="U53" s="13"/>
      <c r="V53" s="13"/>
      <c r="W53" s="13"/>
      <c r="X53" s="13"/>
      <c r="Y53" s="13"/>
      <c r="Z53" s="13"/>
      <c r="AA53" s="13"/>
      <c r="AB53" s="13"/>
      <c r="AC53" s="13"/>
      <c r="AD53" s="13"/>
      <c r="AE53" s="13"/>
      <c r="AF53" s="13"/>
      <c r="AG53" s="13"/>
      <c r="AH53" s="13"/>
      <c r="AI53" s="13"/>
      <c r="AJ53" s="13"/>
    </row>
    <row r="54" ht="15.75" hidden="1" customHeight="1">
      <c r="A54" s="7" t="s">
        <v>250</v>
      </c>
      <c r="B54" s="7" t="s">
        <v>263</v>
      </c>
      <c r="C54" s="8" t="s">
        <v>278</v>
      </c>
      <c r="D54" s="9" t="s">
        <v>279</v>
      </c>
      <c r="E54" s="7" t="s">
        <v>96</v>
      </c>
      <c r="F54" s="7"/>
      <c r="G54" s="16" t="s">
        <v>261</v>
      </c>
      <c r="H54" s="7"/>
      <c r="I54" s="7" t="s">
        <v>51</v>
      </c>
      <c r="J54" s="7"/>
      <c r="K54" s="8"/>
      <c r="L54" s="7"/>
      <c r="M54" s="7"/>
      <c r="N54" s="7"/>
      <c r="O54" s="8"/>
      <c r="P54" s="7"/>
      <c r="Q54" s="7" t="s">
        <v>102</v>
      </c>
      <c r="R54" s="9"/>
      <c r="S54" s="15"/>
      <c r="T54" s="7"/>
      <c r="U54" s="9"/>
      <c r="V54" s="9"/>
      <c r="W54" s="9"/>
      <c r="X54" s="9"/>
      <c r="Y54" s="9"/>
      <c r="Z54" s="9"/>
      <c r="AA54" s="9"/>
      <c r="AB54" s="9"/>
      <c r="AC54" s="9"/>
      <c r="AD54" s="9"/>
      <c r="AE54" s="9"/>
      <c r="AF54" s="9"/>
      <c r="AG54" s="9"/>
      <c r="AH54" s="9"/>
      <c r="AI54" s="9"/>
      <c r="AJ54" s="9"/>
    </row>
    <row r="55" ht="15.75" hidden="1" customHeight="1">
      <c r="A55" s="11" t="s">
        <v>250</v>
      </c>
      <c r="B55" s="11" t="s">
        <v>280</v>
      </c>
      <c r="C55" s="12" t="s">
        <v>281</v>
      </c>
      <c r="D55" s="13" t="s">
        <v>282</v>
      </c>
      <c r="E55" s="11" t="s">
        <v>96</v>
      </c>
      <c r="F55" s="11"/>
      <c r="G55" s="18" t="s">
        <v>283</v>
      </c>
      <c r="H55" s="11"/>
      <c r="I55" s="11" t="s">
        <v>27</v>
      </c>
      <c r="J55" s="11"/>
      <c r="K55" s="12"/>
      <c r="L55" s="11"/>
      <c r="M55" s="11"/>
      <c r="N55" s="11"/>
      <c r="O55" s="12"/>
      <c r="P55" s="11"/>
      <c r="Q55" s="11" t="s">
        <v>102</v>
      </c>
      <c r="R55" s="13"/>
      <c r="S55" s="21"/>
      <c r="T55" s="11"/>
      <c r="U55" s="13"/>
      <c r="V55" s="13"/>
      <c r="W55" s="13"/>
      <c r="X55" s="13"/>
      <c r="Y55" s="13"/>
      <c r="Z55" s="13"/>
      <c r="AA55" s="13"/>
      <c r="AB55" s="13"/>
      <c r="AC55" s="13"/>
      <c r="AD55" s="13"/>
      <c r="AE55" s="13"/>
      <c r="AF55" s="13"/>
      <c r="AG55" s="13"/>
      <c r="AH55" s="13"/>
      <c r="AI55" s="13"/>
      <c r="AJ55" s="13"/>
    </row>
    <row r="56" ht="15.75" hidden="1" customHeight="1">
      <c r="A56" s="7" t="s">
        <v>250</v>
      </c>
      <c r="B56" s="7" t="s">
        <v>280</v>
      </c>
      <c r="C56" s="8" t="s">
        <v>284</v>
      </c>
      <c r="D56" s="9" t="s">
        <v>285</v>
      </c>
      <c r="E56" s="7" t="s">
        <v>96</v>
      </c>
      <c r="F56" s="7"/>
      <c r="G56" s="16" t="s">
        <v>283</v>
      </c>
      <c r="H56" s="7"/>
      <c r="I56" s="7" t="s">
        <v>27</v>
      </c>
      <c r="J56" s="7"/>
      <c r="K56" s="8"/>
      <c r="L56" s="7"/>
      <c r="M56" s="7"/>
      <c r="N56" s="7"/>
      <c r="O56" s="8"/>
      <c r="P56" s="7"/>
      <c r="Q56" s="7" t="s">
        <v>286</v>
      </c>
      <c r="R56" s="9"/>
      <c r="S56" s="15"/>
      <c r="T56" s="7"/>
      <c r="U56" s="9"/>
      <c r="V56" s="9"/>
      <c r="W56" s="9"/>
      <c r="X56" s="9"/>
      <c r="Y56" s="9"/>
      <c r="Z56" s="9"/>
      <c r="AA56" s="9"/>
      <c r="AB56" s="9"/>
      <c r="AC56" s="9"/>
      <c r="AD56" s="9"/>
      <c r="AE56" s="9"/>
      <c r="AF56" s="9"/>
      <c r="AG56" s="9"/>
      <c r="AH56" s="9"/>
      <c r="AI56" s="9"/>
      <c r="AJ56" s="9"/>
    </row>
    <row r="57" ht="15.75" hidden="1" customHeight="1">
      <c r="A57" s="11" t="s">
        <v>250</v>
      </c>
      <c r="B57" s="11" t="s">
        <v>263</v>
      </c>
      <c r="C57" s="12" t="s">
        <v>287</v>
      </c>
      <c r="D57" s="13" t="s">
        <v>288</v>
      </c>
      <c r="E57" s="11" t="s">
        <v>96</v>
      </c>
      <c r="F57" s="11"/>
      <c r="G57" s="18" t="s">
        <v>261</v>
      </c>
      <c r="H57" s="11" t="s">
        <v>39</v>
      </c>
      <c r="I57" s="11" t="s">
        <v>27</v>
      </c>
      <c r="J57" s="11"/>
      <c r="K57" s="12"/>
      <c r="L57" s="11"/>
      <c r="M57" s="11"/>
      <c r="N57" s="11"/>
      <c r="O57" s="12"/>
      <c r="P57" s="11"/>
      <c r="Q57" s="11" t="s">
        <v>102</v>
      </c>
      <c r="R57" s="13"/>
      <c r="S57" s="21"/>
      <c r="T57" s="11"/>
      <c r="U57" s="13"/>
      <c r="V57" s="13"/>
      <c r="W57" s="13"/>
      <c r="X57" s="13"/>
      <c r="Y57" s="13"/>
      <c r="Z57" s="13"/>
      <c r="AA57" s="13"/>
      <c r="AB57" s="13"/>
      <c r="AC57" s="13"/>
      <c r="AD57" s="13"/>
      <c r="AE57" s="13"/>
      <c r="AF57" s="13"/>
      <c r="AG57" s="13"/>
      <c r="AH57" s="13"/>
      <c r="AI57" s="13"/>
      <c r="AJ57" s="13"/>
    </row>
    <row r="58" ht="15.75" hidden="1" customHeight="1">
      <c r="A58" s="7" t="s">
        <v>250</v>
      </c>
      <c r="B58" s="7" t="s">
        <v>263</v>
      </c>
      <c r="C58" s="8" t="s">
        <v>289</v>
      </c>
      <c r="D58" s="9" t="s">
        <v>290</v>
      </c>
      <c r="E58" s="7" t="s">
        <v>96</v>
      </c>
      <c r="F58" s="7"/>
      <c r="G58" s="16" t="s">
        <v>291</v>
      </c>
      <c r="H58" s="7"/>
      <c r="I58" s="7" t="s">
        <v>27</v>
      </c>
      <c r="J58" s="7"/>
      <c r="K58" s="8"/>
      <c r="L58" s="7"/>
      <c r="M58" s="7"/>
      <c r="N58" s="7"/>
      <c r="O58" s="8"/>
      <c r="P58" s="7"/>
      <c r="Q58" s="7" t="s">
        <v>102</v>
      </c>
      <c r="R58" s="9"/>
      <c r="S58" s="15"/>
      <c r="T58" s="7"/>
      <c r="U58" s="9"/>
      <c r="V58" s="9"/>
      <c r="W58" s="9"/>
      <c r="X58" s="9"/>
      <c r="Y58" s="9"/>
      <c r="Z58" s="9"/>
      <c r="AA58" s="9"/>
      <c r="AB58" s="9"/>
      <c r="AC58" s="9"/>
      <c r="AD58" s="9"/>
      <c r="AE58" s="9"/>
      <c r="AF58" s="9"/>
      <c r="AG58" s="9"/>
      <c r="AH58" s="9"/>
      <c r="AI58" s="9"/>
      <c r="AJ58" s="9"/>
    </row>
    <row r="59" ht="15.75" hidden="1" customHeight="1">
      <c r="A59" s="11" t="s">
        <v>250</v>
      </c>
      <c r="B59" s="11" t="s">
        <v>280</v>
      </c>
      <c r="C59" s="12" t="s">
        <v>292</v>
      </c>
      <c r="D59" s="13" t="s">
        <v>293</v>
      </c>
      <c r="E59" s="11" t="s">
        <v>96</v>
      </c>
      <c r="F59" s="11"/>
      <c r="G59" s="18" t="s">
        <v>294</v>
      </c>
      <c r="H59" s="11"/>
      <c r="I59" s="11" t="s">
        <v>27</v>
      </c>
      <c r="J59" s="11"/>
      <c r="K59" s="12"/>
      <c r="L59" s="11"/>
      <c r="M59" s="11"/>
      <c r="N59" s="11"/>
      <c r="O59" s="12"/>
      <c r="P59" s="11"/>
      <c r="Q59" s="11" t="s">
        <v>102</v>
      </c>
      <c r="R59" s="13"/>
      <c r="S59" s="21"/>
      <c r="T59" s="11"/>
      <c r="U59" s="13"/>
      <c r="V59" s="13"/>
      <c r="W59" s="13"/>
      <c r="X59" s="13"/>
      <c r="Y59" s="13"/>
      <c r="Z59" s="13"/>
      <c r="AA59" s="13"/>
      <c r="AB59" s="13"/>
      <c r="AC59" s="13"/>
      <c r="AD59" s="13"/>
      <c r="AE59" s="13"/>
      <c r="AF59" s="13"/>
      <c r="AG59" s="13"/>
      <c r="AH59" s="13"/>
      <c r="AI59" s="13"/>
      <c r="AJ59" s="13"/>
    </row>
    <row r="60" ht="15.75" hidden="1" customHeight="1">
      <c r="A60" s="7" t="s">
        <v>250</v>
      </c>
      <c r="B60" s="7" t="s">
        <v>280</v>
      </c>
      <c r="C60" s="8" t="s">
        <v>295</v>
      </c>
      <c r="D60" s="9" t="s">
        <v>296</v>
      </c>
      <c r="E60" s="7" t="s">
        <v>96</v>
      </c>
      <c r="F60" s="7"/>
      <c r="G60" s="16" t="s">
        <v>283</v>
      </c>
      <c r="H60" s="7" t="s">
        <v>39</v>
      </c>
      <c r="I60" s="7" t="s">
        <v>27</v>
      </c>
      <c r="J60" s="7"/>
      <c r="K60" s="8"/>
      <c r="L60" s="7"/>
      <c r="M60" s="7"/>
      <c r="N60" s="7"/>
      <c r="O60" s="8"/>
      <c r="P60" s="7"/>
      <c r="Q60" s="7" t="s">
        <v>102</v>
      </c>
      <c r="R60" s="9"/>
      <c r="S60" s="15"/>
      <c r="T60" s="7"/>
      <c r="U60" s="9"/>
      <c r="V60" s="9"/>
      <c r="W60" s="9"/>
      <c r="X60" s="9"/>
      <c r="Y60" s="9"/>
      <c r="Z60" s="9"/>
      <c r="AA60" s="9"/>
      <c r="AB60" s="9"/>
      <c r="AC60" s="9"/>
      <c r="AD60" s="9"/>
      <c r="AE60" s="9"/>
      <c r="AF60" s="9"/>
      <c r="AG60" s="9"/>
      <c r="AH60" s="9"/>
      <c r="AI60" s="9"/>
      <c r="AJ60" s="9"/>
    </row>
    <row r="61" ht="15.75" hidden="1" customHeight="1">
      <c r="A61" s="11" t="s">
        <v>250</v>
      </c>
      <c r="B61" s="11" t="s">
        <v>251</v>
      </c>
      <c r="C61" s="12" t="s">
        <v>297</v>
      </c>
      <c r="D61" s="13" t="s">
        <v>298</v>
      </c>
      <c r="E61" s="11" t="s">
        <v>96</v>
      </c>
      <c r="F61" s="11"/>
      <c r="G61" s="18" t="s">
        <v>299</v>
      </c>
      <c r="H61" s="11"/>
      <c r="I61" s="11" t="s">
        <v>27</v>
      </c>
      <c r="J61" s="11"/>
      <c r="K61" s="12"/>
      <c r="L61" s="11"/>
      <c r="M61" s="11"/>
      <c r="N61" s="11"/>
      <c r="O61" s="12"/>
      <c r="P61" s="11"/>
      <c r="Q61" s="11" t="s">
        <v>300</v>
      </c>
      <c r="R61" s="13"/>
      <c r="S61" s="21"/>
      <c r="T61" s="11"/>
      <c r="U61" s="13"/>
      <c r="V61" s="13"/>
      <c r="W61" s="13"/>
      <c r="X61" s="13"/>
      <c r="Y61" s="13"/>
      <c r="Z61" s="13"/>
      <c r="AA61" s="13"/>
      <c r="AB61" s="13"/>
      <c r="AC61" s="13"/>
      <c r="AD61" s="13"/>
      <c r="AE61" s="13"/>
      <c r="AF61" s="13"/>
      <c r="AG61" s="13"/>
      <c r="AH61" s="13"/>
      <c r="AI61" s="13"/>
      <c r="AJ61" s="13"/>
    </row>
    <row r="62" ht="15.75" hidden="1" customHeight="1">
      <c r="A62" s="7" t="s">
        <v>250</v>
      </c>
      <c r="B62" s="7" t="s">
        <v>301</v>
      </c>
      <c r="C62" s="8" t="s">
        <v>302</v>
      </c>
      <c r="D62" s="9" t="s">
        <v>303</v>
      </c>
      <c r="E62" s="7" t="s">
        <v>96</v>
      </c>
      <c r="F62" s="7"/>
      <c r="G62" s="16" t="s">
        <v>291</v>
      </c>
      <c r="H62" s="7"/>
      <c r="I62" s="7" t="s">
        <v>27</v>
      </c>
      <c r="J62" s="7"/>
      <c r="K62" s="8"/>
      <c r="L62" s="7"/>
      <c r="M62" s="7"/>
      <c r="N62" s="7"/>
      <c r="O62" s="8"/>
      <c r="P62" s="7"/>
      <c r="Q62" s="7"/>
      <c r="R62" s="9"/>
      <c r="S62" s="15"/>
      <c r="T62" s="7"/>
      <c r="U62" s="9"/>
      <c r="V62" s="9"/>
      <c r="W62" s="9"/>
      <c r="X62" s="9"/>
      <c r="Y62" s="9"/>
      <c r="Z62" s="9"/>
      <c r="AA62" s="9"/>
      <c r="AB62" s="9"/>
      <c r="AC62" s="9"/>
      <c r="AD62" s="9"/>
      <c r="AE62" s="9"/>
      <c r="AF62" s="9"/>
      <c r="AG62" s="9"/>
      <c r="AH62" s="9"/>
      <c r="AI62" s="9"/>
      <c r="AJ62" s="9"/>
    </row>
    <row r="63" ht="15.75" hidden="1" customHeight="1">
      <c r="A63" s="11" t="s">
        <v>250</v>
      </c>
      <c r="B63" s="11" t="s">
        <v>280</v>
      </c>
      <c r="C63" s="12" t="s">
        <v>304</v>
      </c>
      <c r="D63" s="13" t="s">
        <v>305</v>
      </c>
      <c r="E63" s="11" t="s">
        <v>96</v>
      </c>
      <c r="F63" s="11"/>
      <c r="G63" s="18" t="s">
        <v>306</v>
      </c>
      <c r="H63" s="11"/>
      <c r="I63" s="11" t="s">
        <v>27</v>
      </c>
      <c r="J63" s="11"/>
      <c r="K63" s="12"/>
      <c r="L63" s="11"/>
      <c r="M63" s="11"/>
      <c r="N63" s="11"/>
      <c r="O63" s="12"/>
      <c r="P63" s="11"/>
      <c r="Q63" s="11" t="s">
        <v>102</v>
      </c>
      <c r="R63" s="13"/>
      <c r="S63" s="21"/>
      <c r="T63" s="11"/>
      <c r="U63" s="13"/>
      <c r="V63" s="13"/>
      <c r="W63" s="13"/>
      <c r="X63" s="13"/>
      <c r="Y63" s="13"/>
      <c r="Z63" s="13"/>
      <c r="AA63" s="13"/>
      <c r="AB63" s="13"/>
      <c r="AC63" s="13"/>
      <c r="AD63" s="13"/>
      <c r="AE63" s="13"/>
      <c r="AF63" s="13"/>
      <c r="AG63" s="13"/>
      <c r="AH63" s="13"/>
      <c r="AI63" s="13"/>
      <c r="AJ63" s="13"/>
    </row>
    <row r="64" ht="15.75" hidden="1" customHeight="1">
      <c r="A64" s="7" t="s">
        <v>250</v>
      </c>
      <c r="B64" s="7" t="s">
        <v>307</v>
      </c>
      <c r="C64" s="8" t="s">
        <v>308</v>
      </c>
      <c r="D64" s="9" t="s">
        <v>309</v>
      </c>
      <c r="E64" s="7" t="s">
        <v>96</v>
      </c>
      <c r="F64" s="7"/>
      <c r="G64" s="16" t="s">
        <v>299</v>
      </c>
      <c r="H64" s="7"/>
      <c r="I64" s="7" t="s">
        <v>51</v>
      </c>
      <c r="J64" s="7"/>
      <c r="K64" s="8"/>
      <c r="L64" s="7"/>
      <c r="M64" s="7"/>
      <c r="N64" s="7"/>
      <c r="O64" s="8"/>
      <c r="P64" s="7"/>
      <c r="Q64" s="7" t="s">
        <v>310</v>
      </c>
      <c r="R64" s="9"/>
      <c r="S64" s="15"/>
      <c r="T64" s="7"/>
      <c r="U64" s="9"/>
      <c r="V64" s="9"/>
      <c r="W64" s="9"/>
      <c r="X64" s="9"/>
      <c r="Y64" s="9"/>
      <c r="Z64" s="9"/>
      <c r="AA64" s="9"/>
      <c r="AB64" s="9"/>
      <c r="AC64" s="9"/>
      <c r="AD64" s="9"/>
      <c r="AE64" s="9"/>
      <c r="AF64" s="9"/>
      <c r="AG64" s="9"/>
      <c r="AH64" s="9"/>
      <c r="AI64" s="9"/>
      <c r="AJ64" s="9"/>
    </row>
    <row r="65" ht="15.75" hidden="1" customHeight="1">
      <c r="A65" s="11" t="s">
        <v>250</v>
      </c>
      <c r="B65" s="11" t="s">
        <v>263</v>
      </c>
      <c r="C65" s="12" t="s">
        <v>311</v>
      </c>
      <c r="D65" s="13" t="s">
        <v>312</v>
      </c>
      <c r="E65" s="11" t="s">
        <v>96</v>
      </c>
      <c r="F65" s="11"/>
      <c r="G65" s="11"/>
      <c r="H65" s="11" t="s">
        <v>39</v>
      </c>
      <c r="I65" s="11" t="s">
        <v>27</v>
      </c>
      <c r="J65" s="11"/>
      <c r="K65" s="12"/>
      <c r="L65" s="11"/>
      <c r="M65" s="11"/>
      <c r="N65" s="11"/>
      <c r="O65" s="12"/>
      <c r="P65" s="11"/>
      <c r="Q65" s="11" t="s">
        <v>300</v>
      </c>
      <c r="R65" s="13"/>
      <c r="S65" s="13"/>
      <c r="T65" s="11"/>
      <c r="U65" s="13"/>
      <c r="V65" s="13"/>
      <c r="W65" s="13"/>
      <c r="X65" s="13"/>
      <c r="Y65" s="13"/>
      <c r="Z65" s="13"/>
      <c r="AA65" s="13"/>
      <c r="AB65" s="13"/>
      <c r="AC65" s="13"/>
      <c r="AD65" s="13"/>
      <c r="AE65" s="13"/>
      <c r="AF65" s="13"/>
      <c r="AG65" s="13"/>
      <c r="AH65" s="13"/>
      <c r="AI65" s="13"/>
      <c r="AJ65" s="13"/>
    </row>
    <row r="66" ht="15.75" hidden="1" customHeight="1">
      <c r="A66" s="7" t="s">
        <v>250</v>
      </c>
      <c r="B66" s="7" t="s">
        <v>263</v>
      </c>
      <c r="C66" s="8" t="s">
        <v>313</v>
      </c>
      <c r="D66" s="9" t="s">
        <v>314</v>
      </c>
      <c r="E66" s="7" t="s">
        <v>49</v>
      </c>
      <c r="F66" s="28" t="s">
        <v>315</v>
      </c>
      <c r="G66" s="29" t="s">
        <v>316</v>
      </c>
      <c r="H66" s="7" t="s">
        <v>39</v>
      </c>
      <c r="I66" s="7" t="s">
        <v>151</v>
      </c>
      <c r="J66" s="7" t="s">
        <v>317</v>
      </c>
      <c r="K66" s="8"/>
      <c r="L66" s="7"/>
      <c r="M66" s="7"/>
      <c r="N66" s="7"/>
      <c r="O66" s="8"/>
      <c r="P66" s="7" t="s">
        <v>318</v>
      </c>
      <c r="Q66" s="28" t="s">
        <v>315</v>
      </c>
      <c r="R66" s="9"/>
      <c r="S66" s="15"/>
      <c r="T66" s="7"/>
      <c r="U66" s="9"/>
      <c r="V66" s="9"/>
      <c r="W66" s="9"/>
      <c r="X66" s="9"/>
      <c r="Y66" s="9"/>
      <c r="Z66" s="9"/>
      <c r="AA66" s="9"/>
      <c r="AB66" s="9"/>
      <c r="AC66" s="9"/>
      <c r="AD66" s="9"/>
      <c r="AE66" s="9"/>
      <c r="AF66" s="9"/>
      <c r="AG66" s="9"/>
      <c r="AH66" s="9"/>
      <c r="AI66" s="9"/>
      <c r="AJ66" s="9"/>
    </row>
    <row r="67" ht="15.75" hidden="1" customHeight="1">
      <c r="A67" s="11" t="s">
        <v>250</v>
      </c>
      <c r="B67" s="11" t="s">
        <v>250</v>
      </c>
      <c r="C67" s="12" t="s">
        <v>319</v>
      </c>
      <c r="D67" s="13" t="s">
        <v>320</v>
      </c>
      <c r="E67" s="11" t="s">
        <v>49</v>
      </c>
      <c r="F67" s="30" t="s">
        <v>321</v>
      </c>
      <c r="G67" s="18" t="s">
        <v>322</v>
      </c>
      <c r="H67" s="11" t="s">
        <v>39</v>
      </c>
      <c r="I67" s="11" t="s">
        <v>151</v>
      </c>
      <c r="J67" s="11"/>
      <c r="K67" s="12"/>
      <c r="L67" s="11"/>
      <c r="M67" s="11"/>
      <c r="N67" s="11"/>
      <c r="O67" s="12"/>
      <c r="P67" s="11"/>
      <c r="Q67" s="11" t="s">
        <v>323</v>
      </c>
      <c r="R67" s="13"/>
      <c r="S67" s="21"/>
      <c r="T67" s="11"/>
      <c r="U67" s="13"/>
      <c r="V67" s="13"/>
      <c r="W67" s="13"/>
      <c r="X67" s="13"/>
      <c r="Y67" s="13"/>
      <c r="Z67" s="13"/>
      <c r="AA67" s="13"/>
      <c r="AB67" s="13"/>
      <c r="AC67" s="13"/>
      <c r="AD67" s="13"/>
      <c r="AE67" s="13"/>
      <c r="AF67" s="13"/>
      <c r="AG67" s="13"/>
      <c r="AH67" s="13"/>
      <c r="AI67" s="13"/>
      <c r="AJ67" s="13"/>
    </row>
    <row r="68" ht="15.75" hidden="1" customHeight="1">
      <c r="A68" s="7" t="s">
        <v>250</v>
      </c>
      <c r="B68" s="7" t="s">
        <v>324</v>
      </c>
      <c r="C68" s="8" t="s">
        <v>325</v>
      </c>
      <c r="D68" s="9" t="s">
        <v>326</v>
      </c>
      <c r="E68" s="7" t="s">
        <v>49</v>
      </c>
      <c r="F68" s="7"/>
      <c r="G68" s="10" t="s">
        <v>327</v>
      </c>
      <c r="H68" s="7"/>
      <c r="I68" s="7" t="s">
        <v>151</v>
      </c>
      <c r="J68" s="7"/>
      <c r="K68" s="8"/>
      <c r="L68" s="7"/>
      <c r="M68" s="7"/>
      <c r="N68" s="7"/>
      <c r="O68" s="8"/>
      <c r="P68" s="7"/>
      <c r="Q68" s="7" t="s">
        <v>328</v>
      </c>
      <c r="R68" s="9"/>
      <c r="S68" s="15"/>
      <c r="T68" s="7"/>
      <c r="U68" s="9"/>
      <c r="V68" s="9"/>
      <c r="W68" s="9"/>
      <c r="X68" s="9"/>
      <c r="Y68" s="9"/>
      <c r="Z68" s="9"/>
      <c r="AA68" s="9"/>
      <c r="AB68" s="9"/>
      <c r="AC68" s="9"/>
      <c r="AD68" s="9"/>
      <c r="AE68" s="9"/>
      <c r="AF68" s="9"/>
      <c r="AG68" s="9"/>
      <c r="AH68" s="9"/>
      <c r="AI68" s="9"/>
      <c r="AJ68" s="9"/>
    </row>
    <row r="69" ht="15.75" hidden="1" customHeight="1">
      <c r="A69" s="11" t="s">
        <v>329</v>
      </c>
      <c r="B69" s="11"/>
      <c r="C69" s="12" t="s">
        <v>330</v>
      </c>
      <c r="D69" s="12" t="s">
        <v>331</v>
      </c>
      <c r="E69" s="11" t="s">
        <v>25</v>
      </c>
      <c r="F69" s="11"/>
      <c r="G69" s="11" t="s">
        <v>332</v>
      </c>
      <c r="H69" s="13" t="s">
        <v>51</v>
      </c>
      <c r="I69" s="11"/>
      <c r="J69" s="11" t="s">
        <v>333</v>
      </c>
      <c r="K69" s="12" t="s">
        <v>334</v>
      </c>
      <c r="L69" s="11"/>
      <c r="M69" s="11"/>
      <c r="N69" s="11" t="s">
        <v>335</v>
      </c>
      <c r="O69" s="12"/>
      <c r="P69" s="11"/>
      <c r="Q69" s="11"/>
      <c r="R69" s="13"/>
      <c r="S69" s="19"/>
      <c r="T69" s="31">
        <v>45999.0</v>
      </c>
      <c r="U69" s="13"/>
      <c r="V69" s="13"/>
      <c r="W69" s="13"/>
      <c r="X69" s="13"/>
      <c r="Y69" s="13"/>
      <c r="Z69" s="13"/>
      <c r="AA69" s="13"/>
      <c r="AB69" s="13"/>
      <c r="AC69" s="13"/>
      <c r="AD69" s="13"/>
      <c r="AE69" s="13"/>
      <c r="AF69" s="13"/>
      <c r="AG69" s="13"/>
      <c r="AH69" s="13"/>
      <c r="AI69" s="13"/>
      <c r="AJ69" s="11"/>
    </row>
    <row r="70" ht="15.75" hidden="1" customHeight="1">
      <c r="A70" s="7" t="s">
        <v>329</v>
      </c>
      <c r="B70" s="7"/>
      <c r="C70" s="8" t="s">
        <v>336</v>
      </c>
      <c r="D70" s="8" t="s">
        <v>337</v>
      </c>
      <c r="E70" s="7" t="s">
        <v>25</v>
      </c>
      <c r="F70" s="7"/>
      <c r="G70" s="7" t="s">
        <v>338</v>
      </c>
      <c r="H70" s="9" t="s">
        <v>51</v>
      </c>
      <c r="I70" s="7"/>
      <c r="J70" s="7" t="s">
        <v>333</v>
      </c>
      <c r="K70" s="8" t="s">
        <v>339</v>
      </c>
      <c r="L70" s="7"/>
      <c r="M70" s="7"/>
      <c r="N70" s="7" t="s">
        <v>335</v>
      </c>
      <c r="O70" s="8"/>
      <c r="P70" s="7"/>
      <c r="Q70" s="7"/>
      <c r="R70" s="9"/>
      <c r="S70" s="17"/>
      <c r="T70" s="32">
        <v>45999.0</v>
      </c>
      <c r="U70" s="9"/>
      <c r="V70" s="9"/>
      <c r="W70" s="9"/>
      <c r="X70" s="9"/>
      <c r="Y70" s="9"/>
      <c r="Z70" s="9"/>
      <c r="AA70" s="9"/>
      <c r="AB70" s="9"/>
      <c r="AC70" s="9"/>
      <c r="AD70" s="9"/>
      <c r="AE70" s="9"/>
      <c r="AF70" s="9"/>
      <c r="AG70" s="9"/>
      <c r="AH70" s="9"/>
      <c r="AI70" s="9"/>
      <c r="AJ70" s="9"/>
    </row>
    <row r="71" ht="15.75" hidden="1" customHeight="1">
      <c r="A71" s="11" t="s">
        <v>329</v>
      </c>
      <c r="B71" s="11"/>
      <c r="C71" s="12" t="s">
        <v>340</v>
      </c>
      <c r="D71" s="12" t="s">
        <v>341</v>
      </c>
      <c r="E71" s="11" t="s">
        <v>25</v>
      </c>
      <c r="F71" s="11"/>
      <c r="G71" s="11" t="s">
        <v>342</v>
      </c>
      <c r="H71" s="13" t="s">
        <v>39</v>
      </c>
      <c r="I71" s="11"/>
      <c r="J71" s="11" t="s">
        <v>329</v>
      </c>
      <c r="K71" s="12" t="s">
        <v>343</v>
      </c>
      <c r="L71" s="11"/>
      <c r="M71" s="11"/>
      <c r="N71" s="11" t="s">
        <v>335</v>
      </c>
      <c r="O71" s="12" t="s">
        <v>344</v>
      </c>
      <c r="P71" s="11" t="s">
        <v>345</v>
      </c>
      <c r="Q71" s="11"/>
      <c r="R71" s="13"/>
      <c r="S71" s="19"/>
      <c r="T71" s="31">
        <v>45999.0</v>
      </c>
      <c r="U71" s="13"/>
      <c r="V71" s="13"/>
      <c r="W71" s="13"/>
      <c r="X71" s="13"/>
      <c r="Y71" s="13"/>
      <c r="Z71" s="13"/>
      <c r="AA71" s="13"/>
      <c r="AB71" s="13"/>
      <c r="AC71" s="13"/>
      <c r="AD71" s="13"/>
      <c r="AE71" s="13"/>
      <c r="AF71" s="13"/>
      <c r="AG71" s="13"/>
      <c r="AH71" s="13"/>
      <c r="AI71" s="13"/>
      <c r="AJ71" s="13"/>
    </row>
    <row r="72" ht="15.75" hidden="1" customHeight="1">
      <c r="A72" s="7" t="s">
        <v>329</v>
      </c>
      <c r="B72" s="7"/>
      <c r="C72" s="8" t="s">
        <v>346</v>
      </c>
      <c r="D72" s="8" t="s">
        <v>347</v>
      </c>
      <c r="E72" s="7" t="s">
        <v>25</v>
      </c>
      <c r="F72" s="7"/>
      <c r="G72" s="7" t="s">
        <v>338</v>
      </c>
      <c r="H72" s="9" t="s">
        <v>59</v>
      </c>
      <c r="I72" s="7"/>
      <c r="J72" s="7" t="s">
        <v>329</v>
      </c>
      <c r="K72" s="8" t="s">
        <v>348</v>
      </c>
      <c r="L72" s="7"/>
      <c r="M72" s="7"/>
      <c r="N72" s="7"/>
      <c r="O72" s="8"/>
      <c r="P72" s="7"/>
      <c r="Q72" s="7" t="s">
        <v>349</v>
      </c>
      <c r="R72" s="9"/>
      <c r="S72" s="17"/>
      <c r="T72" s="32">
        <v>45999.0</v>
      </c>
      <c r="U72" s="9"/>
      <c r="V72" s="9"/>
      <c r="W72" s="9"/>
      <c r="X72" s="9"/>
      <c r="Y72" s="9"/>
      <c r="Z72" s="9"/>
      <c r="AA72" s="9"/>
      <c r="AB72" s="9"/>
      <c r="AC72" s="9"/>
      <c r="AD72" s="9"/>
      <c r="AE72" s="9"/>
      <c r="AF72" s="9"/>
      <c r="AG72" s="9"/>
      <c r="AH72" s="9"/>
      <c r="AI72" s="9"/>
      <c r="AJ72" s="9"/>
    </row>
    <row r="73" ht="15.75" hidden="1" customHeight="1">
      <c r="A73" s="11" t="s">
        <v>329</v>
      </c>
      <c r="B73" s="11"/>
      <c r="C73" s="12" t="s">
        <v>350</v>
      </c>
      <c r="D73" s="12" t="s">
        <v>351</v>
      </c>
      <c r="E73" s="11" t="s">
        <v>25</v>
      </c>
      <c r="F73" s="11"/>
      <c r="G73" s="11" t="s">
        <v>352</v>
      </c>
      <c r="H73" s="13" t="s">
        <v>39</v>
      </c>
      <c r="I73" s="11"/>
      <c r="J73" s="11" t="s">
        <v>329</v>
      </c>
      <c r="K73" s="12" t="s">
        <v>334</v>
      </c>
      <c r="L73" s="30" t="s">
        <v>353</v>
      </c>
      <c r="M73" s="12"/>
      <c r="N73" s="11"/>
      <c r="O73" s="12"/>
      <c r="P73" s="11" t="s">
        <v>323</v>
      </c>
      <c r="Q73" s="11"/>
      <c r="R73" s="13"/>
      <c r="S73" s="19"/>
      <c r="T73" s="31">
        <v>45999.0</v>
      </c>
      <c r="U73" s="13"/>
      <c r="V73" s="13"/>
      <c r="W73" s="13"/>
      <c r="X73" s="13"/>
      <c r="Y73" s="13"/>
      <c r="Z73" s="13"/>
      <c r="AA73" s="13"/>
      <c r="AB73" s="13"/>
      <c r="AC73" s="13"/>
      <c r="AD73" s="13"/>
      <c r="AE73" s="13"/>
      <c r="AF73" s="13"/>
      <c r="AG73" s="13"/>
      <c r="AH73" s="13"/>
      <c r="AI73" s="13"/>
      <c r="AJ73" s="11"/>
    </row>
    <row r="74" ht="15.75" hidden="1" customHeight="1">
      <c r="A74" s="7" t="s">
        <v>329</v>
      </c>
      <c r="B74" s="7" t="s">
        <v>354</v>
      </c>
      <c r="C74" s="8" t="s">
        <v>355</v>
      </c>
      <c r="D74" s="9" t="s">
        <v>356</v>
      </c>
      <c r="E74" s="7" t="s">
        <v>25</v>
      </c>
      <c r="F74" s="7"/>
      <c r="G74" s="7" t="s">
        <v>357</v>
      </c>
      <c r="H74" s="9"/>
      <c r="I74" s="7"/>
      <c r="J74" s="7"/>
      <c r="K74" s="8"/>
      <c r="L74" s="7"/>
      <c r="M74" s="7" t="s">
        <v>25</v>
      </c>
      <c r="N74" s="7"/>
      <c r="O74" s="8"/>
      <c r="P74" s="7"/>
      <c r="Q74" s="7"/>
      <c r="R74" s="9"/>
      <c r="S74" s="17"/>
      <c r="T74" s="9"/>
      <c r="U74" s="9"/>
      <c r="V74" s="9"/>
      <c r="W74" s="9"/>
      <c r="X74" s="9"/>
      <c r="Y74" s="9"/>
      <c r="Z74" s="9"/>
      <c r="AA74" s="9"/>
      <c r="AB74" s="9"/>
      <c r="AC74" s="9"/>
      <c r="AD74" s="9"/>
      <c r="AE74" s="9"/>
      <c r="AF74" s="9"/>
      <c r="AG74" s="9"/>
      <c r="AH74" s="9"/>
      <c r="AI74" s="9"/>
      <c r="AJ74" s="9"/>
    </row>
    <row r="75" ht="15.75" hidden="1" customHeight="1">
      <c r="A75" s="11" t="s">
        <v>329</v>
      </c>
      <c r="B75" s="11"/>
      <c r="C75" s="12" t="s">
        <v>358</v>
      </c>
      <c r="D75" s="12" t="s">
        <v>359</v>
      </c>
      <c r="E75" s="11" t="s">
        <v>96</v>
      </c>
      <c r="F75" s="11"/>
      <c r="G75" s="11" t="s">
        <v>360</v>
      </c>
      <c r="H75" s="13" t="s">
        <v>59</v>
      </c>
      <c r="I75" s="11"/>
      <c r="J75" s="11" t="s">
        <v>361</v>
      </c>
      <c r="K75" s="12" t="s">
        <v>343</v>
      </c>
      <c r="L75" s="11"/>
      <c r="M75" s="11"/>
      <c r="N75" s="11"/>
      <c r="O75" s="12"/>
      <c r="P75" s="11" t="s">
        <v>323</v>
      </c>
      <c r="Q75" s="11"/>
      <c r="R75" s="13"/>
      <c r="S75" s="19"/>
      <c r="T75" s="31">
        <v>45999.0</v>
      </c>
      <c r="U75" s="13"/>
      <c r="V75" s="13"/>
      <c r="W75" s="13"/>
      <c r="X75" s="13"/>
      <c r="Y75" s="13"/>
      <c r="Z75" s="13"/>
      <c r="AA75" s="13"/>
      <c r="AB75" s="13"/>
      <c r="AC75" s="13"/>
      <c r="AD75" s="13"/>
      <c r="AE75" s="13"/>
      <c r="AF75" s="13"/>
      <c r="AG75" s="13"/>
      <c r="AH75" s="13"/>
      <c r="AI75" s="13"/>
      <c r="AJ75" s="11"/>
    </row>
    <row r="76" ht="15.75" hidden="1" customHeight="1">
      <c r="A76" s="7" t="s">
        <v>329</v>
      </c>
      <c r="B76" s="7"/>
      <c r="C76" s="8" t="s">
        <v>362</v>
      </c>
      <c r="D76" s="8" t="s">
        <v>363</v>
      </c>
      <c r="E76" s="7" t="s">
        <v>96</v>
      </c>
      <c r="F76" s="7"/>
      <c r="G76" s="7" t="s">
        <v>364</v>
      </c>
      <c r="H76" s="9" t="s">
        <v>59</v>
      </c>
      <c r="I76" s="7"/>
      <c r="J76" s="7" t="s">
        <v>361</v>
      </c>
      <c r="K76" s="8" t="s">
        <v>334</v>
      </c>
      <c r="L76" s="7"/>
      <c r="M76" s="7"/>
      <c r="N76" s="7"/>
      <c r="O76" s="8"/>
      <c r="P76" s="7"/>
      <c r="Q76" s="7"/>
      <c r="R76" s="9"/>
      <c r="S76" s="17"/>
      <c r="T76" s="32">
        <v>45999.0</v>
      </c>
      <c r="U76" s="9"/>
      <c r="V76" s="9"/>
      <c r="W76" s="9"/>
      <c r="X76" s="9"/>
      <c r="Y76" s="9"/>
      <c r="Z76" s="9"/>
      <c r="AA76" s="9"/>
      <c r="AB76" s="9"/>
      <c r="AC76" s="9"/>
      <c r="AD76" s="9"/>
      <c r="AE76" s="9"/>
      <c r="AF76" s="9"/>
      <c r="AG76" s="9"/>
      <c r="AH76" s="9"/>
      <c r="AI76" s="9"/>
      <c r="AJ76" s="7"/>
    </row>
    <row r="77" ht="15.75" hidden="1" customHeight="1">
      <c r="A77" s="11" t="s">
        <v>329</v>
      </c>
      <c r="B77" s="11"/>
      <c r="C77" s="12" t="s">
        <v>365</v>
      </c>
      <c r="D77" s="12" t="s">
        <v>366</v>
      </c>
      <c r="E77" s="11" t="s">
        <v>96</v>
      </c>
      <c r="F77" s="11"/>
      <c r="G77" s="11" t="s">
        <v>367</v>
      </c>
      <c r="H77" s="13" t="s">
        <v>59</v>
      </c>
      <c r="I77" s="11"/>
      <c r="J77" s="11" t="s">
        <v>333</v>
      </c>
      <c r="K77" s="12"/>
      <c r="L77" s="11"/>
      <c r="M77" s="11"/>
      <c r="N77" s="11"/>
      <c r="O77" s="12"/>
      <c r="P77" s="11"/>
      <c r="Q77" s="11"/>
      <c r="R77" s="13"/>
      <c r="S77" s="19"/>
      <c r="T77" s="31">
        <v>45999.0</v>
      </c>
      <c r="U77" s="13"/>
      <c r="V77" s="13"/>
      <c r="W77" s="13"/>
      <c r="X77" s="13"/>
      <c r="Y77" s="13"/>
      <c r="Z77" s="13"/>
      <c r="AA77" s="13"/>
      <c r="AB77" s="13"/>
      <c r="AC77" s="13"/>
      <c r="AD77" s="13"/>
      <c r="AE77" s="13"/>
      <c r="AF77" s="13"/>
      <c r="AG77" s="13"/>
      <c r="AH77" s="13"/>
      <c r="AI77" s="13"/>
      <c r="AJ77" s="13"/>
    </row>
    <row r="78" ht="15.75" hidden="1" customHeight="1">
      <c r="A78" s="7" t="s">
        <v>368</v>
      </c>
      <c r="B78" s="7" t="s">
        <v>369</v>
      </c>
      <c r="C78" s="9" t="s">
        <v>370</v>
      </c>
      <c r="D78" s="8" t="s">
        <v>371</v>
      </c>
      <c r="E78" s="7" t="s">
        <v>96</v>
      </c>
      <c r="F78" s="7"/>
      <c r="G78" s="7" t="s">
        <v>372</v>
      </c>
      <c r="H78" s="9"/>
      <c r="I78" s="7" t="s">
        <v>151</v>
      </c>
      <c r="J78" s="7" t="s">
        <v>373</v>
      </c>
      <c r="K78" s="33"/>
      <c r="L78" s="8" t="s">
        <v>374</v>
      </c>
      <c r="M78" s="8"/>
      <c r="N78" s="7"/>
      <c r="O78" s="8"/>
      <c r="P78" s="7"/>
      <c r="Q78" s="7"/>
      <c r="R78" s="9"/>
      <c r="S78" s="17"/>
      <c r="T78" s="32"/>
      <c r="U78" s="9"/>
      <c r="V78" s="9"/>
      <c r="W78" s="9"/>
      <c r="X78" s="9"/>
      <c r="Y78" s="9"/>
      <c r="Z78" s="9"/>
      <c r="AA78" s="9"/>
      <c r="AB78" s="9"/>
      <c r="AC78" s="9"/>
      <c r="AD78" s="9"/>
      <c r="AE78" s="9"/>
      <c r="AF78" s="9"/>
      <c r="AG78" s="9"/>
      <c r="AH78" s="9"/>
      <c r="AI78" s="9"/>
      <c r="AJ78" s="7"/>
    </row>
    <row r="79" ht="15.75" hidden="1" customHeight="1">
      <c r="A79" s="11" t="s">
        <v>329</v>
      </c>
      <c r="B79" s="11"/>
      <c r="C79" s="13" t="s">
        <v>375</v>
      </c>
      <c r="D79" s="12" t="s">
        <v>376</v>
      </c>
      <c r="E79" s="11" t="s">
        <v>96</v>
      </c>
      <c r="F79" s="11"/>
      <c r="G79" s="11" t="s">
        <v>377</v>
      </c>
      <c r="H79" s="13" t="s">
        <v>59</v>
      </c>
      <c r="I79" s="11"/>
      <c r="J79" s="11" t="s">
        <v>329</v>
      </c>
      <c r="K79" s="34"/>
      <c r="L79" s="11"/>
      <c r="M79" s="12"/>
      <c r="N79" s="11"/>
      <c r="O79" s="12"/>
      <c r="P79" s="11" t="s">
        <v>323</v>
      </c>
      <c r="Q79" s="11"/>
      <c r="R79" s="13"/>
      <c r="S79" s="19"/>
      <c r="T79" s="31">
        <v>45999.0</v>
      </c>
      <c r="U79" s="13"/>
      <c r="V79" s="13"/>
      <c r="W79" s="13"/>
      <c r="X79" s="13"/>
      <c r="Y79" s="13"/>
      <c r="Z79" s="13"/>
      <c r="AA79" s="13"/>
      <c r="AB79" s="13"/>
      <c r="AC79" s="13"/>
      <c r="AD79" s="13"/>
      <c r="AE79" s="13"/>
      <c r="AF79" s="13"/>
      <c r="AG79" s="13"/>
      <c r="AH79" s="13"/>
      <c r="AI79" s="13"/>
      <c r="AJ79" s="11"/>
    </row>
    <row r="80" ht="15.75" hidden="1" customHeight="1">
      <c r="A80" s="7" t="s">
        <v>329</v>
      </c>
      <c r="B80" s="7"/>
      <c r="C80" s="8" t="s">
        <v>378</v>
      </c>
      <c r="D80" s="8" t="s">
        <v>379</v>
      </c>
      <c r="E80" s="7" t="s">
        <v>96</v>
      </c>
      <c r="F80" s="7"/>
      <c r="G80" s="7" t="s">
        <v>380</v>
      </c>
      <c r="H80" s="9" t="s">
        <v>59</v>
      </c>
      <c r="I80" s="7"/>
      <c r="J80" s="7" t="s">
        <v>381</v>
      </c>
      <c r="K80" s="8"/>
      <c r="L80" s="7"/>
      <c r="M80" s="7"/>
      <c r="N80" s="7"/>
      <c r="O80" s="8"/>
      <c r="P80" s="7"/>
      <c r="Q80" s="7"/>
      <c r="R80" s="9"/>
      <c r="S80" s="17"/>
      <c r="T80" s="32">
        <v>45999.0</v>
      </c>
      <c r="U80" s="9"/>
      <c r="V80" s="9"/>
      <c r="W80" s="9"/>
      <c r="X80" s="9"/>
      <c r="Y80" s="9"/>
      <c r="Z80" s="9"/>
      <c r="AA80" s="9"/>
      <c r="AB80" s="9"/>
      <c r="AC80" s="9"/>
      <c r="AD80" s="9"/>
      <c r="AE80" s="9"/>
      <c r="AF80" s="9"/>
      <c r="AG80" s="9"/>
      <c r="AH80" s="9"/>
      <c r="AI80" s="9"/>
      <c r="AJ80" s="9"/>
    </row>
    <row r="81" ht="15.75" hidden="1" customHeight="1">
      <c r="A81" s="11" t="s">
        <v>329</v>
      </c>
      <c r="B81" s="11"/>
      <c r="C81" s="12" t="s">
        <v>382</v>
      </c>
      <c r="D81" s="12" t="s">
        <v>383</v>
      </c>
      <c r="E81" s="11" t="s">
        <v>96</v>
      </c>
      <c r="F81" s="11"/>
      <c r="G81" s="11" t="s">
        <v>360</v>
      </c>
      <c r="H81" s="13" t="s">
        <v>59</v>
      </c>
      <c r="I81" s="11"/>
      <c r="J81" s="11" t="s">
        <v>361</v>
      </c>
      <c r="K81" s="12"/>
      <c r="L81" s="11"/>
      <c r="M81" s="11"/>
      <c r="N81" s="11"/>
      <c r="O81" s="12"/>
      <c r="P81" s="11"/>
      <c r="Q81" s="11"/>
      <c r="R81" s="13"/>
      <c r="S81" s="19"/>
      <c r="T81" s="31">
        <v>45999.0</v>
      </c>
      <c r="U81" s="13"/>
      <c r="V81" s="13"/>
      <c r="W81" s="13"/>
      <c r="X81" s="13"/>
      <c r="Y81" s="13"/>
      <c r="Z81" s="13"/>
      <c r="AA81" s="13"/>
      <c r="AB81" s="13"/>
      <c r="AC81" s="13"/>
      <c r="AD81" s="13"/>
      <c r="AE81" s="13"/>
      <c r="AF81" s="13"/>
      <c r="AG81" s="13"/>
      <c r="AH81" s="13"/>
      <c r="AI81" s="13"/>
      <c r="AJ81" s="11"/>
    </row>
    <row r="82" ht="15.75" hidden="1" customHeight="1">
      <c r="A82" s="7" t="s">
        <v>329</v>
      </c>
      <c r="B82" s="7"/>
      <c r="C82" s="8" t="s">
        <v>384</v>
      </c>
      <c r="D82" s="8" t="s">
        <v>385</v>
      </c>
      <c r="E82" s="7" t="s">
        <v>96</v>
      </c>
      <c r="F82" s="7"/>
      <c r="G82" s="7" t="s">
        <v>386</v>
      </c>
      <c r="H82" s="9" t="s">
        <v>59</v>
      </c>
      <c r="I82" s="7"/>
      <c r="J82" s="7" t="s">
        <v>333</v>
      </c>
      <c r="K82" s="8" t="s">
        <v>334</v>
      </c>
      <c r="L82" s="7"/>
      <c r="M82" s="7"/>
      <c r="N82" s="7"/>
      <c r="O82" s="8"/>
      <c r="P82" s="7"/>
      <c r="Q82" s="7"/>
      <c r="R82" s="9"/>
      <c r="S82" s="17"/>
      <c r="T82" s="32">
        <v>45999.0</v>
      </c>
      <c r="U82" s="9"/>
      <c r="V82" s="9"/>
      <c r="W82" s="9"/>
      <c r="X82" s="9"/>
      <c r="Y82" s="9"/>
      <c r="Z82" s="9"/>
      <c r="AA82" s="9"/>
      <c r="AB82" s="9"/>
      <c r="AC82" s="9"/>
      <c r="AD82" s="9"/>
      <c r="AE82" s="9"/>
      <c r="AF82" s="9"/>
      <c r="AG82" s="9"/>
      <c r="AH82" s="9"/>
      <c r="AI82" s="9"/>
      <c r="AJ82" s="9"/>
    </row>
    <row r="83" ht="15.75" hidden="1" customHeight="1">
      <c r="A83" s="11" t="s">
        <v>329</v>
      </c>
      <c r="B83" s="11"/>
      <c r="C83" s="12" t="s">
        <v>387</v>
      </c>
      <c r="D83" s="12" t="s">
        <v>388</v>
      </c>
      <c r="E83" s="11" t="s">
        <v>49</v>
      </c>
      <c r="F83" s="30" t="s">
        <v>389</v>
      </c>
      <c r="G83" s="11" t="s">
        <v>390</v>
      </c>
      <c r="H83" s="13" t="s">
        <v>39</v>
      </c>
      <c r="I83" s="11"/>
      <c r="J83" s="11" t="s">
        <v>329</v>
      </c>
      <c r="K83" s="12"/>
      <c r="L83" s="11" t="s">
        <v>391</v>
      </c>
      <c r="M83" s="11"/>
      <c r="N83" s="11"/>
      <c r="O83" s="12"/>
      <c r="P83" s="11" t="s">
        <v>323</v>
      </c>
      <c r="Q83" s="11"/>
      <c r="R83" s="13"/>
      <c r="S83" s="19"/>
      <c r="T83" s="31">
        <v>45999.0</v>
      </c>
      <c r="U83" s="13"/>
      <c r="V83" s="13"/>
      <c r="W83" s="13"/>
      <c r="X83" s="13"/>
      <c r="Y83" s="13"/>
      <c r="Z83" s="13"/>
      <c r="AA83" s="13"/>
      <c r="AB83" s="13"/>
      <c r="AC83" s="13"/>
      <c r="AD83" s="13"/>
      <c r="AE83" s="13"/>
      <c r="AF83" s="13"/>
      <c r="AG83" s="13"/>
      <c r="AH83" s="13"/>
      <c r="AI83" s="13"/>
      <c r="AJ83" s="11"/>
    </row>
    <row r="84" ht="15.75" hidden="1" customHeight="1">
      <c r="A84" s="7" t="s">
        <v>329</v>
      </c>
      <c r="B84" s="7"/>
      <c r="C84" s="8" t="s">
        <v>392</v>
      </c>
      <c r="D84" s="8" t="s">
        <v>393</v>
      </c>
      <c r="E84" s="7" t="s">
        <v>49</v>
      </c>
      <c r="F84" s="28" t="s">
        <v>394</v>
      </c>
      <c r="G84" s="7" t="s">
        <v>395</v>
      </c>
      <c r="H84" s="9" t="s">
        <v>39</v>
      </c>
      <c r="I84" s="7"/>
      <c r="J84" s="7" t="s">
        <v>396</v>
      </c>
      <c r="K84" s="8" t="s">
        <v>334</v>
      </c>
      <c r="L84" s="7" t="s">
        <v>397</v>
      </c>
      <c r="M84" s="7"/>
      <c r="N84" s="7"/>
      <c r="O84" s="8"/>
      <c r="P84" s="7" t="s">
        <v>323</v>
      </c>
      <c r="Q84" s="7"/>
      <c r="R84" s="9"/>
      <c r="S84" s="17"/>
      <c r="T84" s="32">
        <v>45999.0</v>
      </c>
      <c r="U84" s="9"/>
      <c r="V84" s="9"/>
      <c r="W84" s="9"/>
      <c r="X84" s="9"/>
      <c r="Y84" s="9"/>
      <c r="Z84" s="9"/>
      <c r="AA84" s="9"/>
      <c r="AB84" s="9"/>
      <c r="AC84" s="9"/>
      <c r="AD84" s="9"/>
      <c r="AE84" s="9"/>
      <c r="AF84" s="9"/>
      <c r="AG84" s="9"/>
      <c r="AH84" s="9"/>
      <c r="AI84" s="9"/>
      <c r="AJ84" s="9"/>
    </row>
    <row r="85" ht="15.75" hidden="1" customHeight="1">
      <c r="A85" s="11" t="s">
        <v>398</v>
      </c>
      <c r="B85" s="11" t="s">
        <v>399</v>
      </c>
      <c r="C85" s="12" t="s">
        <v>400</v>
      </c>
      <c r="D85" s="12" t="s">
        <v>401</v>
      </c>
      <c r="E85" s="11" t="s">
        <v>25</v>
      </c>
      <c r="F85" s="30" t="s">
        <v>402</v>
      </c>
      <c r="G85" s="18" t="s">
        <v>403</v>
      </c>
      <c r="H85" s="11" t="s">
        <v>51</v>
      </c>
      <c r="I85" s="11" t="s">
        <v>51</v>
      </c>
      <c r="J85" s="11" t="s">
        <v>28</v>
      </c>
      <c r="K85" s="12" t="s">
        <v>404</v>
      </c>
      <c r="L85" s="11"/>
      <c r="M85" s="11"/>
      <c r="N85" s="11"/>
      <c r="O85" s="35"/>
      <c r="P85" s="11"/>
      <c r="Q85" s="11"/>
      <c r="R85" s="11"/>
      <c r="S85" s="13"/>
      <c r="T85" s="11"/>
      <c r="U85" s="13"/>
      <c r="V85" s="13"/>
      <c r="W85" s="13"/>
      <c r="X85" s="13"/>
      <c r="Y85" s="13"/>
      <c r="Z85" s="13"/>
      <c r="AA85" s="13"/>
      <c r="AB85" s="13"/>
      <c r="AC85" s="13"/>
      <c r="AD85" s="13"/>
      <c r="AE85" s="13"/>
      <c r="AF85" s="13"/>
      <c r="AG85" s="13"/>
      <c r="AH85" s="13"/>
      <c r="AI85" s="13"/>
      <c r="AJ85" s="19"/>
    </row>
    <row r="86" ht="15.75" hidden="1" customHeight="1">
      <c r="A86" s="7" t="s">
        <v>398</v>
      </c>
      <c r="B86" s="7" t="s">
        <v>399</v>
      </c>
      <c r="C86" s="8" t="s">
        <v>405</v>
      </c>
      <c r="D86" s="8" t="s">
        <v>406</v>
      </c>
      <c r="E86" s="7" t="s">
        <v>25</v>
      </c>
      <c r="F86" s="7"/>
      <c r="G86" s="7" t="s">
        <v>407</v>
      </c>
      <c r="H86" s="7"/>
      <c r="I86" s="7"/>
      <c r="J86" s="7" t="s">
        <v>408</v>
      </c>
      <c r="K86" s="8" t="s">
        <v>409</v>
      </c>
      <c r="L86" s="7" t="s">
        <v>410</v>
      </c>
      <c r="M86" s="7" t="s">
        <v>411</v>
      </c>
      <c r="N86" s="7"/>
      <c r="O86" s="36" t="s">
        <v>412</v>
      </c>
      <c r="P86" s="7" t="s">
        <v>323</v>
      </c>
      <c r="Q86" s="7" t="s">
        <v>328</v>
      </c>
      <c r="R86" s="7"/>
      <c r="S86" s="9"/>
      <c r="T86" s="7"/>
      <c r="U86" s="9"/>
      <c r="V86" s="9"/>
      <c r="W86" s="9"/>
      <c r="X86" s="9"/>
      <c r="Y86" s="9"/>
      <c r="Z86" s="9"/>
      <c r="AA86" s="9"/>
      <c r="AB86" s="9"/>
      <c r="AC86" s="9"/>
      <c r="AD86" s="9"/>
      <c r="AE86" s="9"/>
      <c r="AF86" s="9"/>
      <c r="AG86" s="9"/>
      <c r="AH86" s="9"/>
      <c r="AI86" s="9"/>
      <c r="AJ86" s="17"/>
    </row>
    <row r="87" ht="15.75" hidden="1" customHeight="1">
      <c r="A87" s="11" t="s">
        <v>398</v>
      </c>
      <c r="B87" s="11" t="s">
        <v>399</v>
      </c>
      <c r="C87" s="37" t="s">
        <v>413</v>
      </c>
      <c r="D87" s="13"/>
      <c r="E87" s="25" t="s">
        <v>49</v>
      </c>
      <c r="F87" s="38" t="s">
        <v>414</v>
      </c>
      <c r="G87" s="25" t="s">
        <v>415</v>
      </c>
      <c r="H87" s="39" t="s">
        <v>51</v>
      </c>
      <c r="I87" s="40"/>
      <c r="J87" s="25" t="s">
        <v>416</v>
      </c>
      <c r="K87" s="12" t="s">
        <v>409</v>
      </c>
      <c r="L87" s="40"/>
      <c r="M87" s="39"/>
      <c r="N87" s="39"/>
      <c r="O87" s="39"/>
      <c r="P87" s="11" t="s">
        <v>323</v>
      </c>
      <c r="Q87" s="39"/>
      <c r="R87" s="39"/>
      <c r="S87" s="39"/>
      <c r="T87" s="39"/>
      <c r="U87" s="39"/>
      <c r="V87" s="39"/>
      <c r="W87" s="39"/>
      <c r="X87" s="39"/>
      <c r="Y87" s="39"/>
      <c r="Z87" s="39"/>
      <c r="AA87" s="39"/>
      <c r="AB87" s="39"/>
      <c r="AC87" s="39"/>
      <c r="AD87" s="39"/>
      <c r="AE87" s="39"/>
      <c r="AF87" s="39"/>
      <c r="AG87" s="39"/>
      <c r="AH87" s="39"/>
      <c r="AI87" s="39"/>
      <c r="AJ87" s="39"/>
    </row>
    <row r="88" ht="15.75" hidden="1" customHeight="1">
      <c r="A88" s="7" t="s">
        <v>398</v>
      </c>
      <c r="B88" s="7" t="s">
        <v>399</v>
      </c>
      <c r="C88" s="41" t="s">
        <v>417</v>
      </c>
      <c r="D88" s="41" t="s">
        <v>418</v>
      </c>
      <c r="E88" s="10" t="s">
        <v>49</v>
      </c>
      <c r="F88" s="42" t="s">
        <v>419</v>
      </c>
      <c r="G88" s="10" t="s">
        <v>407</v>
      </c>
      <c r="H88" s="43"/>
      <c r="I88" s="44"/>
      <c r="J88" s="10" t="s">
        <v>416</v>
      </c>
      <c r="K88" s="45"/>
      <c r="L88" s="44"/>
      <c r="M88" s="43"/>
      <c r="N88" s="43"/>
      <c r="O88" s="43"/>
      <c r="P88" s="43"/>
      <c r="Q88" s="43"/>
      <c r="R88" s="43"/>
      <c r="S88" s="43"/>
      <c r="T88" s="43"/>
      <c r="U88" s="43"/>
      <c r="V88" s="43"/>
      <c r="W88" s="43"/>
      <c r="X88" s="43"/>
      <c r="Y88" s="43"/>
      <c r="Z88" s="43"/>
      <c r="AA88" s="43"/>
      <c r="AB88" s="43"/>
      <c r="AC88" s="43"/>
      <c r="AD88" s="43"/>
      <c r="AE88" s="43"/>
      <c r="AF88" s="43"/>
      <c r="AG88" s="43"/>
      <c r="AH88" s="43"/>
      <c r="AI88" s="43"/>
      <c r="AJ88" s="43"/>
    </row>
    <row r="89" ht="15.75" hidden="1" customHeight="1">
      <c r="A89" s="11" t="s">
        <v>398</v>
      </c>
      <c r="B89" s="11" t="s">
        <v>399</v>
      </c>
      <c r="C89" s="12" t="s">
        <v>420</v>
      </c>
      <c r="D89" s="13" t="s">
        <v>421</v>
      </c>
      <c r="E89" s="11" t="s">
        <v>49</v>
      </c>
      <c r="F89" s="46"/>
      <c r="G89" s="11" t="s">
        <v>422</v>
      </c>
      <c r="H89" s="19"/>
      <c r="I89" s="47" t="s">
        <v>151</v>
      </c>
      <c r="J89" s="11" t="s">
        <v>399</v>
      </c>
      <c r="K89" s="34" t="s">
        <v>423</v>
      </c>
      <c r="L89" s="48"/>
      <c r="M89" s="47"/>
      <c r="N89" s="47"/>
      <c r="O89" s="19"/>
      <c r="P89" s="47" t="s">
        <v>424</v>
      </c>
      <c r="Q89" s="47"/>
      <c r="R89" s="19"/>
      <c r="S89" s="19"/>
      <c r="T89" s="19"/>
      <c r="U89" s="19"/>
      <c r="V89" s="19"/>
      <c r="W89" s="19"/>
      <c r="X89" s="19"/>
      <c r="Y89" s="19"/>
      <c r="Z89" s="19"/>
      <c r="AA89" s="19"/>
      <c r="AB89" s="19"/>
      <c r="AC89" s="19"/>
      <c r="AD89" s="19"/>
      <c r="AE89" s="19"/>
      <c r="AF89" s="19"/>
      <c r="AG89" s="19"/>
      <c r="AH89" s="19"/>
      <c r="AI89" s="19"/>
      <c r="AJ89" s="39"/>
    </row>
    <row r="90" ht="15.75" hidden="1" customHeight="1">
      <c r="A90" s="7" t="s">
        <v>398</v>
      </c>
      <c r="B90" s="7" t="s">
        <v>399</v>
      </c>
      <c r="C90" s="8" t="s">
        <v>425</v>
      </c>
      <c r="D90" s="9" t="s">
        <v>426</v>
      </c>
      <c r="E90" s="7" t="s">
        <v>49</v>
      </c>
      <c r="F90" s="49"/>
      <c r="G90" s="7" t="s">
        <v>427</v>
      </c>
      <c r="H90" s="17"/>
      <c r="I90" s="50" t="s">
        <v>151</v>
      </c>
      <c r="J90" s="7" t="s">
        <v>428</v>
      </c>
      <c r="K90" s="33" t="s">
        <v>429</v>
      </c>
      <c r="L90" s="51"/>
      <c r="M90" s="50"/>
      <c r="N90" s="50"/>
      <c r="O90" s="17" t="s">
        <v>430</v>
      </c>
      <c r="P90" s="50" t="s">
        <v>431</v>
      </c>
      <c r="Q90" s="50"/>
      <c r="R90" s="52" t="s">
        <v>432</v>
      </c>
      <c r="S90" s="17"/>
      <c r="T90" s="17"/>
      <c r="U90" s="17"/>
      <c r="V90" s="17"/>
      <c r="W90" s="17"/>
      <c r="X90" s="17"/>
      <c r="Y90" s="17"/>
      <c r="Z90" s="17"/>
      <c r="AA90" s="17"/>
      <c r="AB90" s="17"/>
      <c r="AC90" s="17"/>
      <c r="AD90" s="17"/>
      <c r="AE90" s="17"/>
      <c r="AF90" s="17"/>
      <c r="AG90" s="17"/>
      <c r="AH90" s="17"/>
      <c r="AI90" s="17"/>
      <c r="AJ90" s="43"/>
    </row>
    <row r="91" ht="15.75" hidden="1" customHeight="1">
      <c r="A91" s="11" t="s">
        <v>398</v>
      </c>
      <c r="B91" s="11" t="s">
        <v>399</v>
      </c>
      <c r="C91" s="12" t="s">
        <v>433</v>
      </c>
      <c r="D91" s="12" t="s">
        <v>434</v>
      </c>
      <c r="E91" s="11" t="s">
        <v>49</v>
      </c>
      <c r="F91" s="11"/>
      <c r="G91" s="11" t="s">
        <v>435</v>
      </c>
      <c r="H91" s="11"/>
      <c r="I91" s="11" t="s">
        <v>151</v>
      </c>
      <c r="J91" s="11" t="s">
        <v>28</v>
      </c>
      <c r="K91" s="12" t="s">
        <v>436</v>
      </c>
      <c r="L91" s="11" t="s">
        <v>437</v>
      </c>
      <c r="M91" s="11" t="s">
        <v>438</v>
      </c>
      <c r="N91" s="11"/>
      <c r="O91" s="13"/>
      <c r="P91" s="11" t="s">
        <v>439</v>
      </c>
      <c r="Q91" s="11"/>
      <c r="R91" s="11"/>
      <c r="S91" s="13"/>
      <c r="T91" s="11"/>
      <c r="U91" s="13"/>
      <c r="V91" s="13"/>
      <c r="W91" s="13"/>
      <c r="X91" s="13"/>
      <c r="Y91" s="13"/>
      <c r="Z91" s="13"/>
      <c r="AA91" s="13"/>
      <c r="AB91" s="13"/>
      <c r="AC91" s="13"/>
      <c r="AD91" s="13"/>
      <c r="AE91" s="13"/>
      <c r="AF91" s="13"/>
      <c r="AG91" s="13"/>
      <c r="AH91" s="13"/>
      <c r="AI91" s="13"/>
      <c r="AJ91" s="19"/>
    </row>
    <row r="92" ht="15.75" hidden="1" customHeight="1">
      <c r="A92" s="7" t="s">
        <v>398</v>
      </c>
      <c r="B92" s="7" t="s">
        <v>399</v>
      </c>
      <c r="C92" s="8" t="s">
        <v>440</v>
      </c>
      <c r="D92" s="8" t="s">
        <v>441</v>
      </c>
      <c r="E92" s="7" t="s">
        <v>49</v>
      </c>
      <c r="F92" s="7"/>
      <c r="G92" s="7" t="s">
        <v>442</v>
      </c>
      <c r="H92" s="7"/>
      <c r="I92" s="7" t="s">
        <v>27</v>
      </c>
      <c r="J92" s="7" t="s">
        <v>28</v>
      </c>
      <c r="K92" s="8" t="s">
        <v>443</v>
      </c>
      <c r="L92" s="7"/>
      <c r="M92" s="7"/>
      <c r="N92" s="7"/>
      <c r="O92" s="9" t="s">
        <v>444</v>
      </c>
      <c r="P92" s="7"/>
      <c r="Q92" s="7"/>
      <c r="R92" s="7"/>
      <c r="S92" s="9"/>
      <c r="T92" s="7"/>
      <c r="U92" s="9"/>
      <c r="V92" s="9"/>
      <c r="W92" s="9"/>
      <c r="X92" s="9"/>
      <c r="Y92" s="9"/>
      <c r="Z92" s="9"/>
      <c r="AA92" s="9"/>
      <c r="AB92" s="9"/>
      <c r="AC92" s="9"/>
      <c r="AD92" s="9"/>
      <c r="AE92" s="9"/>
      <c r="AF92" s="9"/>
      <c r="AG92" s="9"/>
      <c r="AH92" s="9"/>
      <c r="AI92" s="9"/>
      <c r="AJ92" s="17"/>
    </row>
    <row r="93" ht="15.75" hidden="1" customHeight="1">
      <c r="A93" s="11" t="s">
        <v>398</v>
      </c>
      <c r="B93" s="11" t="s">
        <v>399</v>
      </c>
      <c r="C93" s="12" t="s">
        <v>445</v>
      </c>
      <c r="D93" s="12" t="s">
        <v>446</v>
      </c>
      <c r="E93" s="11" t="s">
        <v>49</v>
      </c>
      <c r="F93" s="11"/>
      <c r="G93" s="11" t="s">
        <v>447</v>
      </c>
      <c r="H93" s="11"/>
      <c r="I93" s="11" t="s">
        <v>151</v>
      </c>
      <c r="J93" s="11" t="s">
        <v>28</v>
      </c>
      <c r="K93" s="12" t="s">
        <v>443</v>
      </c>
      <c r="L93" s="11"/>
      <c r="M93" s="11"/>
      <c r="N93" s="11"/>
      <c r="O93" s="12"/>
      <c r="P93" s="11"/>
      <c r="Q93" s="11"/>
      <c r="R93" s="11"/>
      <c r="S93" s="11"/>
      <c r="T93" s="11"/>
      <c r="U93" s="11"/>
      <c r="V93" s="11"/>
      <c r="W93" s="11"/>
      <c r="X93" s="11"/>
      <c r="Y93" s="11"/>
      <c r="Z93" s="11"/>
      <c r="AA93" s="11"/>
      <c r="AB93" s="11"/>
      <c r="AC93" s="11"/>
      <c r="AD93" s="11"/>
      <c r="AE93" s="11"/>
      <c r="AF93" s="11"/>
      <c r="AG93" s="11"/>
      <c r="AH93" s="11"/>
      <c r="AI93" s="11"/>
      <c r="AJ93" s="19"/>
    </row>
    <row r="94" ht="15.75" hidden="1" customHeight="1">
      <c r="A94" s="7" t="s">
        <v>398</v>
      </c>
      <c r="B94" s="7" t="s">
        <v>399</v>
      </c>
      <c r="C94" s="8" t="s">
        <v>448</v>
      </c>
      <c r="D94" s="8" t="s">
        <v>449</v>
      </c>
      <c r="E94" s="7" t="s">
        <v>49</v>
      </c>
      <c r="F94" s="7"/>
      <c r="G94" s="7" t="s">
        <v>427</v>
      </c>
      <c r="H94" s="7"/>
      <c r="I94" s="7" t="s">
        <v>151</v>
      </c>
      <c r="J94" s="7" t="s">
        <v>428</v>
      </c>
      <c r="K94" s="8" t="s">
        <v>450</v>
      </c>
      <c r="L94" s="7"/>
      <c r="M94" s="7"/>
      <c r="N94" s="7"/>
      <c r="O94" s="8"/>
      <c r="P94" s="7" t="s">
        <v>451</v>
      </c>
      <c r="Q94" s="28" t="s">
        <v>452</v>
      </c>
      <c r="R94" s="7"/>
      <c r="S94" s="7"/>
      <c r="T94" s="7"/>
      <c r="U94" s="7"/>
      <c r="V94" s="7"/>
      <c r="W94" s="7"/>
      <c r="X94" s="7"/>
      <c r="Y94" s="7"/>
      <c r="Z94" s="7"/>
      <c r="AA94" s="7"/>
      <c r="AB94" s="7"/>
      <c r="AC94" s="7"/>
      <c r="AD94" s="7"/>
      <c r="AE94" s="7"/>
      <c r="AF94" s="7"/>
      <c r="AG94" s="7"/>
      <c r="AH94" s="7"/>
      <c r="AI94" s="7"/>
      <c r="AJ94" s="17"/>
    </row>
    <row r="95" ht="15.75" hidden="1" customHeight="1">
      <c r="A95" s="11" t="s">
        <v>398</v>
      </c>
      <c r="B95" s="11" t="s">
        <v>399</v>
      </c>
      <c r="C95" s="12" t="s">
        <v>453</v>
      </c>
      <c r="D95" s="12" t="s">
        <v>454</v>
      </c>
      <c r="E95" s="11" t="s">
        <v>49</v>
      </c>
      <c r="F95" s="11"/>
      <c r="G95" s="11" t="s">
        <v>455</v>
      </c>
      <c r="H95" s="11"/>
      <c r="I95" s="11" t="s">
        <v>51</v>
      </c>
      <c r="J95" s="11" t="s">
        <v>399</v>
      </c>
      <c r="K95" s="12" t="s">
        <v>456</v>
      </c>
      <c r="L95" s="11"/>
      <c r="M95" s="11"/>
      <c r="N95" s="11"/>
      <c r="O95" s="12"/>
      <c r="P95" s="11" t="s">
        <v>457</v>
      </c>
      <c r="Q95" s="11"/>
      <c r="R95" s="11"/>
      <c r="S95" s="11"/>
      <c r="T95" s="11"/>
      <c r="U95" s="11"/>
      <c r="V95" s="11"/>
      <c r="W95" s="11"/>
      <c r="X95" s="11"/>
      <c r="Y95" s="11"/>
      <c r="Z95" s="11"/>
      <c r="AA95" s="11"/>
      <c r="AB95" s="11"/>
      <c r="AC95" s="11"/>
      <c r="AD95" s="11"/>
      <c r="AE95" s="11"/>
      <c r="AF95" s="11"/>
      <c r="AG95" s="11"/>
      <c r="AH95" s="11"/>
      <c r="AI95" s="11"/>
      <c r="AJ95" s="19"/>
    </row>
    <row r="96" ht="15.75" hidden="1" customHeight="1">
      <c r="A96" s="7" t="s">
        <v>398</v>
      </c>
      <c r="B96" s="7" t="s">
        <v>399</v>
      </c>
      <c r="C96" s="8" t="s">
        <v>458</v>
      </c>
      <c r="D96" s="8" t="s">
        <v>459</v>
      </c>
      <c r="E96" s="7" t="s">
        <v>49</v>
      </c>
      <c r="F96" s="7"/>
      <c r="G96" s="7" t="s">
        <v>460</v>
      </c>
      <c r="H96" s="7"/>
      <c r="I96" s="7"/>
      <c r="J96" s="7" t="s">
        <v>28</v>
      </c>
      <c r="K96" s="8" t="s">
        <v>461</v>
      </c>
      <c r="L96" s="7"/>
      <c r="M96" s="7"/>
      <c r="N96" s="7"/>
      <c r="O96" s="8"/>
      <c r="P96" s="7"/>
      <c r="Q96" s="7"/>
      <c r="R96" s="7"/>
      <c r="S96" s="7"/>
      <c r="T96" s="7"/>
      <c r="U96" s="7"/>
      <c r="V96" s="7"/>
      <c r="W96" s="7"/>
      <c r="X96" s="7"/>
      <c r="Y96" s="7"/>
      <c r="Z96" s="7"/>
      <c r="AA96" s="7"/>
      <c r="AB96" s="7"/>
      <c r="AC96" s="7"/>
      <c r="AD96" s="7"/>
      <c r="AE96" s="7"/>
      <c r="AF96" s="7"/>
      <c r="AG96" s="7"/>
      <c r="AH96" s="7"/>
      <c r="AI96" s="7"/>
      <c r="AJ96" s="17"/>
    </row>
    <row r="97" ht="15.75" hidden="1" customHeight="1">
      <c r="A97" s="11" t="s">
        <v>398</v>
      </c>
      <c r="B97" s="11" t="s">
        <v>399</v>
      </c>
      <c r="C97" s="12" t="s">
        <v>462</v>
      </c>
      <c r="D97" s="12" t="s">
        <v>463</v>
      </c>
      <c r="E97" s="11" t="s">
        <v>49</v>
      </c>
      <c r="F97" s="30" t="s">
        <v>464</v>
      </c>
      <c r="G97" s="11" t="s">
        <v>407</v>
      </c>
      <c r="H97" s="11"/>
      <c r="I97" s="11" t="s">
        <v>51</v>
      </c>
      <c r="J97" s="11" t="s">
        <v>465</v>
      </c>
      <c r="K97" s="12"/>
      <c r="L97" s="11"/>
      <c r="M97" s="11"/>
      <c r="N97" s="11"/>
      <c r="O97" s="12"/>
      <c r="P97" s="11"/>
      <c r="Q97" s="11" t="s">
        <v>466</v>
      </c>
      <c r="R97" s="11"/>
      <c r="S97" s="11"/>
      <c r="T97" s="11"/>
      <c r="U97" s="11"/>
      <c r="V97" s="11"/>
      <c r="W97" s="11"/>
      <c r="X97" s="11"/>
      <c r="Y97" s="11"/>
      <c r="Z97" s="11"/>
      <c r="AA97" s="11"/>
      <c r="AB97" s="11"/>
      <c r="AC97" s="11"/>
      <c r="AD97" s="11"/>
      <c r="AE97" s="11"/>
      <c r="AF97" s="11"/>
      <c r="AG97" s="11"/>
      <c r="AH97" s="11"/>
      <c r="AI97" s="11"/>
      <c r="AJ97" s="19"/>
    </row>
    <row r="98" ht="15.75" hidden="1" customHeight="1">
      <c r="A98" s="7" t="s">
        <v>398</v>
      </c>
      <c r="B98" s="7" t="s">
        <v>399</v>
      </c>
      <c r="C98" s="8" t="s">
        <v>467</v>
      </c>
      <c r="D98" s="9" t="s">
        <v>468</v>
      </c>
      <c r="E98" s="7" t="s">
        <v>49</v>
      </c>
      <c r="F98" s="28" t="s">
        <v>464</v>
      </c>
      <c r="G98" s="7" t="s">
        <v>407</v>
      </c>
      <c r="H98" s="7"/>
      <c r="I98" s="7" t="s">
        <v>51</v>
      </c>
      <c r="J98" s="7" t="s">
        <v>469</v>
      </c>
      <c r="K98" s="9" t="s">
        <v>470</v>
      </c>
      <c r="L98" s="7"/>
      <c r="M98" s="50"/>
      <c r="N98" s="7"/>
      <c r="O98" s="22"/>
      <c r="P98" s="7" t="s">
        <v>471</v>
      </c>
      <c r="Q98" s="7" t="s">
        <v>323</v>
      </c>
      <c r="R98" s="9"/>
      <c r="S98" s="9"/>
      <c r="T98" s="7"/>
      <c r="U98" s="9"/>
      <c r="V98" s="9"/>
      <c r="W98" s="9"/>
      <c r="X98" s="9"/>
      <c r="Y98" s="9"/>
      <c r="Z98" s="9"/>
      <c r="AA98" s="9"/>
      <c r="AB98" s="9"/>
      <c r="AC98" s="9"/>
      <c r="AD98" s="9"/>
      <c r="AE98" s="9"/>
      <c r="AF98" s="9"/>
      <c r="AG98" s="9"/>
      <c r="AH98" s="9"/>
      <c r="AI98" s="9"/>
      <c r="AJ98" s="17"/>
    </row>
    <row r="99" ht="15.75" hidden="1" customHeight="1">
      <c r="A99" s="11" t="s">
        <v>398</v>
      </c>
      <c r="B99" s="11" t="s">
        <v>187</v>
      </c>
      <c r="C99" s="12" t="s">
        <v>472</v>
      </c>
      <c r="D99" s="13"/>
      <c r="E99" s="25" t="s">
        <v>96</v>
      </c>
      <c r="F99" s="21"/>
      <c r="G99" s="21"/>
      <c r="H99" s="21"/>
      <c r="I99" s="25" t="s">
        <v>27</v>
      </c>
      <c r="J99" s="25" t="s">
        <v>473</v>
      </c>
      <c r="K99" s="13"/>
      <c r="L99" s="25"/>
      <c r="M99" s="21"/>
      <c r="N99" s="21" t="s">
        <v>474</v>
      </c>
      <c r="O99" s="21"/>
      <c r="P99" s="21"/>
      <c r="Q99" s="21" t="s">
        <v>475</v>
      </c>
      <c r="R99" s="21"/>
      <c r="S99" s="21"/>
      <c r="T99" s="21"/>
      <c r="U99" s="21"/>
      <c r="V99" s="21"/>
      <c r="W99" s="21"/>
      <c r="X99" s="21"/>
      <c r="Y99" s="21"/>
      <c r="Z99" s="21"/>
      <c r="AA99" s="21"/>
      <c r="AB99" s="21"/>
      <c r="AC99" s="21"/>
      <c r="AD99" s="21"/>
      <c r="AE99" s="21"/>
      <c r="AF99" s="21"/>
      <c r="AG99" s="21"/>
      <c r="AH99" s="21"/>
      <c r="AI99" s="21"/>
      <c r="AJ99" s="13"/>
    </row>
    <row r="100" ht="15.75" hidden="1" customHeight="1">
      <c r="A100" s="7" t="s">
        <v>398</v>
      </c>
      <c r="B100" s="7" t="s">
        <v>399</v>
      </c>
      <c r="C100" s="8" t="s">
        <v>476</v>
      </c>
      <c r="D100" s="9" t="s">
        <v>477</v>
      </c>
      <c r="E100" s="7" t="s">
        <v>96</v>
      </c>
      <c r="F100" s="7"/>
      <c r="G100" s="7" t="s">
        <v>478</v>
      </c>
      <c r="H100" s="7" t="s">
        <v>51</v>
      </c>
      <c r="I100" s="7" t="s">
        <v>51</v>
      </c>
      <c r="J100" s="7" t="s">
        <v>479</v>
      </c>
      <c r="K100" s="9" t="s">
        <v>480</v>
      </c>
      <c r="L100" s="7"/>
      <c r="M100" s="50"/>
      <c r="N100" s="7"/>
      <c r="O100" s="22"/>
      <c r="P100" s="53" t="s">
        <v>481</v>
      </c>
      <c r="Q100" s="7"/>
      <c r="R100" s="9"/>
      <c r="S100" s="9"/>
      <c r="T100" s="7"/>
      <c r="U100" s="9"/>
      <c r="V100" s="9"/>
      <c r="W100" s="9"/>
      <c r="X100" s="9"/>
      <c r="Y100" s="9"/>
      <c r="Z100" s="9"/>
      <c r="AA100" s="9"/>
      <c r="AB100" s="9"/>
      <c r="AC100" s="9"/>
      <c r="AD100" s="9"/>
      <c r="AE100" s="9"/>
      <c r="AF100" s="9"/>
      <c r="AG100" s="9"/>
      <c r="AH100" s="9"/>
      <c r="AI100" s="9"/>
      <c r="AJ100" s="9"/>
    </row>
    <row r="101" ht="15.75" hidden="1" customHeight="1">
      <c r="A101" s="11" t="s">
        <v>398</v>
      </c>
      <c r="B101" s="11" t="s">
        <v>399</v>
      </c>
      <c r="C101" s="12" t="s">
        <v>482</v>
      </c>
      <c r="D101" s="12" t="s">
        <v>483</v>
      </c>
      <c r="E101" s="11" t="s">
        <v>96</v>
      </c>
      <c r="F101" s="11"/>
      <c r="G101" s="11" t="s">
        <v>484</v>
      </c>
      <c r="H101" s="11"/>
      <c r="I101" s="11" t="s">
        <v>27</v>
      </c>
      <c r="J101" s="11" t="s">
        <v>465</v>
      </c>
      <c r="K101" s="12"/>
      <c r="L101" s="11"/>
      <c r="M101" s="11"/>
      <c r="N101" s="11"/>
      <c r="O101" s="21" t="s">
        <v>485</v>
      </c>
      <c r="P101" s="11"/>
      <c r="Q101" s="25" t="s">
        <v>231</v>
      </c>
      <c r="R101" s="11"/>
      <c r="S101" s="11"/>
      <c r="T101" s="11"/>
      <c r="U101" s="11"/>
      <c r="V101" s="11"/>
      <c r="W101" s="11"/>
      <c r="X101" s="11"/>
      <c r="Y101" s="11"/>
      <c r="Z101" s="11"/>
      <c r="AA101" s="11"/>
      <c r="AB101" s="11"/>
      <c r="AC101" s="11"/>
      <c r="AD101" s="11"/>
      <c r="AE101" s="11"/>
      <c r="AF101" s="11"/>
      <c r="AG101" s="11"/>
      <c r="AH101" s="11"/>
      <c r="AI101" s="11"/>
      <c r="AJ101" s="19"/>
    </row>
    <row r="102" ht="15.75" hidden="1" customHeight="1">
      <c r="A102" s="7" t="s">
        <v>398</v>
      </c>
      <c r="B102" s="7" t="s">
        <v>399</v>
      </c>
      <c r="C102" s="41" t="s">
        <v>486</v>
      </c>
      <c r="D102" s="9"/>
      <c r="E102" s="10" t="s">
        <v>25</v>
      </c>
      <c r="F102" s="15"/>
      <c r="G102" s="15" t="s">
        <v>487</v>
      </c>
      <c r="H102" s="43"/>
      <c r="I102" s="44" t="s">
        <v>51</v>
      </c>
      <c r="J102" s="10" t="s">
        <v>488</v>
      </c>
      <c r="K102" s="45"/>
      <c r="L102" s="44"/>
      <c r="M102" s="43"/>
      <c r="N102" s="43"/>
      <c r="O102" s="43"/>
      <c r="P102" s="43"/>
      <c r="Q102" s="43" t="s">
        <v>328</v>
      </c>
      <c r="R102" s="43"/>
      <c r="S102" s="43"/>
      <c r="T102" s="43"/>
      <c r="U102" s="43"/>
      <c r="V102" s="43"/>
      <c r="W102" s="43"/>
      <c r="X102" s="43"/>
      <c r="Y102" s="43"/>
      <c r="Z102" s="43"/>
      <c r="AA102" s="43"/>
      <c r="AB102" s="43"/>
      <c r="AC102" s="43"/>
      <c r="AD102" s="43"/>
      <c r="AE102" s="43"/>
      <c r="AF102" s="43"/>
      <c r="AG102" s="43"/>
      <c r="AH102" s="43"/>
      <c r="AI102" s="43"/>
      <c r="AJ102" s="9"/>
    </row>
    <row r="103" ht="15.75" hidden="1" customHeight="1">
      <c r="A103" s="11" t="s">
        <v>398</v>
      </c>
      <c r="B103" s="11" t="s">
        <v>399</v>
      </c>
      <c r="C103" s="12" t="s">
        <v>489</v>
      </c>
      <c r="D103" s="13"/>
      <c r="E103" s="25" t="s">
        <v>25</v>
      </c>
      <c r="F103" s="21"/>
      <c r="G103" s="21" t="s">
        <v>490</v>
      </c>
      <c r="H103" s="39"/>
      <c r="I103" s="40" t="s">
        <v>27</v>
      </c>
      <c r="J103" s="25"/>
      <c r="K103" s="54"/>
      <c r="L103" s="40"/>
      <c r="M103" s="39"/>
      <c r="N103" s="39"/>
      <c r="O103" s="39"/>
      <c r="P103" s="39"/>
      <c r="Q103" s="39"/>
      <c r="R103" s="39"/>
      <c r="S103" s="39"/>
      <c r="T103" s="39"/>
      <c r="U103" s="39"/>
      <c r="V103" s="39"/>
      <c r="W103" s="39"/>
      <c r="X103" s="39"/>
      <c r="Y103" s="39"/>
      <c r="Z103" s="39"/>
      <c r="AA103" s="39"/>
      <c r="AB103" s="39"/>
      <c r="AC103" s="39"/>
      <c r="AD103" s="39"/>
      <c r="AE103" s="39"/>
      <c r="AF103" s="39"/>
      <c r="AG103" s="39"/>
      <c r="AH103" s="39"/>
      <c r="AI103" s="39"/>
      <c r="AJ103" s="13"/>
    </row>
    <row r="104" ht="15.75" hidden="1" customHeight="1">
      <c r="A104" s="7" t="s">
        <v>398</v>
      </c>
      <c r="B104" s="7" t="s">
        <v>399</v>
      </c>
      <c r="C104" s="8" t="s">
        <v>491</v>
      </c>
      <c r="D104" s="9"/>
      <c r="E104" s="10" t="s">
        <v>49</v>
      </c>
      <c r="F104" s="42" t="s">
        <v>464</v>
      </c>
      <c r="G104" s="10" t="s">
        <v>407</v>
      </c>
      <c r="H104" s="43" t="s">
        <v>51</v>
      </c>
      <c r="I104" s="44" t="s">
        <v>151</v>
      </c>
      <c r="J104" s="10"/>
      <c r="K104" s="45"/>
      <c r="L104" s="44"/>
      <c r="M104" s="43"/>
      <c r="N104" s="43"/>
      <c r="O104" s="43"/>
      <c r="P104" s="43"/>
      <c r="Q104" s="43" t="s">
        <v>328</v>
      </c>
      <c r="R104" s="43"/>
      <c r="S104" s="43"/>
      <c r="T104" s="43"/>
      <c r="U104" s="43"/>
      <c r="V104" s="43"/>
      <c r="W104" s="43"/>
      <c r="X104" s="43"/>
      <c r="Y104" s="43"/>
      <c r="Z104" s="43"/>
      <c r="AA104" s="43"/>
      <c r="AB104" s="43"/>
      <c r="AC104" s="43"/>
      <c r="AD104" s="43"/>
      <c r="AE104" s="43"/>
      <c r="AF104" s="43"/>
      <c r="AG104" s="43"/>
      <c r="AH104" s="43"/>
      <c r="AI104" s="43"/>
      <c r="AJ104" s="43"/>
    </row>
    <row r="105" ht="15.75" hidden="1" customHeight="1">
      <c r="A105" s="11" t="s">
        <v>398</v>
      </c>
      <c r="B105" s="11" t="s">
        <v>399</v>
      </c>
      <c r="C105" s="12" t="s">
        <v>492</v>
      </c>
      <c r="D105" s="13"/>
      <c r="E105" s="25" t="s">
        <v>49</v>
      </c>
      <c r="F105" s="21"/>
      <c r="G105" s="25" t="s">
        <v>493</v>
      </c>
      <c r="H105" s="39" t="s">
        <v>59</v>
      </c>
      <c r="I105" s="40" t="s">
        <v>51</v>
      </c>
      <c r="J105" s="25" t="s">
        <v>494</v>
      </c>
      <c r="K105" s="54"/>
      <c r="L105" s="40"/>
      <c r="M105" s="39"/>
      <c r="N105" s="39"/>
      <c r="O105" s="39"/>
      <c r="P105" s="55" t="s">
        <v>495</v>
      </c>
      <c r="Q105" s="39" t="s">
        <v>496</v>
      </c>
      <c r="R105" s="39"/>
      <c r="S105" s="39"/>
      <c r="T105" s="39"/>
      <c r="U105" s="39"/>
      <c r="V105" s="39"/>
      <c r="W105" s="39"/>
      <c r="X105" s="39"/>
      <c r="Y105" s="39"/>
      <c r="Z105" s="39"/>
      <c r="AA105" s="39"/>
      <c r="AB105" s="39"/>
      <c r="AC105" s="39"/>
      <c r="AD105" s="39"/>
      <c r="AE105" s="39"/>
      <c r="AF105" s="39"/>
      <c r="AG105" s="39"/>
      <c r="AH105" s="39"/>
      <c r="AI105" s="39"/>
      <c r="AJ105" s="39"/>
    </row>
    <row r="106" ht="15.75" hidden="1" customHeight="1">
      <c r="A106" s="7" t="s">
        <v>398</v>
      </c>
      <c r="B106" s="7" t="s">
        <v>399</v>
      </c>
      <c r="C106" s="41" t="s">
        <v>497</v>
      </c>
      <c r="D106" s="9"/>
      <c r="E106" s="10" t="s">
        <v>49</v>
      </c>
      <c r="F106" s="10"/>
      <c r="G106" s="10"/>
      <c r="H106" s="43" t="s">
        <v>39</v>
      </c>
      <c r="I106" s="10" t="s">
        <v>151</v>
      </c>
      <c r="J106" s="10" t="s">
        <v>498</v>
      </c>
      <c r="K106" s="45"/>
      <c r="L106" s="44"/>
      <c r="M106" s="43"/>
      <c r="N106" s="43"/>
      <c r="O106" s="43"/>
      <c r="P106" s="43" t="s">
        <v>328</v>
      </c>
      <c r="Q106" s="43" t="s">
        <v>499</v>
      </c>
      <c r="R106" s="43"/>
      <c r="S106" s="43"/>
      <c r="T106" s="43"/>
      <c r="U106" s="43"/>
      <c r="V106" s="43"/>
      <c r="W106" s="43"/>
      <c r="X106" s="43"/>
      <c r="Y106" s="43"/>
      <c r="Z106" s="43"/>
      <c r="AA106" s="43"/>
      <c r="AB106" s="43"/>
      <c r="AC106" s="43"/>
      <c r="AD106" s="43"/>
      <c r="AE106" s="43"/>
      <c r="AF106" s="43"/>
      <c r="AG106" s="43"/>
      <c r="AH106" s="43"/>
      <c r="AI106" s="43"/>
      <c r="AJ106" s="43"/>
    </row>
    <row r="107" ht="15.75" hidden="1" customHeight="1">
      <c r="A107" s="11" t="s">
        <v>398</v>
      </c>
      <c r="B107" s="11" t="s">
        <v>399</v>
      </c>
      <c r="C107" s="12" t="s">
        <v>500</v>
      </c>
      <c r="D107" s="13"/>
      <c r="E107" s="25" t="s">
        <v>96</v>
      </c>
      <c r="F107" s="21"/>
      <c r="G107" s="21"/>
      <c r="H107" s="39"/>
      <c r="I107" s="40" t="s">
        <v>27</v>
      </c>
      <c r="J107" s="25" t="s">
        <v>501</v>
      </c>
      <c r="K107" s="54"/>
      <c r="L107" s="40"/>
      <c r="M107" s="39"/>
      <c r="N107" s="39" t="s">
        <v>502</v>
      </c>
      <c r="O107" s="39"/>
      <c r="P107" s="39"/>
      <c r="Q107" s="39" t="s">
        <v>503</v>
      </c>
      <c r="R107" s="39"/>
      <c r="S107" s="39"/>
      <c r="T107" s="39"/>
      <c r="U107" s="39"/>
      <c r="V107" s="39"/>
      <c r="W107" s="39"/>
      <c r="X107" s="39"/>
      <c r="Y107" s="39"/>
      <c r="Z107" s="39"/>
      <c r="AA107" s="39"/>
      <c r="AB107" s="39"/>
      <c r="AC107" s="39"/>
      <c r="AD107" s="39"/>
      <c r="AE107" s="39"/>
      <c r="AF107" s="39"/>
      <c r="AG107" s="39"/>
      <c r="AH107" s="39"/>
      <c r="AI107" s="39"/>
      <c r="AJ107" s="13"/>
    </row>
    <row r="108" ht="15.75" hidden="1" customHeight="1">
      <c r="A108" s="7" t="s">
        <v>398</v>
      </c>
      <c r="B108" s="7" t="s">
        <v>399</v>
      </c>
      <c r="C108" s="8" t="s">
        <v>504</v>
      </c>
      <c r="D108" s="9" t="s">
        <v>505</v>
      </c>
      <c r="E108" s="10" t="s">
        <v>96</v>
      </c>
      <c r="F108" s="15"/>
      <c r="G108" s="29" t="s">
        <v>506</v>
      </c>
      <c r="H108" s="43"/>
      <c r="I108" s="44" t="s">
        <v>27</v>
      </c>
      <c r="J108" s="10"/>
      <c r="K108" s="45"/>
      <c r="L108" s="44"/>
      <c r="M108" s="43"/>
      <c r="N108" s="43"/>
      <c r="O108" s="43"/>
      <c r="P108" s="43"/>
      <c r="Q108" s="43" t="s">
        <v>507</v>
      </c>
      <c r="R108" s="43"/>
      <c r="S108" s="43"/>
      <c r="T108" s="43"/>
      <c r="U108" s="43"/>
      <c r="V108" s="43"/>
      <c r="W108" s="43"/>
      <c r="X108" s="43"/>
      <c r="Y108" s="43"/>
      <c r="Z108" s="43"/>
      <c r="AA108" s="43"/>
      <c r="AB108" s="43"/>
      <c r="AC108" s="43"/>
      <c r="AD108" s="43"/>
      <c r="AE108" s="43"/>
      <c r="AF108" s="43"/>
      <c r="AG108" s="43"/>
      <c r="AH108" s="43"/>
      <c r="AI108" s="43"/>
      <c r="AJ108" s="9"/>
    </row>
    <row r="109" ht="15.75" hidden="1" customHeight="1">
      <c r="A109" s="11" t="s">
        <v>398</v>
      </c>
      <c r="B109" s="11" t="s">
        <v>399</v>
      </c>
      <c r="C109" s="12" t="s">
        <v>508</v>
      </c>
      <c r="D109" s="13"/>
      <c r="E109" s="25" t="s">
        <v>96</v>
      </c>
      <c r="F109" s="21"/>
      <c r="G109" s="25" t="s">
        <v>415</v>
      </c>
      <c r="H109" s="39"/>
      <c r="I109" s="40" t="s">
        <v>51</v>
      </c>
      <c r="J109" s="25" t="s">
        <v>509</v>
      </c>
      <c r="K109" s="54"/>
      <c r="L109" s="40"/>
      <c r="M109" s="39"/>
      <c r="N109" s="39"/>
      <c r="O109" s="39"/>
      <c r="P109" s="39"/>
      <c r="Q109" s="39"/>
      <c r="R109" s="39"/>
      <c r="S109" s="39"/>
      <c r="T109" s="39"/>
      <c r="U109" s="39"/>
      <c r="V109" s="39"/>
      <c r="W109" s="39"/>
      <c r="X109" s="39"/>
      <c r="Y109" s="39"/>
      <c r="Z109" s="39"/>
      <c r="AA109" s="39"/>
      <c r="AB109" s="39"/>
      <c r="AC109" s="39"/>
      <c r="AD109" s="39"/>
      <c r="AE109" s="39"/>
      <c r="AF109" s="39"/>
      <c r="AG109" s="39"/>
      <c r="AH109" s="39"/>
      <c r="AI109" s="39"/>
      <c r="AJ109" s="13"/>
    </row>
    <row r="110" ht="15.75" hidden="1" customHeight="1">
      <c r="A110" s="7" t="s">
        <v>398</v>
      </c>
      <c r="B110" s="7" t="s">
        <v>399</v>
      </c>
      <c r="C110" s="8" t="s">
        <v>510</v>
      </c>
      <c r="D110" s="9"/>
      <c r="E110" s="10" t="s">
        <v>96</v>
      </c>
      <c r="F110" s="15"/>
      <c r="G110" s="10"/>
      <c r="H110" s="43"/>
      <c r="I110" s="44" t="s">
        <v>51</v>
      </c>
      <c r="J110" s="10" t="s">
        <v>511</v>
      </c>
      <c r="K110" s="45"/>
      <c r="L110" s="44"/>
      <c r="M110" s="43"/>
      <c r="N110" s="43" t="s">
        <v>512</v>
      </c>
      <c r="O110" s="43"/>
      <c r="P110" s="43"/>
      <c r="Q110" s="43" t="s">
        <v>328</v>
      </c>
      <c r="R110" s="43"/>
      <c r="S110" s="43"/>
      <c r="T110" s="43"/>
      <c r="U110" s="43"/>
      <c r="V110" s="43"/>
      <c r="W110" s="43"/>
      <c r="X110" s="43"/>
      <c r="Y110" s="43"/>
      <c r="Z110" s="43"/>
      <c r="AA110" s="43"/>
      <c r="AB110" s="43"/>
      <c r="AC110" s="43"/>
      <c r="AD110" s="43"/>
      <c r="AE110" s="43"/>
      <c r="AF110" s="43"/>
      <c r="AG110" s="43"/>
      <c r="AH110" s="43"/>
      <c r="AI110" s="43"/>
      <c r="AJ110" s="9"/>
    </row>
    <row r="111" ht="15.75" customHeight="1">
      <c r="A111" s="11" t="s">
        <v>398</v>
      </c>
      <c r="B111" s="11" t="s">
        <v>513</v>
      </c>
      <c r="C111" s="12" t="s">
        <v>514</v>
      </c>
      <c r="D111" s="13"/>
      <c r="E111" s="25" t="s">
        <v>96</v>
      </c>
      <c r="F111" s="21"/>
      <c r="G111" s="56" t="s">
        <v>515</v>
      </c>
      <c r="H111" s="21"/>
      <c r="I111" s="25" t="s">
        <v>27</v>
      </c>
      <c r="J111" s="25" t="s">
        <v>511</v>
      </c>
      <c r="K111" s="13"/>
      <c r="L111" s="25"/>
      <c r="M111" s="21"/>
      <c r="N111" s="21" t="s">
        <v>474</v>
      </c>
      <c r="O111" s="21"/>
      <c r="P111" s="21"/>
      <c r="Q111" s="21" t="s">
        <v>475</v>
      </c>
      <c r="R111" s="21"/>
      <c r="S111" s="21"/>
      <c r="T111" s="21"/>
      <c r="U111" s="21"/>
      <c r="V111" s="21"/>
      <c r="W111" s="21"/>
      <c r="X111" s="21"/>
      <c r="Y111" s="21"/>
      <c r="Z111" s="21"/>
      <c r="AA111" s="21"/>
      <c r="AB111" s="21"/>
      <c r="AC111" s="21"/>
      <c r="AD111" s="21"/>
      <c r="AE111" s="21"/>
      <c r="AF111" s="21"/>
      <c r="AG111" s="21"/>
      <c r="AH111" s="21"/>
      <c r="AI111" s="21"/>
      <c r="AJ111" s="13"/>
    </row>
    <row r="112" ht="15.75" hidden="1" customHeight="1">
      <c r="A112" s="7" t="s">
        <v>398</v>
      </c>
      <c r="B112" s="7" t="s">
        <v>399</v>
      </c>
      <c r="C112" s="8" t="s">
        <v>516</v>
      </c>
      <c r="D112" s="9" t="s">
        <v>517</v>
      </c>
      <c r="E112" s="7" t="s">
        <v>96</v>
      </c>
      <c r="F112" s="49"/>
      <c r="G112" s="16" t="s">
        <v>518</v>
      </c>
      <c r="H112" s="17"/>
      <c r="I112" s="50" t="s">
        <v>27</v>
      </c>
      <c r="J112" s="7" t="s">
        <v>28</v>
      </c>
      <c r="K112" s="33" t="s">
        <v>519</v>
      </c>
      <c r="L112" s="51"/>
      <c r="M112" s="50"/>
      <c r="N112" s="50" t="s">
        <v>520</v>
      </c>
      <c r="O112" s="17"/>
      <c r="P112" s="50"/>
      <c r="Q112" s="50" t="s">
        <v>521</v>
      </c>
      <c r="R112" s="17"/>
      <c r="S112" s="17"/>
      <c r="T112" s="17"/>
      <c r="U112" s="17"/>
      <c r="V112" s="17"/>
      <c r="W112" s="17"/>
      <c r="X112" s="17"/>
      <c r="Y112" s="17"/>
      <c r="Z112" s="17"/>
      <c r="AA112" s="17"/>
      <c r="AB112" s="17"/>
      <c r="AC112" s="17"/>
      <c r="AD112" s="17"/>
      <c r="AE112" s="17"/>
      <c r="AF112" s="17"/>
      <c r="AG112" s="17"/>
      <c r="AH112" s="17"/>
      <c r="AI112" s="17"/>
      <c r="AJ112" s="43"/>
    </row>
    <row r="113" ht="15.75" hidden="1" customHeight="1">
      <c r="A113" s="11" t="s">
        <v>398</v>
      </c>
      <c r="B113" s="11" t="s">
        <v>399</v>
      </c>
      <c r="C113" s="12" t="s">
        <v>522</v>
      </c>
      <c r="D113" s="13" t="s">
        <v>523</v>
      </c>
      <c r="E113" s="25" t="s">
        <v>25</v>
      </c>
      <c r="F113" s="21"/>
      <c r="G113" s="18" t="s">
        <v>518</v>
      </c>
      <c r="H113" s="39"/>
      <c r="I113" s="40"/>
      <c r="J113" s="25" t="s">
        <v>524</v>
      </c>
      <c r="K113" s="54"/>
      <c r="L113" s="40"/>
      <c r="M113" s="39"/>
      <c r="N113" s="39"/>
      <c r="O113" s="39" t="s">
        <v>525</v>
      </c>
      <c r="P113" s="39"/>
      <c r="Q113" s="39"/>
      <c r="R113" s="39"/>
      <c r="S113" s="39"/>
      <c r="T113" s="39"/>
      <c r="U113" s="39"/>
      <c r="V113" s="39"/>
      <c r="W113" s="39"/>
      <c r="X113" s="39"/>
      <c r="Y113" s="39"/>
      <c r="Z113" s="39"/>
      <c r="AA113" s="39"/>
      <c r="AB113" s="39"/>
      <c r="AC113" s="39"/>
      <c r="AD113" s="39"/>
      <c r="AE113" s="39"/>
      <c r="AF113" s="39"/>
      <c r="AG113" s="39"/>
      <c r="AH113" s="39"/>
      <c r="AI113" s="39"/>
      <c r="AJ113" s="39"/>
    </row>
    <row r="114" ht="15.75" hidden="1" customHeight="1">
      <c r="A114" s="7" t="s">
        <v>398</v>
      </c>
      <c r="B114" s="7" t="s">
        <v>399</v>
      </c>
      <c r="C114" s="8" t="s">
        <v>526</v>
      </c>
      <c r="D114" s="9" t="s">
        <v>527</v>
      </c>
      <c r="E114" s="7" t="s">
        <v>96</v>
      </c>
      <c r="F114" s="49"/>
      <c r="G114" s="29" t="s">
        <v>518</v>
      </c>
      <c r="H114" s="17"/>
      <c r="I114" s="50"/>
      <c r="J114" s="7"/>
      <c r="K114" s="33"/>
      <c r="L114" s="51"/>
      <c r="M114" s="50"/>
      <c r="N114" s="50"/>
      <c r="O114" s="17"/>
      <c r="P114" s="50"/>
      <c r="Q114" s="50"/>
      <c r="R114" s="17"/>
      <c r="S114" s="17"/>
      <c r="T114" s="17"/>
      <c r="U114" s="17"/>
      <c r="V114" s="17"/>
      <c r="W114" s="17"/>
      <c r="X114" s="17"/>
      <c r="Y114" s="17"/>
      <c r="Z114" s="17"/>
      <c r="AA114" s="17"/>
      <c r="AB114" s="17"/>
      <c r="AC114" s="17"/>
      <c r="AD114" s="17"/>
      <c r="AE114" s="17"/>
      <c r="AF114" s="17"/>
      <c r="AG114" s="17"/>
      <c r="AH114" s="17"/>
      <c r="AI114" s="17"/>
      <c r="AJ114" s="43"/>
    </row>
    <row r="115" ht="15.75" customHeight="1">
      <c r="A115" s="11" t="s">
        <v>398</v>
      </c>
      <c r="B115" s="11" t="s">
        <v>513</v>
      </c>
      <c r="C115" s="12" t="s">
        <v>528</v>
      </c>
      <c r="D115" s="13" t="s">
        <v>529</v>
      </c>
      <c r="E115" s="11" t="s">
        <v>96</v>
      </c>
      <c r="F115" s="46"/>
      <c r="G115" s="56" t="s">
        <v>515</v>
      </c>
      <c r="H115" s="21"/>
      <c r="I115" s="11" t="s">
        <v>151</v>
      </c>
      <c r="J115" s="11" t="s">
        <v>513</v>
      </c>
      <c r="K115" s="13" t="s">
        <v>409</v>
      </c>
      <c r="L115" s="25"/>
      <c r="M115" s="11"/>
      <c r="N115" s="11"/>
      <c r="O115" s="21"/>
      <c r="P115" s="11"/>
      <c r="Q115" s="11"/>
      <c r="R115" s="21"/>
      <c r="S115" s="21"/>
      <c r="T115" s="21"/>
      <c r="U115" s="21"/>
      <c r="V115" s="21"/>
      <c r="W115" s="21"/>
      <c r="X115" s="21"/>
      <c r="Y115" s="21"/>
      <c r="Z115" s="21"/>
      <c r="AA115" s="21"/>
      <c r="AB115" s="21"/>
      <c r="AC115" s="21"/>
      <c r="AD115" s="21"/>
      <c r="AE115" s="21"/>
      <c r="AF115" s="21"/>
      <c r="AG115" s="21"/>
      <c r="AH115" s="21"/>
      <c r="AI115" s="21"/>
      <c r="AJ115" s="21"/>
    </row>
    <row r="116" ht="15.75" customHeight="1">
      <c r="A116" s="7" t="s">
        <v>398</v>
      </c>
      <c r="B116" s="10" t="s">
        <v>513</v>
      </c>
      <c r="C116" s="8" t="s">
        <v>530</v>
      </c>
      <c r="D116" s="9"/>
      <c r="E116" s="10" t="s">
        <v>96</v>
      </c>
      <c r="F116" s="10"/>
      <c r="G116" s="29" t="s">
        <v>515</v>
      </c>
      <c r="H116" s="15"/>
      <c r="I116" s="10" t="s">
        <v>151</v>
      </c>
      <c r="J116" s="10" t="s">
        <v>513</v>
      </c>
      <c r="K116" s="9"/>
      <c r="L116" s="10"/>
      <c r="M116" s="15"/>
      <c r="N116" s="15"/>
      <c r="O116" s="15"/>
      <c r="P116" s="15"/>
      <c r="Q116" s="15" t="s">
        <v>531</v>
      </c>
      <c r="R116" s="15"/>
      <c r="S116" s="15"/>
      <c r="T116" s="15"/>
      <c r="U116" s="15"/>
      <c r="V116" s="15"/>
      <c r="W116" s="15"/>
      <c r="X116" s="15"/>
      <c r="Y116" s="15"/>
      <c r="Z116" s="15"/>
      <c r="AA116" s="15"/>
      <c r="AB116" s="15"/>
      <c r="AC116" s="15"/>
      <c r="AD116" s="15"/>
      <c r="AE116" s="15"/>
      <c r="AF116" s="15"/>
      <c r="AG116" s="15"/>
      <c r="AH116" s="15"/>
      <c r="AI116" s="15"/>
      <c r="AJ116" s="15"/>
    </row>
    <row r="117" ht="15.75" customHeight="1">
      <c r="A117" s="11" t="s">
        <v>398</v>
      </c>
      <c r="B117" s="25" t="s">
        <v>399</v>
      </c>
      <c r="C117" s="12" t="s">
        <v>532</v>
      </c>
      <c r="D117" s="13"/>
      <c r="E117" s="25" t="s">
        <v>25</v>
      </c>
      <c r="F117" s="25"/>
      <c r="G117" s="56" t="s">
        <v>515</v>
      </c>
      <c r="H117" s="39"/>
      <c r="I117" s="25" t="s">
        <v>151</v>
      </c>
      <c r="J117" s="11" t="s">
        <v>428</v>
      </c>
      <c r="K117" s="54"/>
      <c r="L117" s="40"/>
      <c r="M117" s="39"/>
      <c r="N117" s="39"/>
      <c r="O117" s="39"/>
      <c r="P117" s="39" t="s">
        <v>533</v>
      </c>
      <c r="Q117" s="39" t="s">
        <v>534</v>
      </c>
      <c r="R117" s="39"/>
      <c r="S117" s="39"/>
      <c r="T117" s="39"/>
      <c r="U117" s="39"/>
      <c r="V117" s="39"/>
      <c r="W117" s="39"/>
      <c r="X117" s="39"/>
      <c r="Y117" s="39"/>
      <c r="Z117" s="39"/>
      <c r="AA117" s="39"/>
      <c r="AB117" s="39"/>
      <c r="AC117" s="39"/>
      <c r="AD117" s="39"/>
      <c r="AE117" s="39"/>
      <c r="AF117" s="39"/>
      <c r="AG117" s="39"/>
      <c r="AH117" s="39"/>
      <c r="AI117" s="39"/>
      <c r="AJ117" s="39"/>
    </row>
    <row r="118" ht="15.75" customHeight="1">
      <c r="A118" s="7" t="s">
        <v>398</v>
      </c>
      <c r="B118" s="7" t="s">
        <v>513</v>
      </c>
      <c r="C118" s="8" t="s">
        <v>535</v>
      </c>
      <c r="D118" s="9" t="s">
        <v>536</v>
      </c>
      <c r="E118" s="7" t="s">
        <v>96</v>
      </c>
      <c r="F118" s="49"/>
      <c r="G118" s="29" t="s">
        <v>515</v>
      </c>
      <c r="H118" s="15"/>
      <c r="I118" s="7" t="s">
        <v>27</v>
      </c>
      <c r="J118" s="7" t="s">
        <v>428</v>
      </c>
      <c r="K118" s="9" t="s">
        <v>537</v>
      </c>
      <c r="L118" s="10"/>
      <c r="M118" s="7"/>
      <c r="N118" s="7" t="s">
        <v>538</v>
      </c>
      <c r="O118" s="15"/>
      <c r="P118" s="7"/>
      <c r="Q118" s="7" t="s">
        <v>539</v>
      </c>
      <c r="R118" s="15"/>
      <c r="S118" s="15"/>
      <c r="T118" s="15"/>
      <c r="U118" s="15"/>
      <c r="V118" s="15"/>
      <c r="W118" s="15"/>
      <c r="X118" s="15"/>
      <c r="Y118" s="15"/>
      <c r="Z118" s="15"/>
      <c r="AA118" s="15"/>
      <c r="AB118" s="15"/>
      <c r="AC118" s="15"/>
      <c r="AD118" s="15"/>
      <c r="AE118" s="15"/>
      <c r="AF118" s="15"/>
      <c r="AG118" s="15"/>
      <c r="AH118" s="15"/>
      <c r="AI118" s="15"/>
      <c r="AJ118" s="15"/>
    </row>
    <row r="119" ht="15.75" hidden="1" customHeight="1">
      <c r="A119" s="11" t="s">
        <v>398</v>
      </c>
      <c r="B119" s="11" t="s">
        <v>187</v>
      </c>
      <c r="C119" s="12" t="s">
        <v>540</v>
      </c>
      <c r="D119" s="13"/>
      <c r="E119" s="25" t="s">
        <v>96</v>
      </c>
      <c r="F119" s="21"/>
      <c r="G119" s="21"/>
      <c r="H119" s="39"/>
      <c r="I119" s="40" t="s">
        <v>27</v>
      </c>
      <c r="J119" s="25" t="s">
        <v>498</v>
      </c>
      <c r="K119" s="54"/>
      <c r="L119" s="40"/>
      <c r="M119" s="39"/>
      <c r="N119" s="39"/>
      <c r="O119" s="39"/>
      <c r="P119" s="39"/>
      <c r="Q119" s="39" t="s">
        <v>541</v>
      </c>
      <c r="R119" s="39"/>
      <c r="S119" s="39"/>
      <c r="T119" s="39"/>
      <c r="U119" s="39"/>
      <c r="V119" s="39"/>
      <c r="W119" s="39"/>
      <c r="X119" s="39"/>
      <c r="Y119" s="39"/>
      <c r="Z119" s="39"/>
      <c r="AA119" s="39"/>
      <c r="AB119" s="39"/>
      <c r="AC119" s="39"/>
      <c r="AD119" s="39"/>
      <c r="AE119" s="39"/>
      <c r="AF119" s="39"/>
      <c r="AG119" s="39"/>
      <c r="AH119" s="39"/>
      <c r="AI119" s="39"/>
      <c r="AJ119" s="13"/>
    </row>
    <row r="120" ht="15.75" hidden="1" customHeight="1">
      <c r="A120" s="7" t="s">
        <v>398</v>
      </c>
      <c r="B120" s="7" t="s">
        <v>399</v>
      </c>
      <c r="C120" s="8" t="s">
        <v>542</v>
      </c>
      <c r="D120" s="9" t="s">
        <v>543</v>
      </c>
      <c r="E120" s="10" t="s">
        <v>49</v>
      </c>
      <c r="F120" s="15"/>
      <c r="G120" s="7" t="s">
        <v>544</v>
      </c>
      <c r="H120" s="43"/>
      <c r="I120" s="44"/>
      <c r="J120" s="10" t="s">
        <v>399</v>
      </c>
      <c r="K120" s="45" t="s">
        <v>545</v>
      </c>
      <c r="L120" s="44"/>
      <c r="M120" s="43"/>
      <c r="N120" s="43"/>
      <c r="O120" s="43"/>
      <c r="P120" s="43"/>
      <c r="Q120" s="43"/>
      <c r="R120" s="43"/>
      <c r="S120" s="43"/>
      <c r="T120" s="43"/>
      <c r="U120" s="43"/>
      <c r="V120" s="43"/>
      <c r="W120" s="43"/>
      <c r="X120" s="43"/>
      <c r="Y120" s="43"/>
      <c r="Z120" s="43"/>
      <c r="AA120" s="43"/>
      <c r="AB120" s="43"/>
      <c r="AC120" s="43"/>
      <c r="AD120" s="43"/>
      <c r="AE120" s="43"/>
      <c r="AF120" s="43"/>
      <c r="AG120" s="43"/>
      <c r="AH120" s="43"/>
      <c r="AI120" s="43"/>
      <c r="AJ120" s="43"/>
    </row>
    <row r="121" ht="15.75" hidden="1" customHeight="1">
      <c r="A121" s="11" t="s">
        <v>398</v>
      </c>
      <c r="B121" s="11" t="s">
        <v>399</v>
      </c>
      <c r="C121" s="12" t="s">
        <v>546</v>
      </c>
      <c r="D121" s="13"/>
      <c r="E121" s="25" t="s">
        <v>49</v>
      </c>
      <c r="F121" s="21"/>
      <c r="G121" s="11" t="s">
        <v>547</v>
      </c>
      <c r="H121" s="39"/>
      <c r="I121" s="40" t="s">
        <v>27</v>
      </c>
      <c r="J121" s="25"/>
      <c r="K121" s="54" t="s">
        <v>548</v>
      </c>
      <c r="L121" s="40"/>
      <c r="M121" s="39"/>
      <c r="N121" s="39"/>
      <c r="O121" s="39"/>
      <c r="P121" s="39" t="s">
        <v>549</v>
      </c>
      <c r="Q121" s="39"/>
      <c r="R121" s="39"/>
      <c r="S121" s="39"/>
      <c r="T121" s="39"/>
      <c r="U121" s="39"/>
      <c r="V121" s="39"/>
      <c r="W121" s="39"/>
      <c r="X121" s="39"/>
      <c r="Y121" s="39"/>
      <c r="Z121" s="39"/>
      <c r="AA121" s="39"/>
      <c r="AB121" s="39"/>
      <c r="AC121" s="39"/>
      <c r="AD121" s="39"/>
      <c r="AE121" s="39"/>
      <c r="AF121" s="39"/>
      <c r="AG121" s="39"/>
      <c r="AH121" s="39"/>
      <c r="AI121" s="39"/>
      <c r="AJ121" s="39"/>
    </row>
    <row r="122" ht="15.75" hidden="1" customHeight="1">
      <c r="A122" s="7" t="s">
        <v>398</v>
      </c>
      <c r="B122" s="7" t="s">
        <v>550</v>
      </c>
      <c r="C122" s="8" t="s">
        <v>551</v>
      </c>
      <c r="D122" s="9"/>
      <c r="E122" s="10" t="s">
        <v>96</v>
      </c>
      <c r="F122" s="10"/>
      <c r="G122" s="10" t="s">
        <v>552</v>
      </c>
      <c r="H122" s="43"/>
      <c r="I122" s="10" t="s">
        <v>151</v>
      </c>
      <c r="J122" s="10" t="s">
        <v>498</v>
      </c>
      <c r="K122" s="45"/>
      <c r="L122" s="44"/>
      <c r="M122" s="43"/>
      <c r="N122" s="43"/>
      <c r="O122" s="43"/>
      <c r="P122" s="43"/>
      <c r="Q122" s="43" t="s">
        <v>553</v>
      </c>
      <c r="R122" s="43"/>
      <c r="S122" s="43"/>
      <c r="T122" s="43"/>
      <c r="U122" s="43"/>
      <c r="V122" s="43"/>
      <c r="W122" s="43"/>
      <c r="X122" s="43"/>
      <c r="Y122" s="43"/>
      <c r="Z122" s="43"/>
      <c r="AA122" s="43"/>
      <c r="AB122" s="43"/>
      <c r="AC122" s="43"/>
      <c r="AD122" s="43"/>
      <c r="AE122" s="43"/>
      <c r="AF122" s="43"/>
      <c r="AG122" s="43"/>
      <c r="AH122" s="43"/>
      <c r="AI122" s="43"/>
      <c r="AJ122" s="43"/>
    </row>
    <row r="123" ht="15.75" customHeight="1">
      <c r="A123" s="11" t="s">
        <v>398</v>
      </c>
      <c r="B123" s="11" t="s">
        <v>513</v>
      </c>
      <c r="C123" s="12" t="s">
        <v>554</v>
      </c>
      <c r="D123" s="13" t="s">
        <v>555</v>
      </c>
      <c r="E123" s="25" t="s">
        <v>96</v>
      </c>
      <c r="F123" s="21"/>
      <c r="G123" s="56" t="s">
        <v>515</v>
      </c>
      <c r="H123" s="21"/>
      <c r="I123" s="21" t="s">
        <v>51</v>
      </c>
      <c r="J123" s="25" t="s">
        <v>28</v>
      </c>
      <c r="K123" s="13" t="s">
        <v>556</v>
      </c>
      <c r="L123" s="25"/>
      <c r="M123" s="21"/>
      <c r="N123" s="21" t="s">
        <v>557</v>
      </c>
      <c r="O123" s="21"/>
      <c r="P123" s="21"/>
      <c r="Q123" s="38" t="s">
        <v>558</v>
      </c>
      <c r="R123" s="21"/>
      <c r="S123" s="21"/>
      <c r="T123" s="21"/>
      <c r="U123" s="21"/>
      <c r="V123" s="21"/>
      <c r="W123" s="21"/>
      <c r="X123" s="21"/>
      <c r="Y123" s="21"/>
      <c r="Z123" s="21"/>
      <c r="AA123" s="21"/>
      <c r="AB123" s="21"/>
      <c r="AC123" s="21"/>
      <c r="AD123" s="21"/>
      <c r="AE123" s="21"/>
      <c r="AF123" s="21"/>
      <c r="AG123" s="21"/>
      <c r="AH123" s="21"/>
      <c r="AI123" s="21"/>
      <c r="AJ123" s="21"/>
    </row>
    <row r="124" ht="15.75" hidden="1" customHeight="1">
      <c r="A124" s="7" t="s">
        <v>398</v>
      </c>
      <c r="B124" s="7" t="s">
        <v>399</v>
      </c>
      <c r="C124" s="8" t="s">
        <v>559</v>
      </c>
      <c r="D124" s="9" t="s">
        <v>560</v>
      </c>
      <c r="E124" s="10" t="s">
        <v>25</v>
      </c>
      <c r="F124" s="15"/>
      <c r="G124" s="29" t="s">
        <v>561</v>
      </c>
      <c r="H124" s="43" t="s">
        <v>39</v>
      </c>
      <c r="I124" s="43" t="s">
        <v>27</v>
      </c>
      <c r="J124" s="10" t="s">
        <v>498</v>
      </c>
      <c r="K124" s="45" t="s">
        <v>562</v>
      </c>
      <c r="L124" s="57" t="s">
        <v>563</v>
      </c>
      <c r="M124" s="43"/>
      <c r="N124" s="43"/>
      <c r="O124" s="43"/>
      <c r="P124" s="7" t="s">
        <v>323</v>
      </c>
      <c r="Q124" s="43"/>
      <c r="R124" s="43"/>
      <c r="S124" s="43"/>
      <c r="T124" s="43"/>
      <c r="U124" s="43"/>
      <c r="V124" s="43"/>
      <c r="W124" s="43"/>
      <c r="X124" s="43"/>
      <c r="Y124" s="43"/>
      <c r="Z124" s="43"/>
      <c r="AA124" s="43"/>
      <c r="AB124" s="43"/>
      <c r="AC124" s="43"/>
      <c r="AD124" s="43"/>
      <c r="AE124" s="43"/>
      <c r="AF124" s="43"/>
      <c r="AG124" s="43"/>
      <c r="AH124" s="43"/>
      <c r="AI124" s="43"/>
      <c r="AJ124" s="43"/>
    </row>
    <row r="125" ht="15.75" hidden="1" customHeight="1">
      <c r="A125" s="11" t="s">
        <v>398</v>
      </c>
      <c r="B125" s="11" t="s">
        <v>399</v>
      </c>
      <c r="C125" s="12" t="s">
        <v>564</v>
      </c>
      <c r="D125" s="13" t="s">
        <v>565</v>
      </c>
      <c r="E125" s="11" t="s">
        <v>49</v>
      </c>
      <c r="F125" s="30" t="s">
        <v>566</v>
      </c>
      <c r="G125" s="11" t="s">
        <v>427</v>
      </c>
      <c r="H125" s="11"/>
      <c r="I125" s="11" t="s">
        <v>151</v>
      </c>
      <c r="J125" s="11" t="s">
        <v>567</v>
      </c>
      <c r="K125" s="13" t="s">
        <v>568</v>
      </c>
      <c r="L125" s="11"/>
      <c r="M125" s="47" t="s">
        <v>569</v>
      </c>
      <c r="N125" s="11"/>
      <c r="O125" s="58"/>
      <c r="P125" s="11" t="s">
        <v>323</v>
      </c>
      <c r="Q125" s="11" t="s">
        <v>570</v>
      </c>
      <c r="R125" s="13"/>
      <c r="S125" s="13"/>
      <c r="T125" s="11"/>
      <c r="U125" s="13"/>
      <c r="V125" s="13"/>
      <c r="W125" s="13"/>
      <c r="X125" s="13"/>
      <c r="Y125" s="13"/>
      <c r="Z125" s="13"/>
      <c r="AA125" s="13"/>
      <c r="AB125" s="13"/>
      <c r="AC125" s="13"/>
      <c r="AD125" s="13"/>
      <c r="AE125" s="13"/>
      <c r="AF125" s="13"/>
      <c r="AG125" s="13"/>
      <c r="AH125" s="13"/>
      <c r="AI125" s="13"/>
      <c r="AJ125" s="11"/>
    </row>
    <row r="126" ht="15.75" hidden="1" customHeight="1">
      <c r="A126" s="7" t="s">
        <v>398</v>
      </c>
      <c r="B126" s="7" t="s">
        <v>399</v>
      </c>
      <c r="C126" s="8" t="s">
        <v>571</v>
      </c>
      <c r="D126" s="9" t="s">
        <v>572</v>
      </c>
      <c r="E126" s="7" t="s">
        <v>49</v>
      </c>
      <c r="F126" s="28" t="s">
        <v>566</v>
      </c>
      <c r="G126" s="7" t="s">
        <v>544</v>
      </c>
      <c r="H126" s="7"/>
      <c r="I126" s="7" t="s">
        <v>151</v>
      </c>
      <c r="J126" s="7" t="s">
        <v>567</v>
      </c>
      <c r="K126" s="9"/>
      <c r="L126" s="7"/>
      <c r="M126" s="50" t="s">
        <v>569</v>
      </c>
      <c r="N126" s="7"/>
      <c r="O126" s="22"/>
      <c r="P126" s="7" t="s">
        <v>323</v>
      </c>
      <c r="Q126" s="7" t="s">
        <v>570</v>
      </c>
      <c r="R126" s="9"/>
      <c r="S126" s="9"/>
      <c r="T126" s="7"/>
      <c r="U126" s="9"/>
      <c r="V126" s="9"/>
      <c r="W126" s="9"/>
      <c r="X126" s="9"/>
      <c r="Y126" s="9"/>
      <c r="Z126" s="9"/>
      <c r="AA126" s="9"/>
      <c r="AB126" s="9"/>
      <c r="AC126" s="9"/>
      <c r="AD126" s="9"/>
      <c r="AE126" s="9"/>
      <c r="AF126" s="9"/>
      <c r="AG126" s="9"/>
      <c r="AH126" s="9"/>
      <c r="AI126" s="9"/>
      <c r="AJ126" s="17"/>
    </row>
    <row r="127" ht="15.75" hidden="1" customHeight="1">
      <c r="A127" s="11" t="s">
        <v>398</v>
      </c>
      <c r="B127" s="11" t="s">
        <v>399</v>
      </c>
      <c r="C127" s="12" t="s">
        <v>573</v>
      </c>
      <c r="D127" s="13" t="s">
        <v>574</v>
      </c>
      <c r="E127" s="11" t="s">
        <v>49</v>
      </c>
      <c r="F127" s="30" t="s">
        <v>575</v>
      </c>
      <c r="G127" s="11" t="s">
        <v>544</v>
      </c>
      <c r="H127" s="11"/>
      <c r="I127" s="11" t="s">
        <v>151</v>
      </c>
      <c r="J127" s="11" t="s">
        <v>567</v>
      </c>
      <c r="K127" s="13"/>
      <c r="L127" s="11"/>
      <c r="M127" s="47" t="s">
        <v>569</v>
      </c>
      <c r="N127" s="11"/>
      <c r="O127" s="58"/>
      <c r="P127" s="11" t="s">
        <v>323</v>
      </c>
      <c r="Q127" s="11" t="s">
        <v>576</v>
      </c>
      <c r="R127" s="13"/>
      <c r="S127" s="13"/>
      <c r="T127" s="11"/>
      <c r="U127" s="13"/>
      <c r="V127" s="13"/>
      <c r="W127" s="13"/>
      <c r="X127" s="13"/>
      <c r="Y127" s="13"/>
      <c r="Z127" s="13"/>
      <c r="AA127" s="13"/>
      <c r="AB127" s="13"/>
      <c r="AC127" s="13"/>
      <c r="AD127" s="13"/>
      <c r="AE127" s="13"/>
      <c r="AF127" s="13"/>
      <c r="AG127" s="13"/>
      <c r="AH127" s="13"/>
      <c r="AI127" s="13"/>
      <c r="AJ127" s="11"/>
    </row>
    <row r="128" ht="15.75" hidden="1" customHeight="1">
      <c r="A128" s="7" t="s">
        <v>398</v>
      </c>
      <c r="B128" s="7" t="s">
        <v>399</v>
      </c>
      <c r="C128" s="8" t="s">
        <v>577</v>
      </c>
      <c r="D128" s="9" t="s">
        <v>578</v>
      </c>
      <c r="E128" s="10" t="s">
        <v>49</v>
      </c>
      <c r="F128" s="15" t="s">
        <v>579</v>
      </c>
      <c r="G128" s="29" t="s">
        <v>506</v>
      </c>
      <c r="H128" s="43"/>
      <c r="I128" s="43"/>
      <c r="J128" s="10" t="s">
        <v>416</v>
      </c>
      <c r="K128" s="45" t="s">
        <v>580</v>
      </c>
      <c r="L128" s="44"/>
      <c r="M128" s="43"/>
      <c r="N128" s="43"/>
      <c r="O128" s="43"/>
      <c r="P128" s="43" t="s">
        <v>496</v>
      </c>
      <c r="Q128" s="43"/>
      <c r="R128" s="43"/>
      <c r="S128" s="43"/>
      <c r="T128" s="43"/>
      <c r="U128" s="43"/>
      <c r="V128" s="43"/>
      <c r="W128" s="43"/>
      <c r="X128" s="43"/>
      <c r="Y128" s="43"/>
      <c r="Z128" s="43"/>
      <c r="AA128" s="43"/>
      <c r="AB128" s="43"/>
      <c r="AC128" s="43"/>
      <c r="AD128" s="43"/>
      <c r="AE128" s="43"/>
      <c r="AF128" s="43"/>
      <c r="AG128" s="43"/>
      <c r="AH128" s="43"/>
      <c r="AI128" s="43"/>
      <c r="AJ128" s="9"/>
    </row>
    <row r="129" ht="15.75" hidden="1" customHeight="1">
      <c r="A129" s="11" t="s">
        <v>398</v>
      </c>
      <c r="B129" s="11" t="s">
        <v>399</v>
      </c>
      <c r="C129" s="12" t="s">
        <v>581</v>
      </c>
      <c r="D129" s="12" t="s">
        <v>582</v>
      </c>
      <c r="E129" s="11" t="s">
        <v>49</v>
      </c>
      <c r="F129" s="30" t="s">
        <v>566</v>
      </c>
      <c r="G129" s="11" t="s">
        <v>427</v>
      </c>
      <c r="H129" s="11"/>
      <c r="I129" s="11" t="s">
        <v>151</v>
      </c>
      <c r="J129" s="11" t="s">
        <v>498</v>
      </c>
      <c r="K129" s="12" t="s">
        <v>583</v>
      </c>
      <c r="L129" s="11"/>
      <c r="M129" s="47" t="s">
        <v>569</v>
      </c>
      <c r="N129" s="11"/>
      <c r="O129" s="21"/>
      <c r="P129" s="11" t="s">
        <v>323</v>
      </c>
      <c r="Q129" s="11" t="s">
        <v>570</v>
      </c>
      <c r="R129" s="11"/>
      <c r="S129" s="13"/>
      <c r="T129" s="11"/>
      <c r="U129" s="13"/>
      <c r="V129" s="13"/>
      <c r="W129" s="13"/>
      <c r="X129" s="13"/>
      <c r="Y129" s="13"/>
      <c r="Z129" s="13"/>
      <c r="AA129" s="13"/>
      <c r="AB129" s="13"/>
      <c r="AC129" s="13"/>
      <c r="AD129" s="13"/>
      <c r="AE129" s="13"/>
      <c r="AF129" s="13"/>
      <c r="AG129" s="13"/>
      <c r="AH129" s="13"/>
      <c r="AI129" s="13"/>
      <c r="AJ129" s="21"/>
    </row>
    <row r="130" ht="15.75" hidden="1" customHeight="1">
      <c r="A130" s="7" t="s">
        <v>398</v>
      </c>
      <c r="B130" s="7" t="s">
        <v>399</v>
      </c>
      <c r="C130" s="8" t="s">
        <v>584</v>
      </c>
      <c r="D130" s="9" t="s">
        <v>585</v>
      </c>
      <c r="E130" s="10" t="s">
        <v>49</v>
      </c>
      <c r="F130" s="15" t="s">
        <v>579</v>
      </c>
      <c r="G130" s="15" t="s">
        <v>455</v>
      </c>
      <c r="H130" s="43"/>
      <c r="I130" s="43"/>
      <c r="J130" s="10" t="s">
        <v>498</v>
      </c>
      <c r="K130" s="45"/>
      <c r="L130" s="44"/>
      <c r="M130" s="43"/>
      <c r="N130" s="43"/>
      <c r="O130" s="43"/>
      <c r="P130" s="43" t="s">
        <v>496</v>
      </c>
      <c r="Q130" s="43"/>
      <c r="R130" s="43"/>
      <c r="S130" s="43"/>
      <c r="T130" s="43"/>
      <c r="U130" s="43"/>
      <c r="V130" s="43"/>
      <c r="W130" s="43"/>
      <c r="X130" s="43"/>
      <c r="Y130" s="43"/>
      <c r="Z130" s="43"/>
      <c r="AA130" s="43"/>
      <c r="AB130" s="43"/>
      <c r="AC130" s="43"/>
      <c r="AD130" s="43"/>
      <c r="AE130" s="43"/>
      <c r="AF130" s="43"/>
      <c r="AG130" s="43"/>
      <c r="AH130" s="43"/>
      <c r="AI130" s="43"/>
      <c r="AJ130" s="9"/>
    </row>
    <row r="131" ht="15.75" hidden="1" customHeight="1">
      <c r="A131" s="11" t="s">
        <v>398</v>
      </c>
      <c r="B131" s="25" t="s">
        <v>513</v>
      </c>
      <c r="C131" s="12" t="s">
        <v>586</v>
      </c>
      <c r="D131" s="13"/>
      <c r="E131" s="25" t="s">
        <v>49</v>
      </c>
      <c r="F131" s="38" t="s">
        <v>558</v>
      </c>
      <c r="G131" s="25"/>
      <c r="H131" s="21"/>
      <c r="I131" s="21" t="s">
        <v>151</v>
      </c>
      <c r="J131" s="25" t="s">
        <v>513</v>
      </c>
      <c r="K131" s="13"/>
      <c r="L131" s="25"/>
      <c r="M131" s="21"/>
      <c r="N131" s="21"/>
      <c r="O131" s="21"/>
      <c r="P131" s="21"/>
      <c r="Q131" s="38" t="s">
        <v>587</v>
      </c>
      <c r="R131" s="21"/>
      <c r="S131" s="21"/>
      <c r="T131" s="21"/>
      <c r="U131" s="21"/>
      <c r="V131" s="21"/>
      <c r="W131" s="21"/>
      <c r="X131" s="21"/>
      <c r="Y131" s="21"/>
      <c r="Z131" s="21"/>
      <c r="AA131" s="21"/>
      <c r="AB131" s="21"/>
      <c r="AC131" s="21"/>
      <c r="AD131" s="21"/>
      <c r="AE131" s="21"/>
      <c r="AF131" s="21"/>
      <c r="AG131" s="21"/>
      <c r="AH131" s="21"/>
      <c r="AI131" s="21"/>
      <c r="AJ131" s="21"/>
    </row>
    <row r="132" ht="15.75" hidden="1" customHeight="1">
      <c r="A132" s="7" t="s">
        <v>398</v>
      </c>
      <c r="B132" s="10" t="s">
        <v>513</v>
      </c>
      <c r="C132" s="8" t="s">
        <v>588</v>
      </c>
      <c r="D132" s="9"/>
      <c r="E132" s="10" t="s">
        <v>49</v>
      </c>
      <c r="F132" s="15"/>
      <c r="G132" s="7"/>
      <c r="H132" s="15"/>
      <c r="I132" s="15"/>
      <c r="J132" s="10" t="s">
        <v>513</v>
      </c>
      <c r="K132" s="9" t="s">
        <v>589</v>
      </c>
      <c r="L132" s="10"/>
      <c r="M132" s="15"/>
      <c r="N132" s="15"/>
      <c r="O132" s="15" t="s">
        <v>590</v>
      </c>
      <c r="P132" s="15"/>
      <c r="Q132" s="15"/>
      <c r="R132" s="15"/>
      <c r="S132" s="15"/>
      <c r="T132" s="15"/>
      <c r="U132" s="15"/>
      <c r="V132" s="15"/>
      <c r="W132" s="15"/>
      <c r="X132" s="15"/>
      <c r="Y132" s="15"/>
      <c r="Z132" s="15"/>
      <c r="AA132" s="15"/>
      <c r="AB132" s="15"/>
      <c r="AC132" s="15"/>
      <c r="AD132" s="15"/>
      <c r="AE132" s="15"/>
      <c r="AF132" s="15"/>
      <c r="AG132" s="15"/>
      <c r="AH132" s="15"/>
      <c r="AI132" s="15"/>
      <c r="AJ132" s="15"/>
    </row>
    <row r="133" ht="15.75" hidden="1" customHeight="1">
      <c r="A133" s="11" t="s">
        <v>398</v>
      </c>
      <c r="B133" s="11" t="s">
        <v>399</v>
      </c>
      <c r="C133" s="12" t="s">
        <v>591</v>
      </c>
      <c r="D133" s="12" t="s">
        <v>592</v>
      </c>
      <c r="E133" s="11" t="s">
        <v>49</v>
      </c>
      <c r="F133" s="11"/>
      <c r="G133" s="11" t="s">
        <v>593</v>
      </c>
      <c r="H133" s="11" t="s">
        <v>161</v>
      </c>
      <c r="I133" s="11" t="s">
        <v>151</v>
      </c>
      <c r="J133" s="11" t="s">
        <v>594</v>
      </c>
      <c r="K133" s="12" t="s">
        <v>595</v>
      </c>
      <c r="L133" s="11"/>
      <c r="M133" s="47" t="s">
        <v>569</v>
      </c>
      <c r="N133" s="11"/>
      <c r="O133" s="59" t="s">
        <v>596</v>
      </c>
      <c r="P133" s="11" t="s">
        <v>323</v>
      </c>
      <c r="Q133" s="11" t="s">
        <v>161</v>
      </c>
      <c r="R133" s="11" t="s">
        <v>167</v>
      </c>
      <c r="S133" s="13"/>
      <c r="T133" s="13"/>
      <c r="U133" s="13"/>
      <c r="V133" s="13"/>
      <c r="W133" s="13"/>
      <c r="X133" s="13"/>
      <c r="Y133" s="13"/>
      <c r="Z133" s="13"/>
      <c r="AA133" s="13"/>
      <c r="AB133" s="13"/>
      <c r="AC133" s="13"/>
      <c r="AD133" s="13"/>
      <c r="AE133" s="13"/>
      <c r="AF133" s="13"/>
      <c r="AG133" s="13"/>
      <c r="AH133" s="13"/>
      <c r="AI133" s="13"/>
      <c r="AJ133" s="39"/>
    </row>
    <row r="134" ht="15.75" hidden="1" customHeight="1">
      <c r="A134" s="7" t="s">
        <v>398</v>
      </c>
      <c r="B134" s="7" t="s">
        <v>399</v>
      </c>
      <c r="C134" s="8" t="s">
        <v>597</v>
      </c>
      <c r="D134" s="9" t="s">
        <v>598</v>
      </c>
      <c r="E134" s="7" t="s">
        <v>49</v>
      </c>
      <c r="F134" s="49" t="s">
        <v>566</v>
      </c>
      <c r="G134" s="7" t="s">
        <v>427</v>
      </c>
      <c r="H134" s="17"/>
      <c r="I134" s="50" t="s">
        <v>151</v>
      </c>
      <c r="J134" s="7" t="s">
        <v>465</v>
      </c>
      <c r="K134" s="33" t="s">
        <v>599</v>
      </c>
      <c r="L134" s="51"/>
      <c r="M134" s="50" t="s">
        <v>569</v>
      </c>
      <c r="N134" s="50"/>
      <c r="O134" s="17"/>
      <c r="P134" s="50" t="s">
        <v>323</v>
      </c>
      <c r="Q134" s="50" t="s">
        <v>161</v>
      </c>
      <c r="R134" s="17"/>
      <c r="S134" s="17"/>
      <c r="T134" s="17"/>
      <c r="U134" s="17"/>
      <c r="V134" s="17"/>
      <c r="W134" s="17"/>
      <c r="X134" s="17"/>
      <c r="Y134" s="17"/>
      <c r="Z134" s="17"/>
      <c r="AA134" s="17"/>
      <c r="AB134" s="17"/>
      <c r="AC134" s="17"/>
      <c r="AD134" s="17"/>
      <c r="AE134" s="17"/>
      <c r="AF134" s="17"/>
      <c r="AG134" s="17"/>
      <c r="AH134" s="17"/>
      <c r="AI134" s="17"/>
      <c r="AJ134" s="43"/>
    </row>
    <row r="135" ht="15.75" hidden="1" customHeight="1">
      <c r="A135" s="11" t="s">
        <v>398</v>
      </c>
      <c r="B135" s="11" t="s">
        <v>399</v>
      </c>
      <c r="C135" s="12" t="s">
        <v>600</v>
      </c>
      <c r="D135" s="13" t="s">
        <v>601</v>
      </c>
      <c r="E135" s="11" t="s">
        <v>49</v>
      </c>
      <c r="F135" s="30" t="s">
        <v>566</v>
      </c>
      <c r="G135" s="11" t="s">
        <v>427</v>
      </c>
      <c r="H135" s="13"/>
      <c r="I135" s="11" t="s">
        <v>151</v>
      </c>
      <c r="J135" s="11" t="s">
        <v>465</v>
      </c>
      <c r="K135" s="12" t="s">
        <v>602</v>
      </c>
      <c r="L135" s="11"/>
      <c r="M135" s="47" t="s">
        <v>569</v>
      </c>
      <c r="N135" s="11"/>
      <c r="O135" s="12"/>
      <c r="P135" s="11" t="s">
        <v>323</v>
      </c>
      <c r="Q135" s="11" t="s">
        <v>161</v>
      </c>
      <c r="R135" s="13"/>
      <c r="S135" s="11"/>
      <c r="T135" s="11"/>
      <c r="U135" s="11"/>
      <c r="V135" s="11"/>
      <c r="W135" s="11"/>
      <c r="X135" s="11"/>
      <c r="Y135" s="11"/>
      <c r="Z135" s="11"/>
      <c r="AA135" s="11"/>
      <c r="AB135" s="11"/>
      <c r="AC135" s="11"/>
      <c r="AD135" s="11"/>
      <c r="AE135" s="11"/>
      <c r="AF135" s="11"/>
      <c r="AG135" s="11"/>
      <c r="AH135" s="11"/>
      <c r="AI135" s="11"/>
      <c r="AJ135" s="39"/>
    </row>
    <row r="136" ht="15.75" hidden="1" customHeight="1">
      <c r="A136" s="7" t="s">
        <v>398</v>
      </c>
      <c r="B136" s="7" t="s">
        <v>399</v>
      </c>
      <c r="C136" s="8" t="s">
        <v>603</v>
      </c>
      <c r="D136" s="9" t="s">
        <v>604</v>
      </c>
      <c r="E136" s="7" t="s">
        <v>49</v>
      </c>
      <c r="F136" s="28" t="s">
        <v>566</v>
      </c>
      <c r="G136" s="7" t="s">
        <v>427</v>
      </c>
      <c r="H136" s="9"/>
      <c r="I136" s="7" t="s">
        <v>151</v>
      </c>
      <c r="J136" s="7" t="s">
        <v>465</v>
      </c>
      <c r="K136" s="33" t="s">
        <v>602</v>
      </c>
      <c r="L136" s="7"/>
      <c r="M136" s="50" t="s">
        <v>569</v>
      </c>
      <c r="N136" s="7"/>
      <c r="O136" s="8"/>
      <c r="P136" s="7" t="s">
        <v>323</v>
      </c>
      <c r="Q136" s="7" t="s">
        <v>161</v>
      </c>
      <c r="R136" s="9"/>
      <c r="S136" s="7"/>
      <c r="T136" s="7"/>
      <c r="U136" s="7"/>
      <c r="V136" s="7"/>
      <c r="W136" s="7"/>
      <c r="X136" s="7"/>
      <c r="Y136" s="7"/>
      <c r="Z136" s="7"/>
      <c r="AA136" s="7"/>
      <c r="AB136" s="7"/>
      <c r="AC136" s="7"/>
      <c r="AD136" s="7"/>
      <c r="AE136" s="7"/>
      <c r="AF136" s="7"/>
      <c r="AG136" s="7"/>
      <c r="AH136" s="7"/>
      <c r="AI136" s="7"/>
      <c r="AJ136" s="43"/>
    </row>
    <row r="137" ht="15.75" hidden="1" customHeight="1">
      <c r="A137" s="11" t="s">
        <v>398</v>
      </c>
      <c r="B137" s="11" t="s">
        <v>399</v>
      </c>
      <c r="C137" s="12" t="s">
        <v>605</v>
      </c>
      <c r="D137" s="13" t="s">
        <v>606</v>
      </c>
      <c r="E137" s="11" t="s">
        <v>49</v>
      </c>
      <c r="F137" s="46" t="s">
        <v>566</v>
      </c>
      <c r="G137" s="11" t="s">
        <v>427</v>
      </c>
      <c r="H137" s="19"/>
      <c r="I137" s="47" t="s">
        <v>151</v>
      </c>
      <c r="J137" s="11" t="s">
        <v>465</v>
      </c>
      <c r="K137" s="34"/>
      <c r="L137" s="48"/>
      <c r="M137" s="47" t="s">
        <v>569</v>
      </c>
      <c r="N137" s="47"/>
      <c r="O137" s="19"/>
      <c r="P137" s="47" t="s">
        <v>323</v>
      </c>
      <c r="Q137" s="47" t="s">
        <v>161</v>
      </c>
      <c r="R137" s="19"/>
      <c r="S137" s="19"/>
      <c r="T137" s="19"/>
      <c r="U137" s="19"/>
      <c r="V137" s="19"/>
      <c r="W137" s="19"/>
      <c r="X137" s="19"/>
      <c r="Y137" s="19"/>
      <c r="Z137" s="19"/>
      <c r="AA137" s="19"/>
      <c r="AB137" s="19"/>
      <c r="AC137" s="19"/>
      <c r="AD137" s="19"/>
      <c r="AE137" s="19"/>
      <c r="AF137" s="19"/>
      <c r="AG137" s="19"/>
      <c r="AH137" s="19"/>
      <c r="AI137" s="19"/>
      <c r="AJ137" s="39"/>
    </row>
    <row r="138" ht="15.75" hidden="1" customHeight="1">
      <c r="A138" s="7" t="s">
        <v>398</v>
      </c>
      <c r="B138" s="7" t="s">
        <v>399</v>
      </c>
      <c r="C138" s="8" t="s">
        <v>607</v>
      </c>
      <c r="D138" s="9" t="s">
        <v>608</v>
      </c>
      <c r="E138" s="10" t="s">
        <v>49</v>
      </c>
      <c r="F138" s="60" t="s">
        <v>609</v>
      </c>
      <c r="G138" s="29" t="s">
        <v>610</v>
      </c>
      <c r="H138" s="43"/>
      <c r="I138" s="43"/>
      <c r="J138" s="10" t="s">
        <v>611</v>
      </c>
      <c r="K138" s="45"/>
      <c r="L138" s="44"/>
      <c r="M138" s="43"/>
      <c r="N138" s="43"/>
      <c r="O138" s="43"/>
      <c r="P138" s="43" t="s">
        <v>496</v>
      </c>
      <c r="Q138" s="43"/>
      <c r="R138" s="43"/>
      <c r="S138" s="43"/>
      <c r="T138" s="43"/>
      <c r="U138" s="43"/>
      <c r="V138" s="43"/>
      <c r="W138" s="43"/>
      <c r="X138" s="43"/>
      <c r="Y138" s="43"/>
      <c r="Z138" s="43"/>
      <c r="AA138" s="43"/>
      <c r="AB138" s="43"/>
      <c r="AC138" s="43"/>
      <c r="AD138" s="43"/>
      <c r="AE138" s="43"/>
      <c r="AF138" s="43"/>
      <c r="AG138" s="43"/>
      <c r="AH138" s="43"/>
      <c r="AI138" s="43"/>
      <c r="AJ138" s="9"/>
    </row>
    <row r="139" ht="15.75" hidden="1" customHeight="1">
      <c r="A139" s="11" t="s">
        <v>398</v>
      </c>
      <c r="B139" s="11" t="s">
        <v>399</v>
      </c>
      <c r="C139" s="12" t="s">
        <v>612</v>
      </c>
      <c r="D139" s="13" t="s">
        <v>613</v>
      </c>
      <c r="E139" s="11" t="s">
        <v>49</v>
      </c>
      <c r="F139" s="61" t="s">
        <v>614</v>
      </c>
      <c r="G139" s="11" t="s">
        <v>427</v>
      </c>
      <c r="H139" s="21"/>
      <c r="I139" s="11" t="s">
        <v>151</v>
      </c>
      <c r="J139" s="11" t="s">
        <v>615</v>
      </c>
      <c r="K139" s="13" t="s">
        <v>616</v>
      </c>
      <c r="L139" s="25"/>
      <c r="M139" s="11"/>
      <c r="N139" s="11"/>
      <c r="O139" s="21"/>
      <c r="P139" s="11" t="s">
        <v>617</v>
      </c>
      <c r="Q139" s="11" t="s">
        <v>451</v>
      </c>
      <c r="R139" s="21"/>
      <c r="S139" s="21"/>
      <c r="T139" s="21"/>
      <c r="U139" s="21"/>
      <c r="V139" s="21"/>
      <c r="W139" s="21"/>
      <c r="X139" s="21"/>
      <c r="Y139" s="21"/>
      <c r="Z139" s="21"/>
      <c r="AA139" s="21"/>
      <c r="AB139" s="21"/>
      <c r="AC139" s="21"/>
      <c r="AD139" s="21"/>
      <c r="AE139" s="21"/>
      <c r="AF139" s="21"/>
      <c r="AG139" s="21"/>
      <c r="AH139" s="21"/>
      <c r="AI139" s="21"/>
      <c r="AJ139" s="39"/>
    </row>
    <row r="140" ht="15.75" hidden="1" customHeight="1">
      <c r="A140" s="7" t="s">
        <v>618</v>
      </c>
      <c r="B140" s="7"/>
      <c r="C140" s="8" t="s">
        <v>619</v>
      </c>
      <c r="D140" s="8" t="s">
        <v>620</v>
      </c>
      <c r="E140" s="7" t="s">
        <v>49</v>
      </c>
      <c r="F140" s="28" t="s">
        <v>621</v>
      </c>
      <c r="G140" s="7" t="s">
        <v>622</v>
      </c>
      <c r="H140" s="7"/>
      <c r="I140" s="7" t="s">
        <v>151</v>
      </c>
      <c r="J140" s="7" t="s">
        <v>618</v>
      </c>
      <c r="K140" s="8" t="s">
        <v>623</v>
      </c>
      <c r="L140" s="8" t="s">
        <v>624</v>
      </c>
      <c r="M140" s="7"/>
      <c r="N140" s="7"/>
      <c r="O140" s="8"/>
      <c r="P140" s="7"/>
      <c r="Q140" s="7" t="s">
        <v>323</v>
      </c>
      <c r="R140" s="9"/>
      <c r="S140" s="9"/>
      <c r="T140" s="7"/>
      <c r="U140" s="9"/>
      <c r="V140" s="9"/>
      <c r="W140" s="9"/>
      <c r="X140" s="9"/>
      <c r="Y140" s="9"/>
      <c r="Z140" s="9"/>
      <c r="AA140" s="9"/>
      <c r="AB140" s="9"/>
      <c r="AC140" s="9"/>
      <c r="AD140" s="9"/>
      <c r="AE140" s="9"/>
      <c r="AF140" s="9"/>
      <c r="AG140" s="9"/>
      <c r="AH140" s="9"/>
      <c r="AI140" s="9"/>
      <c r="AJ140" s="9"/>
    </row>
    <row r="141" ht="15.75" hidden="1" customHeight="1">
      <c r="A141" s="11" t="s">
        <v>618</v>
      </c>
      <c r="B141" s="11"/>
      <c r="C141" s="12" t="s">
        <v>625</v>
      </c>
      <c r="D141" s="12" t="s">
        <v>626</v>
      </c>
      <c r="E141" s="11" t="s">
        <v>25</v>
      </c>
      <c r="F141" s="11"/>
      <c r="G141" s="11" t="s">
        <v>627</v>
      </c>
      <c r="H141" s="11"/>
      <c r="I141" s="11" t="s">
        <v>51</v>
      </c>
      <c r="J141" s="11" t="s">
        <v>628</v>
      </c>
      <c r="K141" s="12" t="s">
        <v>409</v>
      </c>
      <c r="L141" s="12" t="s">
        <v>629</v>
      </c>
      <c r="M141" s="11"/>
      <c r="N141" s="11"/>
      <c r="O141" s="12"/>
      <c r="P141" s="11" t="s">
        <v>323</v>
      </c>
      <c r="Q141" s="11" t="s">
        <v>161</v>
      </c>
      <c r="R141" s="13"/>
      <c r="S141" s="13"/>
      <c r="T141" s="11"/>
      <c r="U141" s="13"/>
      <c r="V141" s="13"/>
      <c r="W141" s="13"/>
      <c r="X141" s="13"/>
      <c r="Y141" s="13"/>
      <c r="Z141" s="13"/>
      <c r="AA141" s="13"/>
      <c r="AB141" s="13"/>
      <c r="AC141" s="13"/>
      <c r="AD141" s="13"/>
      <c r="AE141" s="13"/>
      <c r="AF141" s="13"/>
      <c r="AG141" s="13"/>
      <c r="AH141" s="13"/>
      <c r="AI141" s="13"/>
      <c r="AJ141" s="13"/>
    </row>
    <row r="142" ht="15.75" hidden="1" customHeight="1">
      <c r="A142" s="7" t="s">
        <v>618</v>
      </c>
      <c r="B142" s="7"/>
      <c r="C142" s="8" t="s">
        <v>630</v>
      </c>
      <c r="D142" s="8" t="s">
        <v>631</v>
      </c>
      <c r="E142" s="7" t="s">
        <v>25</v>
      </c>
      <c r="F142" s="7"/>
      <c r="G142" s="7" t="s">
        <v>627</v>
      </c>
      <c r="H142" s="7"/>
      <c r="I142" s="7" t="s">
        <v>51</v>
      </c>
      <c r="J142" s="7" t="s">
        <v>618</v>
      </c>
      <c r="K142" s="8"/>
      <c r="L142" s="8" t="s">
        <v>632</v>
      </c>
      <c r="M142" s="7"/>
      <c r="N142" s="7"/>
      <c r="O142" s="8"/>
      <c r="P142" s="7"/>
      <c r="Q142" s="7" t="s">
        <v>323</v>
      </c>
      <c r="R142" s="9"/>
      <c r="S142" s="9"/>
      <c r="T142" s="7"/>
      <c r="U142" s="9"/>
      <c r="V142" s="9"/>
      <c r="W142" s="9"/>
      <c r="X142" s="9"/>
      <c r="Y142" s="9"/>
      <c r="Z142" s="9"/>
      <c r="AA142" s="9"/>
      <c r="AB142" s="9"/>
      <c r="AC142" s="9"/>
      <c r="AD142" s="9"/>
      <c r="AE142" s="9"/>
      <c r="AF142" s="9"/>
      <c r="AG142" s="9"/>
      <c r="AH142" s="9"/>
      <c r="AI142" s="9"/>
      <c r="AJ142" s="9"/>
    </row>
    <row r="143" ht="15.75" hidden="1" customHeight="1">
      <c r="A143" s="11" t="s">
        <v>618</v>
      </c>
      <c r="B143" s="11"/>
      <c r="C143" s="12" t="s">
        <v>633</v>
      </c>
      <c r="D143" s="12" t="s">
        <v>634</v>
      </c>
      <c r="E143" s="11" t="s">
        <v>25</v>
      </c>
      <c r="F143" s="11"/>
      <c r="G143" s="11" t="s">
        <v>627</v>
      </c>
      <c r="H143" s="11"/>
      <c r="I143" s="11" t="s">
        <v>151</v>
      </c>
      <c r="J143" s="11" t="s">
        <v>396</v>
      </c>
      <c r="K143" s="12" t="s">
        <v>623</v>
      </c>
      <c r="L143" s="12" t="s">
        <v>635</v>
      </c>
      <c r="M143" s="11"/>
      <c r="N143" s="11"/>
      <c r="O143" s="12" t="s">
        <v>636</v>
      </c>
      <c r="P143" s="11" t="s">
        <v>318</v>
      </c>
      <c r="Q143" s="11" t="s">
        <v>318</v>
      </c>
      <c r="R143" s="13"/>
      <c r="S143" s="13"/>
      <c r="T143" s="11"/>
      <c r="U143" s="13"/>
      <c r="V143" s="13"/>
      <c r="W143" s="13"/>
      <c r="X143" s="13"/>
      <c r="Y143" s="13"/>
      <c r="Z143" s="13"/>
      <c r="AA143" s="13"/>
      <c r="AB143" s="13"/>
      <c r="AC143" s="13"/>
      <c r="AD143" s="13"/>
      <c r="AE143" s="13"/>
      <c r="AF143" s="13"/>
      <c r="AG143" s="13"/>
      <c r="AH143" s="13"/>
      <c r="AI143" s="13"/>
      <c r="AJ143" s="13"/>
    </row>
    <row r="144" ht="15.75" hidden="1" customHeight="1">
      <c r="A144" s="7" t="s">
        <v>618</v>
      </c>
      <c r="B144" s="7"/>
      <c r="C144" s="8" t="s">
        <v>637</v>
      </c>
      <c r="D144" s="8"/>
      <c r="E144" s="7" t="s">
        <v>25</v>
      </c>
      <c r="F144" s="7"/>
      <c r="G144" s="7" t="s">
        <v>638</v>
      </c>
      <c r="H144" s="7"/>
      <c r="I144" s="7" t="s">
        <v>151</v>
      </c>
      <c r="J144" s="7" t="s">
        <v>628</v>
      </c>
      <c r="K144" s="8"/>
      <c r="L144" s="8" t="s">
        <v>639</v>
      </c>
      <c r="M144" s="7"/>
      <c r="N144" s="7"/>
      <c r="O144" s="8"/>
      <c r="P144" s="7"/>
      <c r="Q144" s="7" t="s">
        <v>640</v>
      </c>
      <c r="R144" s="9"/>
      <c r="S144" s="9"/>
      <c r="T144" s="7"/>
      <c r="U144" s="9"/>
      <c r="V144" s="9"/>
      <c r="W144" s="9"/>
      <c r="X144" s="9"/>
      <c r="Y144" s="9"/>
      <c r="Z144" s="9"/>
      <c r="AA144" s="9"/>
      <c r="AB144" s="9"/>
      <c r="AC144" s="9"/>
      <c r="AD144" s="9"/>
      <c r="AE144" s="9"/>
      <c r="AF144" s="9"/>
      <c r="AG144" s="9"/>
      <c r="AH144" s="9"/>
      <c r="AI144" s="9"/>
      <c r="AJ144" s="9"/>
    </row>
    <row r="145" ht="15.75" hidden="1" customHeight="1">
      <c r="A145" s="11" t="s">
        <v>641</v>
      </c>
      <c r="B145" s="11"/>
      <c r="C145" s="12" t="s">
        <v>642</v>
      </c>
      <c r="D145" s="13" t="s">
        <v>643</v>
      </c>
      <c r="E145" s="11" t="s">
        <v>96</v>
      </c>
      <c r="F145" s="11"/>
      <c r="G145" s="11" t="s">
        <v>644</v>
      </c>
      <c r="H145" s="13"/>
      <c r="I145" s="11"/>
      <c r="J145" s="11" t="s">
        <v>618</v>
      </c>
      <c r="K145" s="12" t="s">
        <v>645</v>
      </c>
      <c r="L145" s="11"/>
      <c r="M145" s="11"/>
      <c r="N145" s="11"/>
      <c r="O145" s="12"/>
      <c r="P145" s="11"/>
      <c r="Q145" s="11"/>
      <c r="R145" s="13"/>
      <c r="S145" s="19"/>
      <c r="T145" s="13"/>
      <c r="U145" s="13"/>
      <c r="V145" s="13"/>
      <c r="W145" s="13"/>
      <c r="X145" s="13"/>
      <c r="Y145" s="13"/>
      <c r="Z145" s="13"/>
      <c r="AA145" s="13"/>
      <c r="AB145" s="13"/>
      <c r="AC145" s="13"/>
      <c r="AD145" s="13"/>
      <c r="AE145" s="13"/>
      <c r="AF145" s="13"/>
      <c r="AG145" s="13"/>
      <c r="AH145" s="13"/>
      <c r="AI145" s="13"/>
      <c r="AJ145" s="13"/>
    </row>
    <row r="146" ht="15.75" hidden="1" customHeight="1">
      <c r="A146" s="7" t="s">
        <v>618</v>
      </c>
      <c r="B146" s="7"/>
      <c r="C146" s="8" t="s">
        <v>646</v>
      </c>
      <c r="D146" s="8" t="s">
        <v>647</v>
      </c>
      <c r="E146" s="7" t="s">
        <v>49</v>
      </c>
      <c r="F146" s="7"/>
      <c r="G146" s="7" t="s">
        <v>648</v>
      </c>
      <c r="H146" s="7"/>
      <c r="I146" s="7" t="s">
        <v>151</v>
      </c>
      <c r="J146" s="7" t="s">
        <v>618</v>
      </c>
      <c r="K146" s="8" t="s">
        <v>623</v>
      </c>
      <c r="L146" s="8"/>
      <c r="M146" s="7"/>
      <c r="N146" s="7"/>
      <c r="O146" s="8" t="s">
        <v>649</v>
      </c>
      <c r="P146" s="7" t="s">
        <v>323</v>
      </c>
      <c r="Q146" s="7" t="s">
        <v>323</v>
      </c>
      <c r="R146" s="9"/>
      <c r="S146" s="9"/>
      <c r="T146" s="7"/>
      <c r="U146" s="9"/>
      <c r="V146" s="9"/>
      <c r="W146" s="9"/>
      <c r="X146" s="9"/>
      <c r="Y146" s="9"/>
      <c r="Z146" s="9"/>
      <c r="AA146" s="9"/>
      <c r="AB146" s="9"/>
      <c r="AC146" s="9"/>
      <c r="AD146" s="9"/>
      <c r="AE146" s="9"/>
      <c r="AF146" s="9"/>
      <c r="AG146" s="9"/>
      <c r="AH146" s="9"/>
      <c r="AI146" s="9"/>
      <c r="AJ146" s="9"/>
    </row>
    <row r="147" ht="15.75" hidden="1" customHeight="1">
      <c r="A147" s="11" t="s">
        <v>618</v>
      </c>
      <c r="B147" s="11"/>
      <c r="C147" s="12" t="s">
        <v>650</v>
      </c>
      <c r="D147" s="12" t="s">
        <v>651</v>
      </c>
      <c r="E147" s="11" t="s">
        <v>49</v>
      </c>
      <c r="F147" s="11"/>
      <c r="G147" s="11" t="s">
        <v>648</v>
      </c>
      <c r="H147" s="11"/>
      <c r="I147" s="11" t="s">
        <v>151</v>
      </c>
      <c r="J147" s="11" t="s">
        <v>618</v>
      </c>
      <c r="K147" s="12" t="s">
        <v>623</v>
      </c>
      <c r="L147" s="12"/>
      <c r="M147" s="11"/>
      <c r="N147" s="11"/>
      <c r="O147" s="12" t="s">
        <v>649</v>
      </c>
      <c r="P147" s="11" t="s">
        <v>323</v>
      </c>
      <c r="Q147" s="11" t="s">
        <v>323</v>
      </c>
      <c r="R147" s="13"/>
      <c r="S147" s="13"/>
      <c r="T147" s="11"/>
      <c r="U147" s="13"/>
      <c r="V147" s="13"/>
      <c r="W147" s="13"/>
      <c r="X147" s="13"/>
      <c r="Y147" s="13"/>
      <c r="Z147" s="13"/>
      <c r="AA147" s="13"/>
      <c r="AB147" s="13"/>
      <c r="AC147" s="13"/>
      <c r="AD147" s="13"/>
      <c r="AE147" s="13"/>
      <c r="AF147" s="13"/>
      <c r="AG147" s="13"/>
      <c r="AH147" s="13"/>
      <c r="AI147" s="13"/>
      <c r="AJ147" s="11"/>
    </row>
    <row r="148" ht="15.75" hidden="1" customHeight="1">
      <c r="A148" s="7" t="s">
        <v>618</v>
      </c>
      <c r="B148" s="7" t="s">
        <v>652</v>
      </c>
      <c r="C148" s="8" t="s">
        <v>653</v>
      </c>
      <c r="D148" s="8" t="s">
        <v>654</v>
      </c>
      <c r="E148" s="7" t="s">
        <v>96</v>
      </c>
      <c r="F148" s="7"/>
      <c r="G148" s="10" t="s">
        <v>655</v>
      </c>
      <c r="H148" s="9"/>
      <c r="I148" s="7" t="s">
        <v>151</v>
      </c>
      <c r="J148" s="7" t="s">
        <v>652</v>
      </c>
      <c r="K148" s="8"/>
      <c r="L148" s="8"/>
      <c r="M148" s="7"/>
      <c r="N148" s="7"/>
      <c r="O148" s="8"/>
      <c r="P148" s="7"/>
      <c r="Q148" s="7" t="s">
        <v>161</v>
      </c>
      <c r="R148" s="9"/>
      <c r="S148" s="9"/>
      <c r="T148" s="9"/>
      <c r="U148" s="9"/>
      <c r="V148" s="9"/>
      <c r="W148" s="9"/>
      <c r="X148" s="9"/>
      <c r="Y148" s="9"/>
      <c r="Z148" s="9"/>
      <c r="AA148" s="9"/>
      <c r="AB148" s="9"/>
      <c r="AC148" s="9"/>
      <c r="AD148" s="9"/>
      <c r="AE148" s="9"/>
      <c r="AF148" s="9"/>
      <c r="AG148" s="9"/>
      <c r="AH148" s="9"/>
      <c r="AI148" s="9"/>
      <c r="AJ148" s="9"/>
    </row>
    <row r="149" ht="15.75" hidden="1" customHeight="1">
      <c r="A149" s="11" t="s">
        <v>618</v>
      </c>
      <c r="B149" s="11"/>
      <c r="C149" s="12" t="s">
        <v>656</v>
      </c>
      <c r="D149" s="12" t="s">
        <v>657</v>
      </c>
      <c r="E149" s="11" t="s">
        <v>49</v>
      </c>
      <c r="F149" s="30" t="s">
        <v>658</v>
      </c>
      <c r="G149" s="11" t="s">
        <v>638</v>
      </c>
      <c r="H149" s="11"/>
      <c r="I149" s="11" t="s">
        <v>151</v>
      </c>
      <c r="J149" s="11" t="s">
        <v>659</v>
      </c>
      <c r="K149" s="12"/>
      <c r="L149" s="12"/>
      <c r="M149" s="11"/>
      <c r="N149" s="11"/>
      <c r="O149" s="12"/>
      <c r="P149" s="11"/>
      <c r="Q149" s="11" t="s">
        <v>161</v>
      </c>
      <c r="R149" s="13"/>
      <c r="S149" s="13"/>
      <c r="T149" s="11"/>
      <c r="U149" s="13"/>
      <c r="V149" s="13"/>
      <c r="W149" s="13"/>
      <c r="X149" s="13"/>
      <c r="Y149" s="13"/>
      <c r="Z149" s="13"/>
      <c r="AA149" s="13"/>
      <c r="AB149" s="13"/>
      <c r="AC149" s="13"/>
      <c r="AD149" s="13"/>
      <c r="AE149" s="13"/>
      <c r="AF149" s="13"/>
      <c r="AG149" s="13"/>
      <c r="AH149" s="13"/>
      <c r="AI149" s="13"/>
      <c r="AJ149" s="13"/>
    </row>
    <row r="150" ht="15.75" hidden="1" customHeight="1">
      <c r="A150" s="7" t="s">
        <v>618</v>
      </c>
      <c r="B150" s="7"/>
      <c r="C150" s="8" t="s">
        <v>660</v>
      </c>
      <c r="D150" s="8" t="s">
        <v>661</v>
      </c>
      <c r="E150" s="7" t="s">
        <v>49</v>
      </c>
      <c r="F150" s="7"/>
      <c r="G150" s="7" t="s">
        <v>648</v>
      </c>
      <c r="H150" s="9"/>
      <c r="I150" s="7"/>
      <c r="J150" s="7" t="s">
        <v>618</v>
      </c>
      <c r="K150" s="8" t="s">
        <v>662</v>
      </c>
      <c r="L150" s="8"/>
      <c r="M150" s="7"/>
      <c r="N150" s="7"/>
      <c r="O150" s="8"/>
      <c r="P150" s="7" t="s">
        <v>323</v>
      </c>
      <c r="Q150" s="7" t="s">
        <v>323</v>
      </c>
      <c r="R150" s="9"/>
      <c r="S150" s="9"/>
      <c r="T150" s="9"/>
      <c r="U150" s="9"/>
      <c r="V150" s="9"/>
      <c r="W150" s="9"/>
      <c r="X150" s="9"/>
      <c r="Y150" s="9"/>
      <c r="Z150" s="9"/>
      <c r="AA150" s="9"/>
      <c r="AB150" s="9"/>
      <c r="AC150" s="9"/>
      <c r="AD150" s="9"/>
      <c r="AE150" s="9"/>
      <c r="AF150" s="9"/>
      <c r="AG150" s="9"/>
      <c r="AH150" s="9"/>
      <c r="AI150" s="9"/>
      <c r="AJ150" s="9"/>
    </row>
    <row r="151" ht="15.75" hidden="1" customHeight="1">
      <c r="A151" s="11" t="s">
        <v>21</v>
      </c>
      <c r="B151" s="11" t="s">
        <v>663</v>
      </c>
      <c r="C151" s="12" t="s">
        <v>664</v>
      </c>
      <c r="D151" s="13" t="s">
        <v>665</v>
      </c>
      <c r="E151" s="11" t="s">
        <v>25</v>
      </c>
      <c r="F151" s="11"/>
      <c r="G151" s="11" t="s">
        <v>666</v>
      </c>
      <c r="H151" s="11"/>
      <c r="I151" s="11" t="s">
        <v>51</v>
      </c>
      <c r="J151" s="11" t="s">
        <v>667</v>
      </c>
      <c r="K151" s="12"/>
      <c r="L151" s="11"/>
      <c r="M151" s="11"/>
      <c r="N151" s="11"/>
      <c r="O151" s="12"/>
      <c r="P151" s="11"/>
      <c r="Q151" s="11" t="s">
        <v>323</v>
      </c>
      <c r="R151" s="13"/>
      <c r="S151" s="13"/>
      <c r="T151" s="11"/>
      <c r="U151" s="13"/>
      <c r="V151" s="13"/>
      <c r="W151" s="13"/>
      <c r="X151" s="13"/>
      <c r="Y151" s="13"/>
      <c r="Z151" s="13"/>
      <c r="AA151" s="13"/>
      <c r="AB151" s="13"/>
      <c r="AC151" s="13"/>
      <c r="AD151" s="13"/>
      <c r="AE151" s="13"/>
      <c r="AF151" s="13"/>
      <c r="AG151" s="13"/>
      <c r="AH151" s="13"/>
      <c r="AI151" s="13"/>
      <c r="AJ151" s="13"/>
    </row>
    <row r="152" ht="15.75" hidden="1" customHeight="1">
      <c r="A152" s="7" t="s">
        <v>21</v>
      </c>
      <c r="B152" s="7"/>
      <c r="C152" s="8" t="s">
        <v>668</v>
      </c>
      <c r="D152" s="9" t="s">
        <v>669</v>
      </c>
      <c r="E152" s="7" t="s">
        <v>49</v>
      </c>
      <c r="F152" s="7"/>
      <c r="G152" s="7"/>
      <c r="H152" s="7"/>
      <c r="I152" s="7" t="s">
        <v>51</v>
      </c>
      <c r="J152" s="7"/>
      <c r="K152" s="8"/>
      <c r="L152" s="7"/>
      <c r="M152" s="7"/>
      <c r="N152" s="7"/>
      <c r="O152" s="8"/>
      <c r="P152" s="7"/>
      <c r="Q152" s="7" t="s">
        <v>670</v>
      </c>
      <c r="R152" s="9"/>
      <c r="S152" s="17"/>
      <c r="T152" s="7"/>
      <c r="U152" s="9"/>
      <c r="V152" s="9"/>
      <c r="W152" s="9"/>
      <c r="X152" s="9"/>
      <c r="Y152" s="9"/>
      <c r="Z152" s="9"/>
      <c r="AA152" s="9"/>
      <c r="AB152" s="9"/>
      <c r="AC152" s="9"/>
      <c r="AD152" s="9"/>
      <c r="AE152" s="9"/>
      <c r="AF152" s="9"/>
      <c r="AG152" s="9"/>
      <c r="AH152" s="9"/>
      <c r="AI152" s="9"/>
      <c r="AJ152" s="9"/>
    </row>
    <row r="153" ht="15.75" hidden="1" customHeight="1">
      <c r="A153" s="11" t="s">
        <v>21</v>
      </c>
      <c r="B153" s="11"/>
      <c r="C153" s="12" t="s">
        <v>671</v>
      </c>
      <c r="D153" s="13" t="s">
        <v>672</v>
      </c>
      <c r="E153" s="11" t="s">
        <v>96</v>
      </c>
      <c r="F153" s="11"/>
      <c r="G153" s="11" t="s">
        <v>673</v>
      </c>
      <c r="H153" s="13"/>
      <c r="I153" s="11" t="s">
        <v>27</v>
      </c>
      <c r="J153" s="11"/>
      <c r="K153" s="12"/>
      <c r="L153" s="11"/>
      <c r="M153" s="11"/>
      <c r="N153" s="11"/>
      <c r="O153" s="12"/>
      <c r="P153" s="11"/>
      <c r="Q153" s="11" t="s">
        <v>674</v>
      </c>
      <c r="R153" s="13"/>
      <c r="S153" s="19"/>
      <c r="T153" s="13"/>
      <c r="U153" s="13"/>
      <c r="V153" s="13"/>
      <c r="W153" s="13"/>
      <c r="X153" s="13"/>
      <c r="Y153" s="13"/>
      <c r="Z153" s="13"/>
      <c r="AA153" s="13"/>
      <c r="AB153" s="13"/>
      <c r="AC153" s="13"/>
      <c r="AD153" s="13"/>
      <c r="AE153" s="13"/>
      <c r="AF153" s="13"/>
      <c r="AG153" s="13"/>
      <c r="AH153" s="13"/>
      <c r="AI153" s="13"/>
      <c r="AJ153" s="13"/>
    </row>
    <row r="154" ht="15.75" hidden="1" customHeight="1">
      <c r="A154" s="7" t="s">
        <v>21</v>
      </c>
      <c r="B154" s="7"/>
      <c r="C154" s="8" t="s">
        <v>675</v>
      </c>
      <c r="D154" s="9" t="s">
        <v>676</v>
      </c>
      <c r="E154" s="7" t="s">
        <v>96</v>
      </c>
      <c r="F154" s="7"/>
      <c r="G154" s="7" t="s">
        <v>677</v>
      </c>
      <c r="H154" s="7"/>
      <c r="I154" s="7" t="s">
        <v>27</v>
      </c>
      <c r="J154" s="7"/>
      <c r="K154" s="8"/>
      <c r="L154" s="7"/>
      <c r="M154" s="7"/>
      <c r="N154" s="7"/>
      <c r="O154" s="8"/>
      <c r="P154" s="7"/>
      <c r="Q154" s="7" t="s">
        <v>678</v>
      </c>
      <c r="R154" s="9"/>
      <c r="S154" s="17"/>
      <c r="T154" s="7"/>
      <c r="U154" s="9"/>
      <c r="V154" s="9"/>
      <c r="W154" s="9"/>
      <c r="X154" s="9"/>
      <c r="Y154" s="9"/>
      <c r="Z154" s="9"/>
      <c r="AA154" s="9"/>
      <c r="AB154" s="9"/>
      <c r="AC154" s="9"/>
      <c r="AD154" s="9"/>
      <c r="AE154" s="9"/>
      <c r="AF154" s="9"/>
      <c r="AG154" s="9"/>
      <c r="AH154" s="9"/>
      <c r="AI154" s="9"/>
      <c r="AJ154" s="9"/>
    </row>
    <row r="155" ht="15.75" hidden="1" customHeight="1">
      <c r="A155" s="11" t="s">
        <v>21</v>
      </c>
      <c r="B155" s="11"/>
      <c r="C155" s="12" t="s">
        <v>679</v>
      </c>
      <c r="D155" s="13" t="s">
        <v>680</v>
      </c>
      <c r="E155" s="11" t="s">
        <v>96</v>
      </c>
      <c r="F155" s="11"/>
      <c r="G155" s="11" t="s">
        <v>681</v>
      </c>
      <c r="H155" s="11"/>
      <c r="I155" s="11" t="s">
        <v>27</v>
      </c>
      <c r="J155" s="11"/>
      <c r="K155" s="12"/>
      <c r="L155" s="11"/>
      <c r="M155" s="11"/>
      <c r="N155" s="11"/>
      <c r="O155" s="12"/>
      <c r="P155" s="11"/>
      <c r="Q155" s="11" t="s">
        <v>682</v>
      </c>
      <c r="R155" s="13"/>
      <c r="S155" s="19"/>
      <c r="T155" s="11"/>
      <c r="U155" s="13"/>
      <c r="V155" s="13"/>
      <c r="W155" s="13"/>
      <c r="X155" s="13"/>
      <c r="Y155" s="13"/>
      <c r="Z155" s="13"/>
      <c r="AA155" s="13"/>
      <c r="AB155" s="13"/>
      <c r="AC155" s="13"/>
      <c r="AD155" s="13"/>
      <c r="AE155" s="13"/>
      <c r="AF155" s="13"/>
      <c r="AG155" s="13"/>
      <c r="AH155" s="13"/>
      <c r="AI155" s="13"/>
      <c r="AJ155" s="13"/>
    </row>
    <row r="156" ht="15.75" hidden="1" customHeight="1">
      <c r="A156" s="7" t="s">
        <v>21</v>
      </c>
      <c r="B156" s="7"/>
      <c r="C156" s="8" t="s">
        <v>683</v>
      </c>
      <c r="D156" s="9" t="s">
        <v>684</v>
      </c>
      <c r="E156" s="7" t="s">
        <v>96</v>
      </c>
      <c r="F156" s="7"/>
      <c r="G156" s="7" t="s">
        <v>673</v>
      </c>
      <c r="H156" s="7"/>
      <c r="I156" s="7" t="s">
        <v>27</v>
      </c>
      <c r="J156" s="7"/>
      <c r="K156" s="8"/>
      <c r="L156" s="7"/>
      <c r="M156" s="7"/>
      <c r="N156" s="7"/>
      <c r="O156" s="8"/>
      <c r="P156" s="7"/>
      <c r="Q156" s="7"/>
      <c r="R156" s="9"/>
      <c r="S156" s="17"/>
      <c r="T156" s="7"/>
      <c r="U156" s="9"/>
      <c r="V156" s="9"/>
      <c r="W156" s="9"/>
      <c r="X156" s="9"/>
      <c r="Y156" s="9"/>
      <c r="Z156" s="9"/>
      <c r="AA156" s="9"/>
      <c r="AB156" s="9"/>
      <c r="AC156" s="9"/>
      <c r="AD156" s="9"/>
      <c r="AE156" s="9"/>
      <c r="AF156" s="9"/>
      <c r="AG156" s="9"/>
      <c r="AH156" s="9"/>
      <c r="AI156" s="9"/>
      <c r="AJ156" s="9"/>
    </row>
    <row r="157" ht="15.75" hidden="1" customHeight="1">
      <c r="A157" s="11" t="s">
        <v>21</v>
      </c>
      <c r="B157" s="11"/>
      <c r="C157" s="12" t="s">
        <v>685</v>
      </c>
      <c r="D157" s="13" t="s">
        <v>686</v>
      </c>
      <c r="E157" s="11" t="s">
        <v>96</v>
      </c>
      <c r="F157" s="11" t="s">
        <v>687</v>
      </c>
      <c r="G157" s="11"/>
      <c r="H157" s="13"/>
      <c r="I157" s="11" t="s">
        <v>151</v>
      </c>
      <c r="J157" s="11"/>
      <c r="K157" s="12"/>
      <c r="L157" s="11"/>
      <c r="M157" s="11"/>
      <c r="N157" s="11"/>
      <c r="O157" s="12"/>
      <c r="P157" s="11"/>
      <c r="Q157" s="11"/>
      <c r="R157" s="13"/>
      <c r="S157" s="19"/>
      <c r="T157" s="13"/>
      <c r="U157" s="13"/>
      <c r="V157" s="13"/>
      <c r="W157" s="13"/>
      <c r="X157" s="13"/>
      <c r="Y157" s="13"/>
      <c r="Z157" s="13"/>
      <c r="AA157" s="13"/>
      <c r="AB157" s="13"/>
      <c r="AC157" s="13"/>
      <c r="AD157" s="13"/>
      <c r="AE157" s="13"/>
      <c r="AF157" s="13"/>
      <c r="AG157" s="13"/>
      <c r="AH157" s="13"/>
      <c r="AI157" s="13"/>
      <c r="AJ157" s="13"/>
    </row>
    <row r="158" ht="15.75" hidden="1" customHeight="1">
      <c r="A158" s="7" t="s">
        <v>21</v>
      </c>
      <c r="B158" s="7"/>
      <c r="C158" s="8" t="s">
        <v>688</v>
      </c>
      <c r="D158" s="9" t="s">
        <v>689</v>
      </c>
      <c r="E158" s="7" t="s">
        <v>96</v>
      </c>
      <c r="F158" s="7"/>
      <c r="G158" s="7" t="s">
        <v>673</v>
      </c>
      <c r="H158" s="7"/>
      <c r="I158" s="7" t="s">
        <v>51</v>
      </c>
      <c r="J158" s="7"/>
      <c r="K158" s="8"/>
      <c r="L158" s="7"/>
      <c r="M158" s="7"/>
      <c r="N158" s="7"/>
      <c r="O158" s="8"/>
      <c r="P158" s="7"/>
      <c r="Q158" s="7" t="s">
        <v>102</v>
      </c>
      <c r="R158" s="9"/>
      <c r="S158" s="17"/>
      <c r="T158" s="7"/>
      <c r="U158" s="9"/>
      <c r="V158" s="9"/>
      <c r="W158" s="9"/>
      <c r="X158" s="9"/>
      <c r="Y158" s="9"/>
      <c r="Z158" s="9"/>
      <c r="AA158" s="9"/>
      <c r="AB158" s="9"/>
      <c r="AC158" s="9"/>
      <c r="AD158" s="9"/>
      <c r="AE158" s="9"/>
      <c r="AF158" s="9"/>
      <c r="AG158" s="9"/>
      <c r="AH158" s="9"/>
      <c r="AI158" s="9"/>
      <c r="AJ158" s="9"/>
    </row>
    <row r="159" ht="15.75" hidden="1" customHeight="1">
      <c r="A159" s="11" t="s">
        <v>21</v>
      </c>
      <c r="B159" s="11"/>
      <c r="C159" s="12" t="s">
        <v>690</v>
      </c>
      <c r="D159" s="13" t="s">
        <v>691</v>
      </c>
      <c r="E159" s="11" t="s">
        <v>96</v>
      </c>
      <c r="F159" s="11"/>
      <c r="G159" s="11" t="s">
        <v>692</v>
      </c>
      <c r="H159" s="11"/>
      <c r="I159" s="11" t="s">
        <v>27</v>
      </c>
      <c r="J159" s="11"/>
      <c r="K159" s="12"/>
      <c r="L159" s="11"/>
      <c r="M159" s="11"/>
      <c r="N159" s="11"/>
      <c r="O159" s="12"/>
      <c r="P159" s="11"/>
      <c r="Q159" s="11" t="s">
        <v>328</v>
      </c>
      <c r="R159" s="13"/>
      <c r="S159" s="19"/>
      <c r="T159" s="11"/>
      <c r="U159" s="13"/>
      <c r="V159" s="13"/>
      <c r="W159" s="13"/>
      <c r="X159" s="13"/>
      <c r="Y159" s="13"/>
      <c r="Z159" s="13"/>
      <c r="AA159" s="13"/>
      <c r="AB159" s="13"/>
      <c r="AC159" s="13"/>
      <c r="AD159" s="13"/>
      <c r="AE159" s="13"/>
      <c r="AF159" s="13"/>
      <c r="AG159" s="13"/>
      <c r="AH159" s="13"/>
      <c r="AI159" s="13"/>
      <c r="AJ159" s="11"/>
    </row>
    <row r="160" ht="15.75" hidden="1" customHeight="1">
      <c r="A160" s="7" t="s">
        <v>21</v>
      </c>
      <c r="B160" s="9"/>
      <c r="C160" s="8" t="s">
        <v>693</v>
      </c>
      <c r="D160" s="9" t="s">
        <v>694</v>
      </c>
      <c r="E160" s="7" t="s">
        <v>49</v>
      </c>
      <c r="F160" s="7"/>
      <c r="G160" s="7" t="s">
        <v>263</v>
      </c>
      <c r="H160" s="9"/>
      <c r="I160" s="7" t="s">
        <v>151</v>
      </c>
      <c r="J160" s="7"/>
      <c r="K160" s="8"/>
      <c r="L160" s="7"/>
      <c r="M160" s="7"/>
      <c r="N160" s="7"/>
      <c r="O160" s="8"/>
      <c r="P160" s="7" t="s">
        <v>323</v>
      </c>
      <c r="Q160" s="7" t="s">
        <v>323</v>
      </c>
      <c r="R160" s="9"/>
      <c r="S160" s="17"/>
      <c r="T160" s="9"/>
      <c r="U160" s="9"/>
      <c r="V160" s="9"/>
      <c r="W160" s="9"/>
      <c r="X160" s="9"/>
      <c r="Y160" s="9"/>
      <c r="Z160" s="9"/>
      <c r="AA160" s="9"/>
      <c r="AB160" s="9"/>
      <c r="AC160" s="9"/>
      <c r="AD160" s="9"/>
      <c r="AE160" s="9"/>
      <c r="AF160" s="9"/>
      <c r="AG160" s="9"/>
      <c r="AH160" s="9"/>
      <c r="AI160" s="9"/>
      <c r="AJ160" s="9"/>
    </row>
    <row r="161" ht="15.75" hidden="1" customHeight="1">
      <c r="A161" s="11" t="s">
        <v>21</v>
      </c>
      <c r="B161" s="11"/>
      <c r="C161" s="12" t="s">
        <v>695</v>
      </c>
      <c r="D161" s="13" t="s">
        <v>696</v>
      </c>
      <c r="E161" s="11" t="s">
        <v>49</v>
      </c>
      <c r="F161" s="11"/>
      <c r="G161" s="11" t="s">
        <v>697</v>
      </c>
      <c r="H161" s="13"/>
      <c r="I161" s="11"/>
      <c r="J161" s="11"/>
      <c r="K161" s="12"/>
      <c r="L161" s="11"/>
      <c r="M161" s="11"/>
      <c r="N161" s="11"/>
      <c r="O161" s="12"/>
      <c r="P161" s="11"/>
      <c r="Q161" s="11"/>
      <c r="R161" s="13"/>
      <c r="S161" s="19"/>
      <c r="T161" s="13"/>
      <c r="U161" s="13"/>
      <c r="V161" s="13"/>
      <c r="W161" s="13"/>
      <c r="X161" s="13"/>
      <c r="Y161" s="13"/>
      <c r="Z161" s="13"/>
      <c r="AA161" s="13"/>
      <c r="AB161" s="13"/>
      <c r="AC161" s="13"/>
      <c r="AD161" s="13"/>
      <c r="AE161" s="13"/>
      <c r="AF161" s="13"/>
      <c r="AG161" s="13"/>
      <c r="AH161" s="13"/>
      <c r="AI161" s="13"/>
      <c r="AJ161" s="13"/>
    </row>
    <row r="162" ht="15.75" hidden="1" customHeight="1">
      <c r="A162" s="7" t="s">
        <v>21</v>
      </c>
      <c r="B162" s="7"/>
      <c r="C162" s="8" t="s">
        <v>698</v>
      </c>
      <c r="D162" s="9" t="s">
        <v>699</v>
      </c>
      <c r="E162" s="7" t="s">
        <v>49</v>
      </c>
      <c r="F162" s="7"/>
      <c r="G162" s="7" t="s">
        <v>263</v>
      </c>
      <c r="H162" s="9"/>
      <c r="I162" s="7" t="s">
        <v>151</v>
      </c>
      <c r="J162" s="7"/>
      <c r="K162" s="8"/>
      <c r="L162" s="7"/>
      <c r="M162" s="7"/>
      <c r="N162" s="7"/>
      <c r="O162" s="8"/>
      <c r="P162" s="7" t="s">
        <v>323</v>
      </c>
      <c r="Q162" s="7" t="s">
        <v>323</v>
      </c>
      <c r="R162" s="9"/>
      <c r="S162" s="17"/>
      <c r="T162" s="9"/>
      <c r="U162" s="9"/>
      <c r="V162" s="9"/>
      <c r="W162" s="9"/>
      <c r="X162" s="9"/>
      <c r="Y162" s="9"/>
      <c r="Z162" s="9"/>
      <c r="AA162" s="9"/>
      <c r="AB162" s="9"/>
      <c r="AC162" s="9"/>
      <c r="AD162" s="9"/>
      <c r="AE162" s="9"/>
      <c r="AF162" s="9"/>
      <c r="AG162" s="9"/>
      <c r="AH162" s="9"/>
      <c r="AI162" s="9"/>
      <c r="AJ162" s="9"/>
    </row>
    <row r="163" ht="15.75" hidden="1" customHeight="1">
      <c r="A163" s="11" t="s">
        <v>700</v>
      </c>
      <c r="B163" s="11" t="s">
        <v>700</v>
      </c>
      <c r="C163" s="12" t="s">
        <v>701</v>
      </c>
      <c r="D163" s="13" t="s">
        <v>702</v>
      </c>
      <c r="E163" s="11" t="s">
        <v>49</v>
      </c>
      <c r="F163" s="11"/>
      <c r="G163" s="18" t="s">
        <v>703</v>
      </c>
      <c r="H163" s="11"/>
      <c r="I163" s="11" t="s">
        <v>151</v>
      </c>
      <c r="J163" s="11"/>
      <c r="K163" s="12"/>
      <c r="L163" s="11"/>
      <c r="M163" s="11"/>
      <c r="N163" s="11"/>
      <c r="O163" s="12"/>
      <c r="P163" s="11"/>
      <c r="Q163" s="11" t="s">
        <v>161</v>
      </c>
      <c r="R163" s="11"/>
      <c r="S163" s="11"/>
      <c r="T163" s="11"/>
      <c r="U163" s="13"/>
      <c r="V163" s="13"/>
      <c r="W163" s="13"/>
      <c r="X163" s="13"/>
      <c r="Y163" s="13"/>
      <c r="Z163" s="13"/>
      <c r="AA163" s="13"/>
      <c r="AB163" s="13"/>
      <c r="AC163" s="13"/>
      <c r="AD163" s="13"/>
      <c r="AE163" s="13"/>
      <c r="AF163" s="13"/>
      <c r="AG163" s="13"/>
      <c r="AH163" s="13"/>
      <c r="AI163" s="13"/>
      <c r="AJ163" s="13"/>
    </row>
    <row r="164" ht="15.75" hidden="1" customHeight="1">
      <c r="A164" s="7" t="s">
        <v>700</v>
      </c>
      <c r="B164" s="7" t="s">
        <v>704</v>
      </c>
      <c r="C164" s="8" t="s">
        <v>705</v>
      </c>
      <c r="D164" s="8" t="s">
        <v>706</v>
      </c>
      <c r="E164" s="7" t="s">
        <v>49</v>
      </c>
      <c r="F164" s="7"/>
      <c r="G164" s="7" t="s">
        <v>707</v>
      </c>
      <c r="H164" s="7"/>
      <c r="I164" s="7" t="s">
        <v>151</v>
      </c>
      <c r="K164" s="7"/>
      <c r="L164" s="7"/>
      <c r="M164" s="7"/>
      <c r="N164" s="7"/>
      <c r="O164" s="7"/>
      <c r="P164" s="7"/>
      <c r="Q164" s="7" t="s">
        <v>323</v>
      </c>
      <c r="R164" s="7"/>
      <c r="S164" s="7"/>
      <c r="T164" s="7"/>
      <c r="U164" s="7"/>
      <c r="V164" s="7"/>
      <c r="W164" s="7"/>
      <c r="X164" s="7"/>
      <c r="Y164" s="7"/>
      <c r="Z164" s="7"/>
      <c r="AA164" s="7"/>
      <c r="AB164" s="7"/>
      <c r="AC164" s="7"/>
      <c r="AD164" s="7"/>
      <c r="AE164" s="7"/>
      <c r="AF164" s="7"/>
      <c r="AG164" s="7"/>
      <c r="AH164" s="7"/>
      <c r="AI164" s="7"/>
      <c r="AJ164" s="9"/>
    </row>
    <row r="165" ht="15.75" hidden="1" customHeight="1">
      <c r="A165" s="11" t="s">
        <v>700</v>
      </c>
      <c r="B165" s="11" t="s">
        <v>700</v>
      </c>
      <c r="C165" s="12" t="s">
        <v>708</v>
      </c>
      <c r="D165" s="13" t="s">
        <v>709</v>
      </c>
      <c r="E165" s="11" t="s">
        <v>49</v>
      </c>
      <c r="F165" s="11"/>
      <c r="G165" s="18" t="s">
        <v>710</v>
      </c>
      <c r="H165" s="11"/>
      <c r="I165" s="11" t="s">
        <v>51</v>
      </c>
      <c r="J165" s="11"/>
      <c r="K165" s="12"/>
      <c r="L165" s="11"/>
      <c r="M165" s="11"/>
      <c r="N165" s="11"/>
      <c r="O165" s="12"/>
      <c r="P165" s="11" t="s">
        <v>711</v>
      </c>
      <c r="Q165" s="11" t="s">
        <v>712</v>
      </c>
      <c r="R165" s="11"/>
      <c r="S165" s="11"/>
      <c r="T165" s="11"/>
      <c r="U165" s="13"/>
      <c r="V165" s="13"/>
      <c r="W165" s="13"/>
      <c r="X165" s="13"/>
      <c r="Y165" s="13"/>
      <c r="Z165" s="13"/>
      <c r="AA165" s="13"/>
      <c r="AB165" s="13"/>
      <c r="AC165" s="13"/>
      <c r="AD165" s="13"/>
      <c r="AE165" s="13"/>
      <c r="AF165" s="13"/>
      <c r="AG165" s="13"/>
      <c r="AH165" s="13"/>
      <c r="AI165" s="13"/>
      <c r="AJ165" s="13"/>
    </row>
    <row r="166" ht="15.75" hidden="1" customHeight="1">
      <c r="A166" s="7" t="s">
        <v>700</v>
      </c>
      <c r="B166" s="7" t="s">
        <v>713</v>
      </c>
      <c r="C166" s="8" t="s">
        <v>714</v>
      </c>
      <c r="D166" s="9" t="s">
        <v>715</v>
      </c>
      <c r="E166" s="7" t="s">
        <v>49</v>
      </c>
      <c r="F166" s="7"/>
      <c r="G166" s="16" t="s">
        <v>716</v>
      </c>
      <c r="H166" s="7"/>
      <c r="I166" s="7" t="s">
        <v>151</v>
      </c>
      <c r="J166" s="7" t="s">
        <v>717</v>
      </c>
      <c r="K166" s="8"/>
      <c r="L166" s="7"/>
      <c r="M166" s="7" t="s">
        <v>49</v>
      </c>
      <c r="N166" s="7"/>
      <c r="O166" s="62" t="s">
        <v>718</v>
      </c>
      <c r="P166" s="7" t="s">
        <v>161</v>
      </c>
      <c r="Q166" s="7" t="s">
        <v>719</v>
      </c>
      <c r="R166" s="7"/>
      <c r="S166" s="7"/>
      <c r="T166" s="7"/>
      <c r="U166" s="9"/>
      <c r="V166" s="9"/>
      <c r="W166" s="9"/>
      <c r="X166" s="9"/>
      <c r="Y166" s="9"/>
      <c r="Z166" s="9"/>
      <c r="AA166" s="9"/>
      <c r="AB166" s="9"/>
      <c r="AC166" s="9"/>
      <c r="AD166" s="9"/>
      <c r="AE166" s="9"/>
      <c r="AF166" s="9"/>
      <c r="AG166" s="9"/>
      <c r="AH166" s="9"/>
      <c r="AI166" s="9"/>
      <c r="AJ166" s="9"/>
    </row>
    <row r="167" ht="15.75" hidden="1" customHeight="1">
      <c r="A167" s="11" t="s">
        <v>700</v>
      </c>
      <c r="B167" s="11" t="s">
        <v>700</v>
      </c>
      <c r="C167" s="12" t="s">
        <v>720</v>
      </c>
      <c r="D167" s="13" t="s">
        <v>721</v>
      </c>
      <c r="E167" s="11" t="s">
        <v>49</v>
      </c>
      <c r="F167" s="11"/>
      <c r="G167" s="11" t="s">
        <v>722</v>
      </c>
      <c r="H167" s="11"/>
      <c r="I167" s="11" t="s">
        <v>151</v>
      </c>
      <c r="J167" s="11"/>
      <c r="K167" s="12"/>
      <c r="L167" s="11"/>
      <c r="M167" s="11"/>
      <c r="N167" s="11"/>
      <c r="O167" s="12" t="s">
        <v>723</v>
      </c>
      <c r="P167" s="11"/>
      <c r="Q167" s="11" t="s">
        <v>161</v>
      </c>
      <c r="R167" s="11"/>
      <c r="S167" s="11" t="s">
        <v>724</v>
      </c>
      <c r="T167" s="11"/>
      <c r="U167" s="13"/>
      <c r="V167" s="13"/>
      <c r="W167" s="13"/>
      <c r="X167" s="13"/>
      <c r="Y167" s="13"/>
      <c r="Z167" s="13"/>
      <c r="AA167" s="13"/>
      <c r="AB167" s="13"/>
      <c r="AC167" s="13"/>
      <c r="AD167" s="13"/>
      <c r="AE167" s="13"/>
      <c r="AF167" s="13"/>
      <c r="AG167" s="13"/>
      <c r="AH167" s="13"/>
      <c r="AI167" s="13"/>
      <c r="AJ167" s="13"/>
    </row>
    <row r="168" ht="15.75" hidden="1" customHeight="1">
      <c r="A168" s="7" t="s">
        <v>700</v>
      </c>
      <c r="B168" s="7"/>
      <c r="C168" s="8" t="s">
        <v>725</v>
      </c>
      <c r="D168" s="9" t="s">
        <v>726</v>
      </c>
      <c r="E168" s="7" t="s">
        <v>25</v>
      </c>
      <c r="F168" s="7"/>
      <c r="G168" s="16" t="s">
        <v>727</v>
      </c>
      <c r="H168" s="7"/>
      <c r="I168" s="7" t="s">
        <v>151</v>
      </c>
      <c r="J168" s="7" t="s">
        <v>700</v>
      </c>
      <c r="K168" s="8"/>
      <c r="L168" s="7"/>
      <c r="M168" s="7"/>
      <c r="N168" s="7"/>
      <c r="O168" s="8"/>
      <c r="P168" s="7"/>
      <c r="Q168" s="7" t="s">
        <v>323</v>
      </c>
      <c r="R168" s="7"/>
      <c r="S168" s="7"/>
      <c r="T168" s="7"/>
      <c r="U168" s="9"/>
      <c r="V168" s="9"/>
      <c r="W168" s="9"/>
      <c r="X168" s="9"/>
      <c r="Y168" s="9"/>
      <c r="Z168" s="9"/>
      <c r="AA168" s="9"/>
      <c r="AB168" s="9"/>
      <c r="AC168" s="9"/>
      <c r="AD168" s="9"/>
      <c r="AE168" s="9"/>
      <c r="AF168" s="9"/>
      <c r="AG168" s="9"/>
      <c r="AH168" s="9"/>
      <c r="AI168" s="9"/>
      <c r="AJ168" s="9"/>
    </row>
    <row r="169" ht="15.75" hidden="1" customHeight="1">
      <c r="A169" s="11" t="s">
        <v>700</v>
      </c>
      <c r="B169" s="11" t="s">
        <v>704</v>
      </c>
      <c r="C169" s="8" t="s">
        <v>728</v>
      </c>
      <c r="D169" s="13" t="s">
        <v>729</v>
      </c>
      <c r="E169" s="11" t="s">
        <v>25</v>
      </c>
      <c r="F169" s="11"/>
      <c r="G169" s="11" t="s">
        <v>730</v>
      </c>
      <c r="H169" s="11"/>
      <c r="I169" s="11" t="s">
        <v>151</v>
      </c>
      <c r="J169" s="11" t="s">
        <v>731</v>
      </c>
      <c r="K169" s="12"/>
      <c r="L169" s="11"/>
      <c r="M169" s="11"/>
      <c r="N169" s="11"/>
      <c r="O169" s="12" t="s">
        <v>732</v>
      </c>
      <c r="P169" s="11"/>
      <c r="Q169" s="11" t="s">
        <v>310</v>
      </c>
      <c r="R169" s="11"/>
      <c r="S169" s="11"/>
      <c r="T169" s="11"/>
      <c r="U169" s="13"/>
      <c r="V169" s="13"/>
      <c r="W169" s="13"/>
      <c r="X169" s="13"/>
      <c r="Y169" s="13"/>
      <c r="Z169" s="13"/>
      <c r="AA169" s="13"/>
      <c r="AB169" s="13"/>
      <c r="AC169" s="13"/>
      <c r="AD169" s="13"/>
      <c r="AE169" s="13"/>
      <c r="AF169" s="13"/>
      <c r="AG169" s="13"/>
      <c r="AH169" s="13"/>
      <c r="AI169" s="13"/>
      <c r="AJ169" s="13"/>
    </row>
    <row r="170" ht="15.75" hidden="1" customHeight="1">
      <c r="A170" s="7" t="s">
        <v>700</v>
      </c>
      <c r="B170" s="7" t="s">
        <v>700</v>
      </c>
      <c r="C170" s="63" t="s">
        <v>733</v>
      </c>
      <c r="D170" s="9" t="s">
        <v>734</v>
      </c>
      <c r="E170" s="7" t="s">
        <v>96</v>
      </c>
      <c r="F170" s="7"/>
      <c r="G170" s="7"/>
      <c r="H170" s="7"/>
      <c r="I170" s="7" t="s">
        <v>151</v>
      </c>
      <c r="J170" s="7" t="s">
        <v>735</v>
      </c>
      <c r="K170" s="8"/>
      <c r="L170" s="7"/>
      <c r="M170" s="7"/>
      <c r="N170" s="7"/>
      <c r="O170" s="8"/>
      <c r="P170" s="7"/>
      <c r="Q170" s="7" t="s">
        <v>310</v>
      </c>
      <c r="R170" s="7"/>
      <c r="S170" s="7"/>
      <c r="T170" s="7"/>
      <c r="U170" s="9"/>
      <c r="V170" s="9"/>
      <c r="W170" s="9"/>
      <c r="X170" s="9"/>
      <c r="Y170" s="9"/>
      <c r="Z170" s="9"/>
      <c r="AA170" s="9"/>
      <c r="AB170" s="9"/>
      <c r="AC170" s="9"/>
      <c r="AD170" s="9"/>
      <c r="AE170" s="9"/>
      <c r="AF170" s="9"/>
      <c r="AG170" s="9"/>
      <c r="AH170" s="9"/>
      <c r="AI170" s="9"/>
      <c r="AJ170" s="9"/>
    </row>
    <row r="171" ht="15.75" hidden="1" customHeight="1">
      <c r="A171" s="11" t="s">
        <v>700</v>
      </c>
      <c r="B171" s="11" t="s">
        <v>700</v>
      </c>
      <c r="C171" s="12" t="s">
        <v>736</v>
      </c>
      <c r="D171" s="13" t="s">
        <v>737</v>
      </c>
      <c r="E171" s="11" t="s">
        <v>96</v>
      </c>
      <c r="F171" s="11"/>
      <c r="G171" s="18" t="s">
        <v>738</v>
      </c>
      <c r="H171" s="11"/>
      <c r="I171" s="11" t="s">
        <v>51</v>
      </c>
      <c r="J171" s="11" t="s">
        <v>731</v>
      </c>
      <c r="K171" s="12"/>
      <c r="L171" s="11"/>
      <c r="M171" s="11"/>
      <c r="N171" s="11"/>
      <c r="O171" s="12"/>
      <c r="P171" s="11"/>
      <c r="Q171" s="11" t="s">
        <v>609</v>
      </c>
      <c r="R171" s="11"/>
      <c r="S171" s="19"/>
      <c r="T171" s="11"/>
      <c r="U171" s="13"/>
      <c r="V171" s="13"/>
      <c r="W171" s="13"/>
      <c r="X171" s="13"/>
      <c r="Y171" s="13"/>
      <c r="Z171" s="13"/>
      <c r="AA171" s="13"/>
      <c r="AB171" s="13"/>
      <c r="AC171" s="13"/>
      <c r="AD171" s="13"/>
      <c r="AE171" s="13"/>
      <c r="AF171" s="13"/>
      <c r="AG171" s="13"/>
      <c r="AH171" s="13"/>
      <c r="AI171" s="13"/>
      <c r="AJ171" s="11"/>
    </row>
    <row r="172" ht="15.75" hidden="1" customHeight="1">
      <c r="A172" s="7" t="s">
        <v>700</v>
      </c>
      <c r="B172" s="7" t="s">
        <v>704</v>
      </c>
      <c r="C172" s="8" t="s">
        <v>739</v>
      </c>
      <c r="D172" s="9" t="s">
        <v>740</v>
      </c>
      <c r="E172" s="7" t="s">
        <v>96</v>
      </c>
      <c r="F172" s="7"/>
      <c r="G172" s="7"/>
      <c r="H172" s="7"/>
      <c r="I172" s="7" t="s">
        <v>151</v>
      </c>
      <c r="J172" s="7" t="s">
        <v>735</v>
      </c>
      <c r="K172" s="8"/>
      <c r="L172" s="7"/>
      <c r="M172" s="7"/>
      <c r="N172" s="7"/>
      <c r="O172" s="8"/>
      <c r="P172" s="7"/>
      <c r="Q172" s="7" t="s">
        <v>323</v>
      </c>
      <c r="R172" s="7"/>
      <c r="S172" s="17"/>
      <c r="T172" s="7"/>
      <c r="U172" s="9"/>
      <c r="V172" s="9"/>
      <c r="W172" s="9"/>
      <c r="X172" s="9"/>
      <c r="Y172" s="9"/>
      <c r="Z172" s="9"/>
      <c r="AA172" s="9"/>
      <c r="AB172" s="9"/>
      <c r="AC172" s="9"/>
      <c r="AD172" s="9"/>
      <c r="AE172" s="9"/>
      <c r="AF172" s="9"/>
      <c r="AG172" s="9"/>
      <c r="AH172" s="9"/>
      <c r="AI172" s="9"/>
      <c r="AJ172" s="9"/>
    </row>
    <row r="173" ht="15.75" hidden="1" customHeight="1">
      <c r="A173" s="11" t="s">
        <v>700</v>
      </c>
      <c r="B173" s="11" t="s">
        <v>741</v>
      </c>
      <c r="C173" s="12" t="s">
        <v>742</v>
      </c>
      <c r="D173" s="13" t="s">
        <v>743</v>
      </c>
      <c r="E173" s="11" t="s">
        <v>96</v>
      </c>
      <c r="F173" s="11"/>
      <c r="G173" s="11"/>
      <c r="H173" s="11"/>
      <c r="I173" s="11"/>
      <c r="J173" s="11" t="s">
        <v>741</v>
      </c>
      <c r="K173" s="12"/>
      <c r="L173" s="11"/>
      <c r="M173" s="11"/>
      <c r="N173" s="11"/>
      <c r="O173" s="12"/>
      <c r="P173" s="11"/>
      <c r="Q173" s="11"/>
      <c r="R173" s="11"/>
      <c r="S173" s="19"/>
      <c r="T173" s="11"/>
      <c r="U173" s="13"/>
      <c r="V173" s="13"/>
      <c r="W173" s="13"/>
      <c r="X173" s="13"/>
      <c r="Y173" s="13"/>
      <c r="Z173" s="13"/>
      <c r="AA173" s="13"/>
      <c r="AB173" s="13"/>
      <c r="AC173" s="13"/>
      <c r="AD173" s="13"/>
      <c r="AE173" s="13"/>
      <c r="AF173" s="13"/>
      <c r="AG173" s="13"/>
      <c r="AH173" s="13"/>
      <c r="AI173" s="13"/>
      <c r="AJ173" s="13"/>
    </row>
    <row r="174" ht="15.75" hidden="1" customHeight="1">
      <c r="A174" s="7" t="s">
        <v>700</v>
      </c>
      <c r="B174" s="7" t="s">
        <v>713</v>
      </c>
      <c r="C174" s="8" t="s">
        <v>744</v>
      </c>
      <c r="D174" s="9" t="s">
        <v>745</v>
      </c>
      <c r="E174" s="7" t="s">
        <v>96</v>
      </c>
      <c r="F174" s="7"/>
      <c r="G174" s="16" t="s">
        <v>746</v>
      </c>
      <c r="H174" s="7"/>
      <c r="I174" s="7" t="s">
        <v>51</v>
      </c>
      <c r="J174" s="7" t="s">
        <v>735</v>
      </c>
      <c r="K174" s="8"/>
      <c r="L174" s="7"/>
      <c r="M174" s="7"/>
      <c r="N174" s="7"/>
      <c r="O174" s="8" t="s">
        <v>747</v>
      </c>
      <c r="P174" s="7"/>
      <c r="Q174" s="7"/>
      <c r="R174" s="7"/>
      <c r="S174" s="17"/>
      <c r="T174" s="7"/>
      <c r="U174" s="9"/>
      <c r="V174" s="9"/>
      <c r="W174" s="9"/>
      <c r="X174" s="9"/>
      <c r="Y174" s="9"/>
      <c r="Z174" s="9"/>
      <c r="AA174" s="9"/>
      <c r="AB174" s="9"/>
      <c r="AC174" s="9"/>
      <c r="AD174" s="9"/>
      <c r="AE174" s="9"/>
      <c r="AF174" s="9"/>
      <c r="AG174" s="9"/>
      <c r="AH174" s="9"/>
      <c r="AI174" s="9"/>
      <c r="AJ174" s="9"/>
    </row>
    <row r="175" ht="15.75" hidden="1" customHeight="1">
      <c r="A175" s="11" t="s">
        <v>700</v>
      </c>
      <c r="B175" s="11" t="s">
        <v>713</v>
      </c>
      <c r="C175" s="12" t="s">
        <v>748</v>
      </c>
      <c r="D175" s="12" t="s">
        <v>749</v>
      </c>
      <c r="E175" s="11" t="s">
        <v>96</v>
      </c>
      <c r="F175" s="11"/>
      <c r="G175" s="18" t="s">
        <v>750</v>
      </c>
      <c r="H175" s="11"/>
      <c r="I175" s="11" t="s">
        <v>151</v>
      </c>
      <c r="J175" s="11" t="s">
        <v>735</v>
      </c>
      <c r="K175" s="12"/>
      <c r="L175" s="11"/>
      <c r="M175" s="11"/>
      <c r="N175" s="11"/>
      <c r="O175" s="12"/>
      <c r="P175" s="11"/>
      <c r="Q175" s="11" t="s">
        <v>323</v>
      </c>
      <c r="R175" s="11"/>
      <c r="S175" s="19"/>
      <c r="T175" s="11"/>
      <c r="U175" s="13"/>
      <c r="V175" s="13"/>
      <c r="W175" s="13"/>
      <c r="X175" s="13"/>
      <c r="Y175" s="13"/>
      <c r="Z175" s="13"/>
      <c r="AA175" s="13"/>
      <c r="AB175" s="13"/>
      <c r="AC175" s="13"/>
      <c r="AD175" s="13"/>
      <c r="AE175" s="13"/>
      <c r="AF175" s="13"/>
      <c r="AG175" s="13"/>
      <c r="AH175" s="13"/>
      <c r="AI175" s="13"/>
      <c r="AJ175" s="13"/>
    </row>
    <row r="176" ht="15.75" hidden="1" customHeight="1">
      <c r="A176" s="7" t="s">
        <v>700</v>
      </c>
      <c r="B176" s="7" t="s">
        <v>700</v>
      </c>
      <c r="C176" s="63" t="s">
        <v>751</v>
      </c>
      <c r="D176" s="9" t="s">
        <v>752</v>
      </c>
      <c r="E176" s="7" t="s">
        <v>96</v>
      </c>
      <c r="F176" s="7"/>
      <c r="G176" s="7" t="s">
        <v>753</v>
      </c>
      <c r="H176" s="7"/>
      <c r="I176" s="7" t="s">
        <v>27</v>
      </c>
      <c r="J176" s="7" t="s">
        <v>735</v>
      </c>
      <c r="K176" s="8"/>
      <c r="L176" s="7"/>
      <c r="M176" s="7"/>
      <c r="N176" s="7"/>
      <c r="O176" s="8"/>
      <c r="P176" s="7"/>
      <c r="Q176" s="7" t="s">
        <v>754</v>
      </c>
      <c r="R176" s="7"/>
      <c r="S176" s="7"/>
      <c r="T176" s="7"/>
      <c r="U176" s="9"/>
      <c r="V176" s="9"/>
      <c r="W176" s="9"/>
      <c r="X176" s="9"/>
      <c r="Y176" s="9"/>
      <c r="Z176" s="9"/>
      <c r="AA176" s="9"/>
      <c r="AB176" s="9"/>
      <c r="AC176" s="9"/>
      <c r="AD176" s="9"/>
      <c r="AE176" s="9"/>
      <c r="AF176" s="9"/>
      <c r="AG176" s="9"/>
      <c r="AH176" s="9"/>
      <c r="AI176" s="9"/>
      <c r="AJ176" s="9"/>
    </row>
    <row r="177" ht="15.75" hidden="1" customHeight="1">
      <c r="A177" s="11" t="s">
        <v>700</v>
      </c>
      <c r="B177" s="11" t="s">
        <v>700</v>
      </c>
      <c r="C177" s="12" t="s">
        <v>755</v>
      </c>
      <c r="D177" s="13" t="s">
        <v>756</v>
      </c>
      <c r="E177" s="11" t="s">
        <v>25</v>
      </c>
      <c r="F177" s="11"/>
      <c r="G177" s="18" t="s">
        <v>738</v>
      </c>
      <c r="H177" s="11"/>
      <c r="I177" s="11" t="s">
        <v>151</v>
      </c>
      <c r="J177" s="11" t="s">
        <v>731</v>
      </c>
      <c r="K177" s="12"/>
      <c r="L177" s="11"/>
      <c r="M177" s="11"/>
      <c r="N177" s="11"/>
      <c r="O177" s="12"/>
      <c r="P177" s="11"/>
      <c r="Q177" s="11" t="s">
        <v>609</v>
      </c>
      <c r="R177" s="11"/>
      <c r="S177" s="19"/>
      <c r="T177" s="11"/>
      <c r="U177" s="13"/>
      <c r="V177" s="13"/>
      <c r="W177" s="13"/>
      <c r="X177" s="13"/>
      <c r="Y177" s="13"/>
      <c r="Z177" s="13"/>
      <c r="AA177" s="13"/>
      <c r="AB177" s="13"/>
      <c r="AC177" s="13"/>
      <c r="AD177" s="13"/>
      <c r="AE177" s="13"/>
      <c r="AF177" s="13"/>
      <c r="AG177" s="13"/>
      <c r="AH177" s="13"/>
      <c r="AI177" s="13"/>
      <c r="AJ177" s="13"/>
    </row>
    <row r="178" ht="15.75" hidden="1" customHeight="1">
      <c r="A178" s="7" t="s">
        <v>700</v>
      </c>
      <c r="B178" s="7" t="s">
        <v>704</v>
      </c>
      <c r="C178" s="63" t="s">
        <v>757</v>
      </c>
      <c r="D178" s="9" t="s">
        <v>758</v>
      </c>
      <c r="E178" s="7" t="s">
        <v>25</v>
      </c>
      <c r="F178" s="7"/>
      <c r="G178" s="7" t="s">
        <v>759</v>
      </c>
      <c r="H178" s="7"/>
      <c r="I178" s="7" t="s">
        <v>27</v>
      </c>
      <c r="J178" s="7" t="s">
        <v>760</v>
      </c>
      <c r="K178" s="8"/>
      <c r="L178" s="7"/>
      <c r="M178" s="7"/>
      <c r="N178" s="7"/>
      <c r="O178" s="8"/>
      <c r="P178" s="7"/>
      <c r="Q178" s="7" t="s">
        <v>761</v>
      </c>
      <c r="R178" s="7"/>
      <c r="S178" s="7"/>
      <c r="T178" s="7"/>
      <c r="U178" s="9"/>
      <c r="V178" s="9"/>
      <c r="W178" s="9"/>
      <c r="X178" s="9"/>
      <c r="Y178" s="9"/>
      <c r="Z178" s="9"/>
      <c r="AA178" s="9"/>
      <c r="AB178" s="9"/>
      <c r="AC178" s="9"/>
      <c r="AD178" s="9"/>
      <c r="AE178" s="9"/>
      <c r="AF178" s="9"/>
      <c r="AG178" s="9"/>
      <c r="AH178" s="9"/>
      <c r="AI178" s="9"/>
      <c r="AJ178" s="9"/>
    </row>
    <row r="179" ht="15.75" hidden="1" customHeight="1">
      <c r="A179" s="11" t="s">
        <v>700</v>
      </c>
      <c r="B179" s="11" t="s">
        <v>700</v>
      </c>
      <c r="C179" s="12" t="s">
        <v>762</v>
      </c>
      <c r="D179" s="13" t="s">
        <v>763</v>
      </c>
      <c r="E179" s="11" t="s">
        <v>96</v>
      </c>
      <c r="F179" s="11"/>
      <c r="G179" s="18" t="s">
        <v>764</v>
      </c>
      <c r="H179" s="11"/>
      <c r="I179" s="11" t="s">
        <v>51</v>
      </c>
      <c r="J179" s="64" t="s">
        <v>731</v>
      </c>
      <c r="K179" s="12"/>
      <c r="L179" s="11"/>
      <c r="M179" s="64"/>
      <c r="N179" s="64"/>
      <c r="O179" s="12"/>
      <c r="P179" s="11"/>
      <c r="Q179" s="11" t="s">
        <v>609</v>
      </c>
      <c r="R179" s="11"/>
      <c r="S179" s="19"/>
      <c r="T179" s="11"/>
      <c r="U179" s="13"/>
      <c r="V179" s="13"/>
      <c r="W179" s="13"/>
      <c r="X179" s="13"/>
      <c r="Y179" s="13"/>
      <c r="Z179" s="13"/>
      <c r="AA179" s="13"/>
      <c r="AB179" s="13"/>
      <c r="AC179" s="13"/>
      <c r="AD179" s="13"/>
      <c r="AE179" s="13"/>
      <c r="AF179" s="13"/>
      <c r="AG179" s="13"/>
      <c r="AH179" s="13"/>
      <c r="AI179" s="13"/>
      <c r="AJ179" s="11"/>
    </row>
    <row r="180" ht="15.75" hidden="1" customHeight="1">
      <c r="A180" s="7" t="s">
        <v>700</v>
      </c>
      <c r="B180" s="7" t="s">
        <v>700</v>
      </c>
      <c r="C180" s="8" t="s">
        <v>765</v>
      </c>
      <c r="D180" s="9" t="s">
        <v>766</v>
      </c>
      <c r="E180" s="7" t="s">
        <v>96</v>
      </c>
      <c r="F180" s="7"/>
      <c r="G180" s="7"/>
      <c r="H180" s="7"/>
      <c r="I180" s="7" t="s">
        <v>51</v>
      </c>
      <c r="J180" s="7" t="s">
        <v>735</v>
      </c>
      <c r="K180" s="8"/>
      <c r="L180" s="7" t="s">
        <v>767</v>
      </c>
      <c r="M180" s="7"/>
      <c r="N180" s="7"/>
      <c r="O180" s="8" t="s">
        <v>768</v>
      </c>
      <c r="P180" s="7"/>
      <c r="Q180" s="7" t="s">
        <v>769</v>
      </c>
      <c r="R180" s="7"/>
      <c r="S180" s="7"/>
      <c r="T180" s="7"/>
      <c r="U180" s="9"/>
      <c r="V180" s="9"/>
      <c r="W180" s="9"/>
      <c r="X180" s="9"/>
      <c r="Y180" s="9"/>
      <c r="Z180" s="9"/>
      <c r="AA180" s="9"/>
      <c r="AB180" s="9"/>
      <c r="AC180" s="9"/>
      <c r="AD180" s="9"/>
      <c r="AE180" s="9"/>
      <c r="AF180" s="9"/>
      <c r="AG180" s="9"/>
      <c r="AH180" s="9"/>
      <c r="AI180" s="9"/>
      <c r="AJ180" s="9"/>
    </row>
    <row r="181" ht="15.75" hidden="1" customHeight="1">
      <c r="A181" s="11" t="s">
        <v>700</v>
      </c>
      <c r="B181" s="11" t="s">
        <v>700</v>
      </c>
      <c r="C181" s="19" t="s">
        <v>770</v>
      </c>
      <c r="D181" s="13" t="s">
        <v>771</v>
      </c>
      <c r="E181" s="11" t="s">
        <v>49</v>
      </c>
      <c r="F181" s="11"/>
      <c r="G181" s="18" t="s">
        <v>772</v>
      </c>
      <c r="H181" s="11"/>
      <c r="I181" s="11" t="s">
        <v>51</v>
      </c>
      <c r="J181" s="11"/>
      <c r="K181" s="12"/>
      <c r="L181" s="11"/>
      <c r="M181" s="11"/>
      <c r="N181" s="11"/>
      <c r="O181" s="12"/>
      <c r="P181" s="11"/>
      <c r="Q181" s="11" t="s">
        <v>323</v>
      </c>
      <c r="R181" s="11"/>
      <c r="S181" s="19"/>
      <c r="T181" s="11"/>
      <c r="U181" s="13"/>
      <c r="V181" s="13"/>
      <c r="W181" s="13"/>
      <c r="X181" s="13"/>
      <c r="Y181" s="13"/>
      <c r="Z181" s="13"/>
      <c r="AA181" s="13"/>
      <c r="AB181" s="13"/>
      <c r="AC181" s="13"/>
      <c r="AD181" s="13"/>
      <c r="AE181" s="13"/>
      <c r="AF181" s="13"/>
      <c r="AG181" s="13"/>
      <c r="AH181" s="13"/>
      <c r="AI181" s="13"/>
      <c r="AJ181" s="13"/>
    </row>
    <row r="182" ht="15.75" hidden="1" customHeight="1">
      <c r="A182" s="7" t="s">
        <v>700</v>
      </c>
      <c r="B182" s="7" t="s">
        <v>700</v>
      </c>
      <c r="C182" s="17" t="s">
        <v>773</v>
      </c>
      <c r="D182" s="9" t="s">
        <v>774</v>
      </c>
      <c r="E182" s="7" t="s">
        <v>49</v>
      </c>
      <c r="F182" s="7"/>
      <c r="G182" s="16" t="s">
        <v>775</v>
      </c>
      <c r="H182" s="7"/>
      <c r="I182" s="7" t="s">
        <v>151</v>
      </c>
      <c r="J182" s="7"/>
      <c r="K182" s="8"/>
      <c r="L182" s="7"/>
      <c r="M182" s="7"/>
      <c r="N182" s="7"/>
      <c r="O182" s="8"/>
      <c r="P182" s="7"/>
      <c r="Q182" s="7" t="s">
        <v>323</v>
      </c>
      <c r="R182" s="7"/>
      <c r="S182" s="17"/>
      <c r="T182" s="7"/>
      <c r="U182" s="9"/>
      <c r="V182" s="9"/>
      <c r="W182" s="9"/>
      <c r="X182" s="9"/>
      <c r="Y182" s="9"/>
      <c r="Z182" s="9"/>
      <c r="AA182" s="9"/>
      <c r="AB182" s="9"/>
      <c r="AC182" s="9"/>
      <c r="AD182" s="9"/>
      <c r="AE182" s="9"/>
      <c r="AF182" s="9"/>
      <c r="AG182" s="9"/>
      <c r="AH182" s="9"/>
      <c r="AI182" s="9"/>
      <c r="AJ182" s="9"/>
    </row>
    <row r="183" ht="15.75" hidden="1" customHeight="1">
      <c r="A183" s="11" t="s">
        <v>700</v>
      </c>
      <c r="B183" s="11" t="s">
        <v>713</v>
      </c>
      <c r="C183" s="12" t="s">
        <v>776</v>
      </c>
      <c r="D183" s="13" t="s">
        <v>777</v>
      </c>
      <c r="E183" s="11" t="s">
        <v>25</v>
      </c>
      <c r="F183" s="11"/>
      <c r="G183" s="11"/>
      <c r="H183" s="11"/>
      <c r="I183" s="11" t="s">
        <v>27</v>
      </c>
      <c r="J183" s="11"/>
      <c r="K183" s="12"/>
      <c r="L183" s="11"/>
      <c r="M183" s="11"/>
      <c r="N183" s="11"/>
      <c r="O183" s="12" t="s">
        <v>778</v>
      </c>
      <c r="P183" s="11"/>
      <c r="Q183" s="11" t="s">
        <v>779</v>
      </c>
      <c r="R183" s="11"/>
      <c r="S183" s="11"/>
      <c r="T183" s="11"/>
      <c r="U183" s="13"/>
      <c r="V183" s="13"/>
      <c r="W183" s="13"/>
      <c r="X183" s="13"/>
      <c r="Y183" s="13"/>
      <c r="Z183" s="13"/>
      <c r="AA183" s="13"/>
      <c r="AB183" s="13"/>
      <c r="AC183" s="13"/>
      <c r="AD183" s="13"/>
      <c r="AE183" s="13"/>
      <c r="AF183" s="13"/>
      <c r="AG183" s="13"/>
      <c r="AH183" s="13"/>
      <c r="AI183" s="13"/>
      <c r="AJ183" s="13"/>
    </row>
    <row r="184" ht="15.75" hidden="1" customHeight="1">
      <c r="A184" s="7" t="s">
        <v>700</v>
      </c>
      <c r="B184" s="7" t="s">
        <v>700</v>
      </c>
      <c r="C184" s="8" t="s">
        <v>780</v>
      </c>
      <c r="D184" s="9" t="s">
        <v>781</v>
      </c>
      <c r="E184" s="7" t="s">
        <v>96</v>
      </c>
      <c r="F184" s="7"/>
      <c r="G184" s="16" t="s">
        <v>782</v>
      </c>
      <c r="H184" s="7"/>
      <c r="I184" s="7" t="s">
        <v>27</v>
      </c>
      <c r="J184" s="7" t="s">
        <v>735</v>
      </c>
      <c r="K184" s="8"/>
      <c r="L184" s="7"/>
      <c r="M184" s="7"/>
      <c r="N184" s="7"/>
      <c r="O184" s="8"/>
      <c r="P184" s="7"/>
      <c r="Q184" s="7"/>
      <c r="R184" s="7"/>
      <c r="S184" s="17"/>
      <c r="T184" s="7"/>
      <c r="U184" s="9"/>
      <c r="V184" s="9"/>
      <c r="W184" s="9"/>
      <c r="X184" s="9"/>
      <c r="Y184" s="9"/>
      <c r="Z184" s="9"/>
      <c r="AA184" s="9"/>
      <c r="AB184" s="9"/>
      <c r="AC184" s="9"/>
      <c r="AD184" s="9"/>
      <c r="AE184" s="9"/>
      <c r="AF184" s="9"/>
      <c r="AG184" s="9"/>
      <c r="AH184" s="9"/>
      <c r="AI184" s="9"/>
      <c r="AJ184" s="9"/>
    </row>
    <row r="185" ht="15.75" hidden="1" customHeight="1">
      <c r="A185" s="11" t="s">
        <v>700</v>
      </c>
      <c r="B185" s="11" t="s">
        <v>700</v>
      </c>
      <c r="C185" s="12" t="s">
        <v>783</v>
      </c>
      <c r="D185" s="12" t="s">
        <v>784</v>
      </c>
      <c r="E185" s="11" t="s">
        <v>49</v>
      </c>
      <c r="F185" s="11"/>
      <c r="G185" s="18" t="s">
        <v>782</v>
      </c>
      <c r="H185" s="11"/>
      <c r="I185" s="11" t="s">
        <v>27</v>
      </c>
      <c r="J185" s="11"/>
      <c r="K185" s="11"/>
      <c r="L185" s="30" t="s">
        <v>785</v>
      </c>
      <c r="M185" s="11" t="s">
        <v>786</v>
      </c>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3"/>
    </row>
    <row r="186" ht="15.75" hidden="1" customHeight="1">
      <c r="A186" s="7" t="s">
        <v>700</v>
      </c>
      <c r="B186" s="7" t="s">
        <v>700</v>
      </c>
      <c r="C186" s="8" t="s">
        <v>787</v>
      </c>
      <c r="D186" s="8" t="s">
        <v>788</v>
      </c>
      <c r="E186" s="7" t="s">
        <v>96</v>
      </c>
      <c r="F186" s="7"/>
      <c r="G186" s="16" t="s">
        <v>782</v>
      </c>
      <c r="H186" s="7"/>
      <c r="I186" s="7" t="s">
        <v>27</v>
      </c>
      <c r="J186" s="7"/>
      <c r="K186" s="7"/>
      <c r="L186" s="7"/>
      <c r="M186" s="7"/>
      <c r="N186" s="7"/>
      <c r="O186" s="7"/>
      <c r="P186" s="7"/>
      <c r="Q186" s="7"/>
      <c r="R186" s="7"/>
      <c r="S186" s="7"/>
      <c r="T186" s="7"/>
      <c r="U186" s="7"/>
      <c r="V186" s="7"/>
      <c r="W186" s="7"/>
      <c r="X186" s="7"/>
      <c r="Y186" s="7"/>
      <c r="Z186" s="7"/>
      <c r="AA186" s="7"/>
      <c r="AB186" s="7"/>
      <c r="AC186" s="7"/>
      <c r="AD186" s="7"/>
      <c r="AE186" s="7"/>
      <c r="AF186" s="7"/>
      <c r="AG186" s="7"/>
      <c r="AH186" s="7"/>
      <c r="AI186" s="7"/>
      <c r="AJ186" s="9"/>
    </row>
    <row r="187" ht="15.75" hidden="1" customHeight="1">
      <c r="A187" s="11" t="s">
        <v>641</v>
      </c>
      <c r="B187" s="11" t="s">
        <v>700</v>
      </c>
      <c r="C187" s="12" t="s">
        <v>789</v>
      </c>
      <c r="D187" s="13" t="s">
        <v>790</v>
      </c>
      <c r="E187" s="11" t="s">
        <v>25</v>
      </c>
      <c r="F187" s="11"/>
      <c r="G187" s="18" t="s">
        <v>782</v>
      </c>
      <c r="H187" s="13"/>
      <c r="I187" s="11" t="s">
        <v>27</v>
      </c>
      <c r="J187" s="11"/>
      <c r="K187" s="12"/>
      <c r="L187" s="11"/>
      <c r="M187" s="11"/>
      <c r="N187" s="11"/>
      <c r="O187" s="12"/>
      <c r="P187" s="11"/>
      <c r="Q187" s="11" t="s">
        <v>102</v>
      </c>
      <c r="R187" s="13"/>
      <c r="S187" s="19"/>
      <c r="T187" s="13"/>
      <c r="U187" s="13"/>
      <c r="V187" s="13"/>
      <c r="W187" s="13"/>
      <c r="X187" s="13"/>
      <c r="Y187" s="13"/>
      <c r="Z187" s="13"/>
      <c r="AA187" s="13"/>
      <c r="AB187" s="13"/>
      <c r="AC187" s="13"/>
      <c r="AD187" s="13"/>
      <c r="AE187" s="13"/>
      <c r="AF187" s="13"/>
      <c r="AG187" s="13"/>
      <c r="AH187" s="13"/>
      <c r="AI187" s="13"/>
      <c r="AJ187" s="13"/>
    </row>
    <row r="188" ht="15.75" hidden="1" customHeight="1">
      <c r="A188" s="7" t="s">
        <v>700</v>
      </c>
      <c r="B188" s="7" t="s">
        <v>700</v>
      </c>
      <c r="C188" s="8" t="s">
        <v>791</v>
      </c>
      <c r="D188" s="9"/>
      <c r="E188" s="7" t="s">
        <v>96</v>
      </c>
      <c r="F188" s="7"/>
      <c r="G188" s="16" t="s">
        <v>746</v>
      </c>
      <c r="H188" s="7"/>
      <c r="I188" s="7" t="s">
        <v>27</v>
      </c>
      <c r="J188" s="7"/>
      <c r="K188" s="8"/>
      <c r="L188" s="7"/>
      <c r="M188" s="7"/>
      <c r="N188" s="7"/>
      <c r="O188" s="8" t="s">
        <v>792</v>
      </c>
      <c r="P188" s="7"/>
      <c r="Q188" s="7"/>
      <c r="R188" s="7"/>
      <c r="S188" s="17"/>
      <c r="T188" s="7"/>
      <c r="U188" s="9"/>
      <c r="V188" s="9"/>
      <c r="W188" s="9"/>
      <c r="X188" s="9"/>
      <c r="Y188" s="9"/>
      <c r="Z188" s="9"/>
      <c r="AA188" s="9"/>
      <c r="AB188" s="9"/>
      <c r="AC188" s="9"/>
      <c r="AD188" s="9"/>
      <c r="AE188" s="9"/>
      <c r="AF188" s="9"/>
      <c r="AG188" s="9"/>
      <c r="AH188" s="9"/>
      <c r="AI188" s="9"/>
      <c r="AJ188" s="9"/>
    </row>
    <row r="189" ht="15.75" hidden="1" customHeight="1">
      <c r="A189" s="65" t="s">
        <v>700</v>
      </c>
      <c r="B189" s="65" t="s">
        <v>713</v>
      </c>
      <c r="C189" s="66" t="s">
        <v>793</v>
      </c>
      <c r="D189" s="67" t="s">
        <v>794</v>
      </c>
      <c r="E189" s="65" t="s">
        <v>25</v>
      </c>
      <c r="F189" s="65"/>
      <c r="G189" s="65" t="s">
        <v>753</v>
      </c>
      <c r="H189" s="65"/>
      <c r="I189" s="65" t="s">
        <v>27</v>
      </c>
      <c r="J189" s="65" t="s">
        <v>735</v>
      </c>
      <c r="K189" s="68"/>
      <c r="L189" s="65"/>
      <c r="M189" s="65"/>
      <c r="N189" s="65"/>
      <c r="O189" s="68" t="s">
        <v>795</v>
      </c>
      <c r="P189" s="65"/>
      <c r="Q189" s="65"/>
      <c r="R189" s="65"/>
      <c r="S189" s="65"/>
      <c r="T189" s="65"/>
      <c r="U189" s="67"/>
      <c r="V189" s="67"/>
      <c r="W189" s="67"/>
      <c r="X189" s="67"/>
      <c r="Y189" s="67"/>
      <c r="Z189" s="67"/>
      <c r="AA189" s="67"/>
      <c r="AB189" s="67"/>
      <c r="AC189" s="67"/>
      <c r="AD189" s="67"/>
      <c r="AE189" s="67"/>
      <c r="AF189" s="67"/>
      <c r="AG189" s="67"/>
      <c r="AH189" s="67"/>
      <c r="AI189" s="67"/>
      <c r="AJ189" s="67"/>
    </row>
    <row r="190" ht="15.75" hidden="1" customHeight="1">
      <c r="A190" s="7" t="s">
        <v>700</v>
      </c>
      <c r="B190" s="7" t="s">
        <v>713</v>
      </c>
      <c r="C190" s="8" t="s">
        <v>796</v>
      </c>
      <c r="D190" s="9" t="s">
        <v>797</v>
      </c>
      <c r="E190" s="7" t="s">
        <v>49</v>
      </c>
      <c r="F190" s="7"/>
      <c r="G190" s="16" t="s">
        <v>798</v>
      </c>
      <c r="H190" s="7"/>
      <c r="I190" s="7" t="s">
        <v>51</v>
      </c>
      <c r="J190" s="7"/>
      <c r="K190" s="8"/>
      <c r="L190" s="7"/>
      <c r="M190" s="7"/>
      <c r="N190" s="7"/>
      <c r="O190" s="69" t="s">
        <v>799</v>
      </c>
      <c r="P190" s="7"/>
      <c r="Q190" s="7" t="s">
        <v>102</v>
      </c>
      <c r="R190" s="7"/>
      <c r="S190" s="7"/>
      <c r="T190" s="7"/>
      <c r="U190" s="9"/>
      <c r="V190" s="9"/>
      <c r="W190" s="9"/>
      <c r="X190" s="9"/>
      <c r="Y190" s="9"/>
      <c r="Z190" s="9"/>
      <c r="AA190" s="9"/>
      <c r="AB190" s="9"/>
      <c r="AC190" s="9"/>
      <c r="AD190" s="9"/>
      <c r="AE190" s="9"/>
      <c r="AF190" s="9"/>
      <c r="AG190" s="9"/>
      <c r="AH190" s="9"/>
      <c r="AI190" s="9"/>
      <c r="AJ190" s="9"/>
    </row>
    <row r="191" ht="15.75" hidden="1" customHeight="1">
      <c r="A191" s="11" t="s">
        <v>700</v>
      </c>
      <c r="B191" s="11" t="s">
        <v>700</v>
      </c>
      <c r="C191" s="12" t="s">
        <v>800</v>
      </c>
      <c r="D191" s="13" t="s">
        <v>801</v>
      </c>
      <c r="E191" s="11" t="s">
        <v>49</v>
      </c>
      <c r="F191" s="11"/>
      <c r="G191" s="18" t="s">
        <v>802</v>
      </c>
      <c r="H191" s="11"/>
      <c r="I191" s="11" t="s">
        <v>51</v>
      </c>
      <c r="J191" s="11" t="s">
        <v>731</v>
      </c>
      <c r="K191" s="12"/>
      <c r="L191" s="11"/>
      <c r="M191" s="11"/>
      <c r="N191" s="11"/>
      <c r="O191" s="12"/>
      <c r="P191" s="11"/>
      <c r="Q191" s="11" t="s">
        <v>803</v>
      </c>
      <c r="R191" s="11"/>
      <c r="S191" s="19"/>
      <c r="T191" s="11"/>
      <c r="U191" s="13"/>
      <c r="V191" s="13"/>
      <c r="W191" s="13"/>
      <c r="X191" s="13"/>
      <c r="Y191" s="13"/>
      <c r="Z191" s="13"/>
      <c r="AA191" s="13"/>
      <c r="AB191" s="13"/>
      <c r="AC191" s="13"/>
      <c r="AD191" s="13"/>
      <c r="AE191" s="13"/>
      <c r="AF191" s="13"/>
      <c r="AG191" s="13"/>
      <c r="AH191" s="13"/>
      <c r="AI191" s="13"/>
      <c r="AJ191" s="11"/>
    </row>
    <row r="192" ht="15.75" hidden="1" customHeight="1">
      <c r="A192" s="70" t="s">
        <v>700</v>
      </c>
      <c r="B192" s="70" t="s">
        <v>700</v>
      </c>
      <c r="C192" s="66" t="s">
        <v>804</v>
      </c>
      <c r="D192" s="71" t="s">
        <v>805</v>
      </c>
      <c r="E192" s="70" t="s">
        <v>96</v>
      </c>
      <c r="F192" s="70"/>
      <c r="G192" s="72" t="s">
        <v>802</v>
      </c>
      <c r="H192" s="70"/>
      <c r="I192" s="70" t="s">
        <v>51</v>
      </c>
      <c r="J192" s="7" t="s">
        <v>735</v>
      </c>
      <c r="K192" s="8"/>
      <c r="L192" s="7"/>
      <c r="M192" s="7"/>
      <c r="N192" s="7"/>
      <c r="O192" s="8"/>
      <c r="P192" s="7"/>
      <c r="Q192" s="7" t="s">
        <v>806</v>
      </c>
      <c r="R192" s="7"/>
      <c r="S192" s="17"/>
      <c r="T192" s="7"/>
      <c r="U192" s="9"/>
      <c r="V192" s="9"/>
      <c r="W192" s="9"/>
      <c r="X192" s="9"/>
      <c r="Y192" s="9"/>
      <c r="Z192" s="9"/>
      <c r="AA192" s="9"/>
      <c r="AB192" s="9"/>
      <c r="AC192" s="9"/>
      <c r="AD192" s="9"/>
      <c r="AE192" s="9"/>
      <c r="AF192" s="9"/>
      <c r="AG192" s="9"/>
      <c r="AH192" s="9"/>
      <c r="AI192" s="9"/>
      <c r="AJ192" s="9"/>
    </row>
    <row r="193" ht="15.75" hidden="1" customHeight="1">
      <c r="A193" s="11" t="s">
        <v>700</v>
      </c>
      <c r="B193" s="11" t="s">
        <v>700</v>
      </c>
      <c r="C193" s="12" t="s">
        <v>807</v>
      </c>
      <c r="D193" s="13" t="s">
        <v>808</v>
      </c>
      <c r="E193" s="11" t="s">
        <v>25</v>
      </c>
      <c r="F193" s="11"/>
      <c r="G193" s="18" t="s">
        <v>809</v>
      </c>
      <c r="H193" s="11" t="s">
        <v>51</v>
      </c>
      <c r="I193" s="11" t="s">
        <v>51</v>
      </c>
      <c r="J193" s="11" t="s">
        <v>735</v>
      </c>
      <c r="K193" s="12"/>
      <c r="L193" s="11" t="s">
        <v>810</v>
      </c>
      <c r="M193" s="11"/>
      <c r="N193" s="11"/>
      <c r="O193" s="12"/>
      <c r="P193" s="11"/>
      <c r="Q193" s="11"/>
      <c r="R193" s="11"/>
      <c r="S193" s="11"/>
      <c r="T193" s="11"/>
      <c r="U193" s="13"/>
      <c r="V193" s="13"/>
      <c r="W193" s="13"/>
      <c r="X193" s="13"/>
      <c r="Y193" s="13"/>
      <c r="Z193" s="13"/>
      <c r="AA193" s="13"/>
      <c r="AB193" s="13"/>
      <c r="AC193" s="13"/>
      <c r="AD193" s="13"/>
      <c r="AE193" s="13"/>
      <c r="AF193" s="13"/>
      <c r="AG193" s="13"/>
      <c r="AH193" s="13"/>
      <c r="AI193" s="13"/>
      <c r="AJ193" s="13"/>
    </row>
    <row r="194" ht="15.75" hidden="1" customHeight="1">
      <c r="A194" s="7" t="s">
        <v>700</v>
      </c>
      <c r="B194" s="7" t="s">
        <v>713</v>
      </c>
      <c r="C194" s="8" t="s">
        <v>811</v>
      </c>
      <c r="D194" s="9" t="s">
        <v>812</v>
      </c>
      <c r="E194" s="7" t="s">
        <v>25</v>
      </c>
      <c r="F194" s="7"/>
      <c r="G194" s="16" t="s">
        <v>750</v>
      </c>
      <c r="H194" s="7"/>
      <c r="I194" s="7" t="s">
        <v>27</v>
      </c>
      <c r="J194" s="7" t="s">
        <v>735</v>
      </c>
      <c r="K194" s="8"/>
      <c r="L194" s="7"/>
      <c r="M194" s="7"/>
      <c r="N194" s="7"/>
      <c r="O194" s="8" t="s">
        <v>813</v>
      </c>
      <c r="P194" s="7"/>
      <c r="Q194" s="7"/>
      <c r="R194" s="7"/>
      <c r="S194" s="7"/>
      <c r="T194" s="7"/>
      <c r="U194" s="9"/>
      <c r="V194" s="9"/>
      <c r="W194" s="9"/>
      <c r="X194" s="9"/>
      <c r="Y194" s="9"/>
      <c r="Z194" s="9"/>
      <c r="AA194" s="9"/>
      <c r="AB194" s="9"/>
      <c r="AC194" s="9"/>
      <c r="AD194" s="9"/>
      <c r="AE194" s="9"/>
      <c r="AF194" s="9"/>
      <c r="AG194" s="9"/>
      <c r="AH194" s="9"/>
      <c r="AI194" s="9"/>
      <c r="AJ194" s="9"/>
    </row>
    <row r="195" ht="15.75" hidden="1" customHeight="1">
      <c r="A195" s="11" t="s">
        <v>700</v>
      </c>
      <c r="B195" s="11" t="s">
        <v>700</v>
      </c>
      <c r="C195" s="12" t="s">
        <v>814</v>
      </c>
      <c r="D195" s="13" t="s">
        <v>815</v>
      </c>
      <c r="E195" s="11" t="s">
        <v>96</v>
      </c>
      <c r="F195" s="11"/>
      <c r="G195" s="11"/>
      <c r="H195" s="11"/>
      <c r="I195" s="11"/>
      <c r="J195" s="11"/>
      <c r="K195" s="12"/>
      <c r="L195" s="11"/>
      <c r="M195" s="11"/>
      <c r="N195" s="11"/>
      <c r="O195" s="12"/>
      <c r="P195" s="11"/>
      <c r="Q195" s="11"/>
      <c r="R195" s="11"/>
      <c r="S195" s="11"/>
      <c r="T195" s="11"/>
      <c r="U195" s="13"/>
      <c r="V195" s="13"/>
      <c r="W195" s="13"/>
      <c r="X195" s="13"/>
      <c r="Y195" s="13"/>
      <c r="Z195" s="13"/>
      <c r="AA195" s="13"/>
      <c r="AB195" s="13"/>
      <c r="AC195" s="13"/>
      <c r="AD195" s="13"/>
      <c r="AE195" s="13"/>
      <c r="AF195" s="13"/>
      <c r="AG195" s="13"/>
      <c r="AH195" s="13"/>
      <c r="AI195" s="13"/>
      <c r="AJ195" s="13"/>
    </row>
    <row r="196" ht="15.75" hidden="1" customHeight="1">
      <c r="A196" s="7" t="s">
        <v>700</v>
      </c>
      <c r="B196" s="7" t="s">
        <v>713</v>
      </c>
      <c r="C196" s="8" t="s">
        <v>816</v>
      </c>
      <c r="D196" s="9" t="s">
        <v>817</v>
      </c>
      <c r="E196" s="7" t="s">
        <v>96</v>
      </c>
      <c r="F196" s="7"/>
      <c r="G196" s="16" t="s">
        <v>746</v>
      </c>
      <c r="H196" s="7"/>
      <c r="I196" s="7" t="s">
        <v>51</v>
      </c>
      <c r="J196" s="7" t="s">
        <v>735</v>
      </c>
      <c r="K196" s="8"/>
      <c r="L196" s="7"/>
      <c r="M196" s="7"/>
      <c r="N196" s="7"/>
      <c r="O196" s="8"/>
      <c r="P196" s="7"/>
      <c r="Q196" s="7" t="s">
        <v>102</v>
      </c>
      <c r="R196" s="7"/>
      <c r="S196" s="17"/>
      <c r="T196" s="7"/>
      <c r="U196" s="9"/>
      <c r="V196" s="9"/>
      <c r="W196" s="9"/>
      <c r="X196" s="9"/>
      <c r="Y196" s="9"/>
      <c r="Z196" s="9"/>
      <c r="AA196" s="9"/>
      <c r="AB196" s="9"/>
      <c r="AC196" s="9"/>
      <c r="AD196" s="9"/>
      <c r="AE196" s="9"/>
      <c r="AF196" s="9"/>
      <c r="AG196" s="9"/>
      <c r="AH196" s="9"/>
      <c r="AI196" s="9"/>
      <c r="AJ196" s="9"/>
    </row>
    <row r="197" ht="15.75" hidden="1" customHeight="1">
      <c r="A197" s="11" t="s">
        <v>700</v>
      </c>
      <c r="B197" s="11" t="s">
        <v>704</v>
      </c>
      <c r="C197" s="12" t="s">
        <v>818</v>
      </c>
      <c r="D197" s="13" t="s">
        <v>819</v>
      </c>
      <c r="E197" s="11" t="s">
        <v>25</v>
      </c>
      <c r="F197" s="11"/>
      <c r="G197" s="18" t="s">
        <v>730</v>
      </c>
      <c r="H197" s="11"/>
      <c r="I197" s="11" t="s">
        <v>27</v>
      </c>
      <c r="J197" s="11" t="s">
        <v>741</v>
      </c>
      <c r="K197" s="12"/>
      <c r="L197" s="11"/>
      <c r="M197" s="11"/>
      <c r="N197" s="11"/>
      <c r="O197" s="12"/>
      <c r="P197" s="11"/>
      <c r="Q197" s="11"/>
      <c r="R197" s="11"/>
      <c r="S197" s="19"/>
      <c r="T197" s="11"/>
      <c r="U197" s="13"/>
      <c r="V197" s="13"/>
      <c r="W197" s="13"/>
      <c r="X197" s="13"/>
      <c r="Y197" s="13"/>
      <c r="Z197" s="13"/>
      <c r="AA197" s="13"/>
      <c r="AB197" s="13"/>
      <c r="AC197" s="13"/>
      <c r="AD197" s="13"/>
      <c r="AE197" s="13"/>
      <c r="AF197" s="13"/>
      <c r="AG197" s="13"/>
      <c r="AH197" s="13"/>
      <c r="AI197" s="13"/>
      <c r="AJ197" s="13"/>
    </row>
    <row r="198" ht="15.75" hidden="1" customHeight="1">
      <c r="A198" s="7" t="s">
        <v>700</v>
      </c>
      <c r="B198" s="7" t="s">
        <v>713</v>
      </c>
      <c r="C198" s="8" t="s">
        <v>820</v>
      </c>
      <c r="D198" s="9" t="s">
        <v>821</v>
      </c>
      <c r="E198" s="7" t="s">
        <v>25</v>
      </c>
      <c r="F198" s="7"/>
      <c r="G198" s="16" t="s">
        <v>822</v>
      </c>
      <c r="H198" s="7"/>
      <c r="I198" s="7" t="s">
        <v>27</v>
      </c>
      <c r="J198" s="7"/>
      <c r="K198" s="8"/>
      <c r="L198" s="7"/>
      <c r="M198" s="7"/>
      <c r="N198" s="7"/>
      <c r="O198" s="73" t="s">
        <v>823</v>
      </c>
      <c r="P198" s="7"/>
      <c r="Q198" s="7" t="s">
        <v>534</v>
      </c>
      <c r="R198" s="7"/>
      <c r="S198" s="7"/>
      <c r="T198" s="7"/>
      <c r="U198" s="9"/>
      <c r="V198" s="9"/>
      <c r="W198" s="9"/>
      <c r="X198" s="9"/>
      <c r="Y198" s="9"/>
      <c r="Z198" s="9"/>
      <c r="AA198" s="9"/>
      <c r="AB198" s="9"/>
      <c r="AC198" s="9"/>
      <c r="AD198" s="9"/>
      <c r="AE198" s="9"/>
      <c r="AF198" s="9"/>
      <c r="AG198" s="9"/>
      <c r="AH198" s="9"/>
      <c r="AI198" s="9"/>
      <c r="AJ198" s="9"/>
    </row>
    <row r="199" ht="15.75" hidden="1" customHeight="1">
      <c r="A199" s="11" t="s">
        <v>700</v>
      </c>
      <c r="B199" s="11" t="s">
        <v>824</v>
      </c>
      <c r="C199" s="12" t="s">
        <v>825</v>
      </c>
      <c r="D199" s="13" t="s">
        <v>826</v>
      </c>
      <c r="E199" s="11" t="s">
        <v>49</v>
      </c>
      <c r="F199" s="11"/>
      <c r="G199" s="11"/>
      <c r="H199" s="11"/>
      <c r="I199" s="11" t="s">
        <v>27</v>
      </c>
      <c r="J199" s="11"/>
      <c r="K199" s="12"/>
      <c r="L199" s="11"/>
      <c r="M199" s="11"/>
      <c r="N199" s="11"/>
      <c r="O199" s="59" t="s">
        <v>827</v>
      </c>
      <c r="P199" s="11"/>
      <c r="Q199" s="11" t="s">
        <v>828</v>
      </c>
      <c r="R199" s="11"/>
      <c r="S199" s="11"/>
      <c r="T199" s="11"/>
      <c r="U199" s="13"/>
      <c r="V199" s="13"/>
      <c r="W199" s="13"/>
      <c r="X199" s="13"/>
      <c r="Y199" s="13"/>
      <c r="Z199" s="13"/>
      <c r="AA199" s="13"/>
      <c r="AB199" s="13"/>
      <c r="AC199" s="13"/>
      <c r="AD199" s="13"/>
      <c r="AE199" s="13"/>
      <c r="AF199" s="13"/>
      <c r="AG199" s="13"/>
      <c r="AH199" s="13"/>
      <c r="AI199" s="13"/>
      <c r="AJ199" s="13"/>
    </row>
    <row r="200" ht="15.75" hidden="1" customHeight="1">
      <c r="A200" s="7" t="s">
        <v>700</v>
      </c>
      <c r="B200" s="7" t="s">
        <v>741</v>
      </c>
      <c r="C200" s="8" t="s">
        <v>829</v>
      </c>
      <c r="D200" s="8" t="s">
        <v>830</v>
      </c>
      <c r="E200" s="7" t="s">
        <v>49</v>
      </c>
      <c r="F200" s="28" t="s">
        <v>831</v>
      </c>
      <c r="G200" s="16" t="s">
        <v>832</v>
      </c>
      <c r="H200" s="7"/>
      <c r="I200" s="7" t="s">
        <v>151</v>
      </c>
      <c r="J200" s="7" t="s">
        <v>741</v>
      </c>
      <c r="K200" s="7"/>
      <c r="L200" s="7"/>
      <c r="M200" s="7"/>
      <c r="N200" s="7"/>
      <c r="O200" s="7"/>
      <c r="P200" s="7" t="s">
        <v>161</v>
      </c>
      <c r="Q200" s="7" t="s">
        <v>833</v>
      </c>
      <c r="R200" s="7"/>
      <c r="S200" s="7"/>
      <c r="T200" s="7"/>
      <c r="U200" s="7"/>
      <c r="V200" s="7"/>
      <c r="W200" s="7"/>
      <c r="X200" s="7"/>
      <c r="Y200" s="7"/>
      <c r="Z200" s="7"/>
      <c r="AA200" s="7"/>
      <c r="AB200" s="7"/>
      <c r="AC200" s="7"/>
      <c r="AD200" s="7"/>
      <c r="AE200" s="7"/>
      <c r="AF200" s="7"/>
      <c r="AG200" s="7"/>
      <c r="AH200" s="7"/>
      <c r="AI200" s="7"/>
      <c r="AJ200" s="9"/>
    </row>
    <row r="201" ht="15.75" hidden="1" customHeight="1">
      <c r="A201" s="11" t="s">
        <v>700</v>
      </c>
      <c r="B201" s="11" t="s">
        <v>713</v>
      </c>
      <c r="C201" s="12" t="s">
        <v>834</v>
      </c>
      <c r="D201" s="13" t="s">
        <v>835</v>
      </c>
      <c r="E201" s="11" t="s">
        <v>49</v>
      </c>
      <c r="F201" s="11"/>
      <c r="G201" s="18" t="s">
        <v>750</v>
      </c>
      <c r="H201" s="13" t="s">
        <v>39</v>
      </c>
      <c r="I201" s="11" t="s">
        <v>51</v>
      </c>
      <c r="J201" s="11" t="s">
        <v>836</v>
      </c>
      <c r="K201" s="12" t="s">
        <v>837</v>
      </c>
      <c r="L201" s="11"/>
      <c r="M201" s="11" t="s">
        <v>49</v>
      </c>
      <c r="N201" s="11"/>
      <c r="O201" s="12" t="s">
        <v>838</v>
      </c>
      <c r="P201" s="11" t="s">
        <v>839</v>
      </c>
      <c r="Q201" s="11"/>
      <c r="R201" s="13"/>
      <c r="S201" s="19"/>
      <c r="T201" s="13"/>
      <c r="U201" s="13"/>
      <c r="V201" s="13"/>
      <c r="W201" s="13"/>
      <c r="X201" s="13"/>
      <c r="Y201" s="13"/>
      <c r="Z201" s="13"/>
      <c r="AA201" s="13"/>
      <c r="AB201" s="13"/>
      <c r="AC201" s="13"/>
      <c r="AD201" s="13"/>
      <c r="AE201" s="13"/>
      <c r="AF201" s="13"/>
      <c r="AG201" s="13"/>
      <c r="AH201" s="13"/>
      <c r="AI201" s="13"/>
      <c r="AJ201" s="13"/>
    </row>
    <row r="202" ht="15.75" hidden="1" customHeight="1">
      <c r="A202" s="7" t="s">
        <v>700</v>
      </c>
      <c r="B202" s="7" t="s">
        <v>741</v>
      </c>
      <c r="C202" s="8" t="s">
        <v>840</v>
      </c>
      <c r="D202" s="8" t="s">
        <v>841</v>
      </c>
      <c r="E202" s="7" t="s">
        <v>49</v>
      </c>
      <c r="F202" s="7"/>
      <c r="G202" s="16" t="s">
        <v>707</v>
      </c>
      <c r="H202" s="7"/>
      <c r="I202" s="7" t="s">
        <v>151</v>
      </c>
      <c r="J202" s="7" t="s">
        <v>842</v>
      </c>
      <c r="K202" s="7"/>
      <c r="L202" s="7"/>
      <c r="M202" s="7"/>
      <c r="N202" s="7"/>
      <c r="O202" s="7"/>
      <c r="P202" s="7" t="s">
        <v>843</v>
      </c>
      <c r="Q202" s="7" t="s">
        <v>844</v>
      </c>
      <c r="R202" s="7" t="s">
        <v>167</v>
      </c>
      <c r="S202" s="7"/>
      <c r="T202" s="7"/>
      <c r="U202" s="7"/>
      <c r="V202" s="7"/>
      <c r="W202" s="7"/>
      <c r="X202" s="7"/>
      <c r="Y202" s="7"/>
      <c r="Z202" s="7"/>
      <c r="AA202" s="7"/>
      <c r="AB202" s="7"/>
      <c r="AC202" s="7"/>
      <c r="AD202" s="7"/>
      <c r="AE202" s="7"/>
      <c r="AF202" s="7"/>
      <c r="AG202" s="7"/>
      <c r="AH202" s="7"/>
      <c r="AI202" s="7"/>
      <c r="AJ202" s="9"/>
    </row>
    <row r="203" ht="15.75" hidden="1" customHeight="1">
      <c r="A203" s="11" t="s">
        <v>700</v>
      </c>
      <c r="B203" s="11" t="s">
        <v>700</v>
      </c>
      <c r="C203" s="12" t="s">
        <v>845</v>
      </c>
      <c r="D203" s="13" t="s">
        <v>846</v>
      </c>
      <c r="E203" s="11" t="s">
        <v>49</v>
      </c>
      <c r="F203" s="11"/>
      <c r="G203" s="11" t="s">
        <v>847</v>
      </c>
      <c r="H203" s="13"/>
      <c r="I203" s="11" t="s">
        <v>151</v>
      </c>
      <c r="J203" s="11" t="s">
        <v>700</v>
      </c>
      <c r="K203" s="12"/>
      <c r="L203" s="11"/>
      <c r="M203" s="11"/>
      <c r="N203" s="11"/>
      <c r="O203" s="12"/>
      <c r="P203" s="11" t="s">
        <v>161</v>
      </c>
      <c r="Q203" s="11" t="s">
        <v>161</v>
      </c>
      <c r="R203" s="11" t="s">
        <v>167</v>
      </c>
      <c r="S203" s="11" t="s">
        <v>189</v>
      </c>
      <c r="T203" s="13"/>
      <c r="U203" s="13"/>
      <c r="V203" s="13"/>
      <c r="W203" s="13"/>
      <c r="X203" s="13"/>
      <c r="Y203" s="13"/>
      <c r="Z203" s="13"/>
      <c r="AA203" s="13"/>
      <c r="AB203" s="13"/>
      <c r="AC203" s="13"/>
      <c r="AD203" s="13"/>
      <c r="AE203" s="13"/>
      <c r="AF203" s="13"/>
      <c r="AG203" s="13"/>
      <c r="AH203" s="13"/>
      <c r="AI203" s="13"/>
      <c r="AJ203" s="13"/>
    </row>
    <row r="204" ht="15.75" hidden="1" customHeight="1">
      <c r="A204" s="7" t="s">
        <v>700</v>
      </c>
      <c r="B204" s="7" t="s">
        <v>700</v>
      </c>
      <c r="C204" s="8" t="s">
        <v>848</v>
      </c>
      <c r="D204" s="9" t="s">
        <v>849</v>
      </c>
      <c r="E204" s="7" t="s">
        <v>49</v>
      </c>
      <c r="F204" s="7"/>
      <c r="G204" s="7" t="s">
        <v>847</v>
      </c>
      <c r="H204" s="9"/>
      <c r="I204" s="7" t="s">
        <v>151</v>
      </c>
      <c r="J204" s="7" t="s">
        <v>700</v>
      </c>
      <c r="K204" s="8"/>
      <c r="L204" s="7"/>
      <c r="M204" s="7"/>
      <c r="N204" s="7"/>
      <c r="O204" s="8"/>
      <c r="P204" s="7" t="s">
        <v>161</v>
      </c>
      <c r="Q204" s="7" t="s">
        <v>161</v>
      </c>
      <c r="R204" s="7" t="s">
        <v>167</v>
      </c>
      <c r="S204" s="7" t="s">
        <v>189</v>
      </c>
      <c r="T204" s="9"/>
      <c r="U204" s="9"/>
      <c r="V204" s="9"/>
      <c r="W204" s="9"/>
      <c r="X204" s="9"/>
      <c r="Y204" s="9"/>
      <c r="Z204" s="9"/>
      <c r="AA204" s="9"/>
      <c r="AB204" s="9"/>
      <c r="AC204" s="9"/>
      <c r="AD204" s="9"/>
      <c r="AE204" s="9"/>
      <c r="AF204" s="9"/>
      <c r="AG204" s="9"/>
      <c r="AH204" s="9"/>
      <c r="AI204" s="9"/>
      <c r="AJ204" s="9"/>
    </row>
    <row r="205" ht="15.75" hidden="1" customHeight="1">
      <c r="A205" s="11" t="s">
        <v>700</v>
      </c>
      <c r="B205" s="11" t="s">
        <v>700</v>
      </c>
      <c r="C205" s="12" t="s">
        <v>850</v>
      </c>
      <c r="D205" s="13" t="s">
        <v>851</v>
      </c>
      <c r="E205" s="11" t="s">
        <v>49</v>
      </c>
      <c r="F205" s="11"/>
      <c r="G205" s="18" t="s">
        <v>852</v>
      </c>
      <c r="H205" s="13"/>
      <c r="I205" s="11" t="s">
        <v>151</v>
      </c>
      <c r="J205" s="11" t="s">
        <v>700</v>
      </c>
      <c r="K205" s="12"/>
      <c r="L205" s="11"/>
      <c r="M205" s="11"/>
      <c r="N205" s="11"/>
      <c r="O205" s="12"/>
      <c r="P205" s="11" t="s">
        <v>161</v>
      </c>
      <c r="Q205" s="11" t="s">
        <v>161</v>
      </c>
      <c r="R205" s="11"/>
      <c r="S205" s="11"/>
      <c r="T205" s="13"/>
      <c r="U205" s="13"/>
      <c r="V205" s="13"/>
      <c r="W205" s="13"/>
      <c r="X205" s="13"/>
      <c r="Y205" s="13"/>
      <c r="Z205" s="13"/>
      <c r="AA205" s="13"/>
      <c r="AB205" s="13"/>
      <c r="AC205" s="13"/>
      <c r="AD205" s="13"/>
      <c r="AE205" s="13"/>
      <c r="AF205" s="13"/>
      <c r="AG205" s="13"/>
      <c r="AH205" s="13"/>
      <c r="AI205" s="13"/>
      <c r="AJ205" s="13"/>
    </row>
    <row r="206" ht="15.75" hidden="1" customHeight="1">
      <c r="A206" s="7" t="s">
        <v>700</v>
      </c>
      <c r="B206" s="7" t="s">
        <v>700</v>
      </c>
      <c r="C206" s="8" t="s">
        <v>853</v>
      </c>
      <c r="D206" s="9" t="s">
        <v>854</v>
      </c>
      <c r="E206" s="7" t="s">
        <v>49</v>
      </c>
      <c r="F206" s="7"/>
      <c r="G206" s="16" t="s">
        <v>727</v>
      </c>
      <c r="H206" s="9"/>
      <c r="I206" s="7" t="s">
        <v>151</v>
      </c>
      <c r="J206" s="7" t="s">
        <v>700</v>
      </c>
      <c r="K206" s="8"/>
      <c r="L206" s="7"/>
      <c r="M206" s="7"/>
      <c r="N206" s="7"/>
      <c r="O206" s="8"/>
      <c r="P206" s="7" t="s">
        <v>161</v>
      </c>
      <c r="Q206" s="7" t="s">
        <v>161</v>
      </c>
      <c r="R206" s="7"/>
      <c r="S206" s="7"/>
      <c r="T206" s="9"/>
      <c r="U206" s="9"/>
      <c r="V206" s="9"/>
      <c r="W206" s="9"/>
      <c r="X206" s="9"/>
      <c r="Y206" s="9"/>
      <c r="Z206" s="9"/>
      <c r="AA206" s="9"/>
      <c r="AB206" s="9"/>
      <c r="AC206" s="9"/>
      <c r="AD206" s="9"/>
      <c r="AE206" s="9"/>
      <c r="AF206" s="9"/>
      <c r="AG206" s="9"/>
      <c r="AH206" s="9"/>
      <c r="AI206" s="9"/>
      <c r="AJ206" s="9"/>
    </row>
    <row r="207" ht="15.75" hidden="1" customHeight="1">
      <c r="A207" s="11" t="s">
        <v>700</v>
      </c>
      <c r="B207" s="25" t="s">
        <v>741</v>
      </c>
      <c r="C207" s="12" t="s">
        <v>855</v>
      </c>
      <c r="D207" s="12" t="s">
        <v>856</v>
      </c>
      <c r="E207" s="11" t="s">
        <v>49</v>
      </c>
      <c r="F207" s="74" t="s">
        <v>857</v>
      </c>
      <c r="G207" s="18" t="s">
        <v>832</v>
      </c>
      <c r="H207" s="25"/>
      <c r="I207" s="11" t="s">
        <v>151</v>
      </c>
      <c r="J207" s="25"/>
      <c r="K207" s="11"/>
      <c r="L207" s="11"/>
      <c r="M207" s="11"/>
      <c r="N207" s="11"/>
      <c r="O207" s="25"/>
      <c r="P207" s="25" t="s">
        <v>318</v>
      </c>
      <c r="Q207" s="11" t="s">
        <v>858</v>
      </c>
      <c r="R207" s="25" t="s">
        <v>167</v>
      </c>
      <c r="S207" s="11" t="s">
        <v>189</v>
      </c>
      <c r="T207" s="11"/>
      <c r="U207" s="11"/>
      <c r="V207" s="11"/>
      <c r="W207" s="11"/>
      <c r="X207" s="11"/>
      <c r="Y207" s="11"/>
      <c r="Z207" s="11"/>
      <c r="AA207" s="11"/>
      <c r="AB207" s="11"/>
      <c r="AC207" s="11"/>
      <c r="AD207" s="11"/>
      <c r="AE207" s="11"/>
      <c r="AF207" s="11"/>
      <c r="AG207" s="11"/>
      <c r="AH207" s="11"/>
      <c r="AI207" s="11"/>
      <c r="AJ207" s="13"/>
    </row>
    <row r="208" ht="15.75" hidden="1" customHeight="1">
      <c r="A208" s="7" t="s">
        <v>700</v>
      </c>
      <c r="B208" s="7" t="s">
        <v>700</v>
      </c>
      <c r="C208" s="8" t="s">
        <v>859</v>
      </c>
      <c r="D208" s="9" t="s">
        <v>860</v>
      </c>
      <c r="E208" s="7" t="s">
        <v>49</v>
      </c>
      <c r="F208" s="7"/>
      <c r="G208" s="7" t="s">
        <v>861</v>
      </c>
      <c r="H208" s="9"/>
      <c r="I208" s="7" t="s">
        <v>151</v>
      </c>
      <c r="J208" s="7" t="s">
        <v>862</v>
      </c>
      <c r="K208" s="8"/>
      <c r="L208" s="7"/>
      <c r="M208" s="7"/>
      <c r="N208" s="7"/>
      <c r="O208" s="8" t="s">
        <v>863</v>
      </c>
      <c r="P208" s="7" t="s">
        <v>161</v>
      </c>
      <c r="Q208" s="7" t="s">
        <v>864</v>
      </c>
      <c r="R208" s="7" t="s">
        <v>167</v>
      </c>
      <c r="S208" s="7"/>
      <c r="T208" s="9"/>
      <c r="U208" s="9"/>
      <c r="V208" s="9"/>
      <c r="W208" s="9"/>
      <c r="X208" s="9"/>
      <c r="Y208" s="9"/>
      <c r="Z208" s="9"/>
      <c r="AA208" s="9"/>
      <c r="AB208" s="9"/>
      <c r="AC208" s="9"/>
      <c r="AD208" s="9"/>
      <c r="AE208" s="9"/>
      <c r="AF208" s="9"/>
      <c r="AG208" s="9"/>
      <c r="AH208" s="9"/>
      <c r="AI208" s="9"/>
      <c r="AJ208" s="9"/>
    </row>
    <row r="209" ht="15.75" hidden="1" customHeight="1">
      <c r="A209" s="11" t="s">
        <v>700</v>
      </c>
      <c r="B209" s="11" t="s">
        <v>704</v>
      </c>
      <c r="C209" s="12" t="s">
        <v>865</v>
      </c>
      <c r="D209" s="12" t="s">
        <v>866</v>
      </c>
      <c r="E209" s="11" t="s">
        <v>25</v>
      </c>
      <c r="F209" s="11"/>
      <c r="G209" s="18" t="s">
        <v>867</v>
      </c>
      <c r="H209" s="13" t="s">
        <v>39</v>
      </c>
      <c r="I209" s="11" t="s">
        <v>27</v>
      </c>
      <c r="J209" s="11"/>
      <c r="K209" s="12"/>
      <c r="L209" s="11"/>
      <c r="M209" s="11"/>
      <c r="N209" s="11"/>
      <c r="O209" s="12"/>
      <c r="P209" s="11"/>
      <c r="Q209" s="11"/>
      <c r="R209" s="11"/>
      <c r="S209" s="11"/>
      <c r="T209" s="13"/>
      <c r="U209" s="13"/>
      <c r="V209" s="13"/>
      <c r="W209" s="13"/>
      <c r="X209" s="13"/>
      <c r="Y209" s="13"/>
      <c r="Z209" s="13"/>
      <c r="AA209" s="13"/>
      <c r="AB209" s="13"/>
      <c r="AC209" s="13"/>
      <c r="AD209" s="13"/>
      <c r="AE209" s="13"/>
      <c r="AF209" s="13"/>
      <c r="AG209" s="13"/>
      <c r="AH209" s="13"/>
      <c r="AI209" s="13"/>
      <c r="AJ209" s="13"/>
    </row>
    <row r="210" ht="15.75" hidden="1" customHeight="1">
      <c r="A210" s="7" t="s">
        <v>868</v>
      </c>
      <c r="B210" s="10" t="s">
        <v>869</v>
      </c>
      <c r="C210" s="8" t="s">
        <v>870</v>
      </c>
      <c r="D210" s="9" t="s">
        <v>871</v>
      </c>
      <c r="E210" s="7" t="s">
        <v>25</v>
      </c>
      <c r="F210" s="7"/>
      <c r="G210" s="7" t="s">
        <v>872</v>
      </c>
      <c r="H210" s="7"/>
      <c r="I210" s="7" t="s">
        <v>51</v>
      </c>
      <c r="J210" s="7" t="s">
        <v>873</v>
      </c>
      <c r="K210" s="9" t="s">
        <v>874</v>
      </c>
      <c r="L210" s="7" t="s">
        <v>875</v>
      </c>
      <c r="M210" s="7"/>
      <c r="N210" s="7"/>
      <c r="O210" s="9" t="s">
        <v>876</v>
      </c>
      <c r="P210" s="7" t="s">
        <v>877</v>
      </c>
      <c r="Q210" s="7" t="s">
        <v>102</v>
      </c>
      <c r="R210" s="15"/>
      <c r="S210" s="9"/>
      <c r="T210" s="7"/>
      <c r="U210" s="9"/>
      <c r="V210" s="9"/>
      <c r="W210" s="9"/>
      <c r="X210" s="9"/>
      <c r="Y210" s="9"/>
      <c r="Z210" s="9"/>
      <c r="AA210" s="9"/>
      <c r="AB210" s="9"/>
      <c r="AC210" s="9"/>
      <c r="AD210" s="9"/>
      <c r="AE210" s="9"/>
      <c r="AF210" s="9"/>
      <c r="AG210" s="9"/>
      <c r="AH210" s="9"/>
      <c r="AI210" s="9"/>
      <c r="AJ210" s="9"/>
    </row>
    <row r="211" ht="15.75" hidden="1" customHeight="1">
      <c r="A211" s="11" t="s">
        <v>868</v>
      </c>
      <c r="B211" s="25" t="s">
        <v>869</v>
      </c>
      <c r="C211" s="12" t="s">
        <v>878</v>
      </c>
      <c r="D211" s="13" t="s">
        <v>879</v>
      </c>
      <c r="E211" s="11" t="s">
        <v>25</v>
      </c>
      <c r="F211" s="11"/>
      <c r="G211" s="11" t="s">
        <v>872</v>
      </c>
      <c r="H211" s="11"/>
      <c r="I211" s="11" t="s">
        <v>27</v>
      </c>
      <c r="J211" s="11" t="s">
        <v>880</v>
      </c>
      <c r="K211" s="13" t="s">
        <v>881</v>
      </c>
      <c r="L211" s="11" t="s">
        <v>882</v>
      </c>
      <c r="M211" s="11"/>
      <c r="N211" s="11"/>
      <c r="O211" s="21" t="s">
        <v>883</v>
      </c>
      <c r="P211" s="11" t="s">
        <v>877</v>
      </c>
      <c r="Q211" s="11" t="s">
        <v>102</v>
      </c>
      <c r="R211" s="21"/>
      <c r="S211" s="13"/>
      <c r="T211" s="11"/>
      <c r="U211" s="13"/>
      <c r="V211" s="13"/>
      <c r="W211" s="13"/>
      <c r="X211" s="13"/>
      <c r="Y211" s="13"/>
      <c r="Z211" s="13"/>
      <c r="AA211" s="13"/>
      <c r="AB211" s="13"/>
      <c r="AC211" s="13"/>
      <c r="AD211" s="13"/>
      <c r="AE211" s="13"/>
      <c r="AF211" s="13"/>
      <c r="AG211" s="13"/>
      <c r="AH211" s="13"/>
      <c r="AI211" s="13"/>
      <c r="AJ211" s="13"/>
    </row>
    <row r="212" ht="15.75" hidden="1" customHeight="1">
      <c r="A212" s="7" t="s">
        <v>868</v>
      </c>
      <c r="B212" s="10" t="s">
        <v>869</v>
      </c>
      <c r="C212" s="8" t="s">
        <v>884</v>
      </c>
      <c r="D212" s="9" t="s">
        <v>885</v>
      </c>
      <c r="E212" s="7" t="s">
        <v>96</v>
      </c>
      <c r="F212" s="7"/>
      <c r="G212" s="7" t="s">
        <v>872</v>
      </c>
      <c r="H212" s="7"/>
      <c r="I212" s="7" t="s">
        <v>51</v>
      </c>
      <c r="J212" s="7" t="s">
        <v>880</v>
      </c>
      <c r="K212" s="9" t="s">
        <v>886</v>
      </c>
      <c r="L212" s="7"/>
      <c r="M212" s="7"/>
      <c r="N212" s="7"/>
      <c r="O212" s="9" t="s">
        <v>887</v>
      </c>
      <c r="P212" s="7"/>
      <c r="Q212" s="7" t="s">
        <v>102</v>
      </c>
      <c r="R212" s="15"/>
      <c r="S212" s="9"/>
      <c r="T212" s="7"/>
      <c r="U212" s="9"/>
      <c r="V212" s="9"/>
      <c r="W212" s="9"/>
      <c r="X212" s="9"/>
      <c r="Y212" s="9"/>
      <c r="Z212" s="9"/>
      <c r="AA212" s="9"/>
      <c r="AB212" s="9"/>
      <c r="AC212" s="9"/>
      <c r="AD212" s="9"/>
      <c r="AE212" s="9"/>
      <c r="AF212" s="9"/>
      <c r="AG212" s="9"/>
      <c r="AH212" s="9"/>
      <c r="AI212" s="9"/>
      <c r="AJ212" s="9"/>
    </row>
    <row r="213" ht="15.75" hidden="1" customHeight="1">
      <c r="A213" s="11" t="s">
        <v>868</v>
      </c>
      <c r="B213" s="25" t="s">
        <v>869</v>
      </c>
      <c r="C213" s="12" t="s">
        <v>888</v>
      </c>
      <c r="D213" s="13" t="s">
        <v>889</v>
      </c>
      <c r="E213" s="11" t="s">
        <v>96</v>
      </c>
      <c r="F213" s="11"/>
      <c r="G213" s="11" t="s">
        <v>872</v>
      </c>
      <c r="H213" s="11"/>
      <c r="I213" s="11" t="s">
        <v>51</v>
      </c>
      <c r="J213" s="11" t="s">
        <v>880</v>
      </c>
      <c r="K213" s="13" t="s">
        <v>890</v>
      </c>
      <c r="L213" s="11"/>
      <c r="M213" s="11"/>
      <c r="N213" s="11"/>
      <c r="O213" s="13" t="s">
        <v>891</v>
      </c>
      <c r="P213" s="11" t="s">
        <v>877</v>
      </c>
      <c r="Q213" s="11" t="s">
        <v>102</v>
      </c>
      <c r="R213" s="21"/>
      <c r="S213" s="13"/>
      <c r="T213" s="11"/>
      <c r="U213" s="13"/>
      <c r="V213" s="13"/>
      <c r="W213" s="13"/>
      <c r="X213" s="13"/>
      <c r="Y213" s="13"/>
      <c r="Z213" s="13"/>
      <c r="AA213" s="13"/>
      <c r="AB213" s="13"/>
      <c r="AC213" s="13"/>
      <c r="AD213" s="13"/>
      <c r="AE213" s="13"/>
      <c r="AF213" s="13"/>
      <c r="AG213" s="13"/>
      <c r="AH213" s="13"/>
      <c r="AI213" s="13"/>
      <c r="AJ213" s="13"/>
    </row>
    <row r="214" ht="15.75" hidden="1" customHeight="1">
      <c r="A214" s="7" t="s">
        <v>868</v>
      </c>
      <c r="B214" s="7" t="s">
        <v>869</v>
      </c>
      <c r="C214" s="8" t="s">
        <v>892</v>
      </c>
      <c r="D214" s="9" t="s">
        <v>893</v>
      </c>
      <c r="E214" s="7" t="s">
        <v>25</v>
      </c>
      <c r="F214" s="7"/>
      <c r="G214" s="7" t="s">
        <v>894</v>
      </c>
      <c r="H214" s="7"/>
      <c r="I214" s="7" t="s">
        <v>27</v>
      </c>
      <c r="J214" s="7" t="s">
        <v>895</v>
      </c>
      <c r="K214" s="8"/>
      <c r="L214" s="7" t="s">
        <v>896</v>
      </c>
      <c r="M214" s="7"/>
      <c r="N214" s="7"/>
      <c r="O214" s="9" t="s">
        <v>897</v>
      </c>
      <c r="P214" s="7" t="s">
        <v>898</v>
      </c>
      <c r="Q214" s="7" t="s">
        <v>899</v>
      </c>
      <c r="R214" s="9"/>
      <c r="S214" s="9"/>
      <c r="T214" s="7"/>
      <c r="U214" s="9"/>
      <c r="V214" s="9"/>
      <c r="W214" s="9"/>
      <c r="X214" s="9"/>
      <c r="Y214" s="9"/>
      <c r="Z214" s="9"/>
      <c r="AA214" s="9"/>
      <c r="AB214" s="9"/>
      <c r="AC214" s="9"/>
      <c r="AD214" s="9"/>
      <c r="AE214" s="9"/>
      <c r="AF214" s="9"/>
      <c r="AG214" s="9"/>
      <c r="AH214" s="9"/>
      <c r="AI214" s="9"/>
      <c r="AJ214" s="9"/>
    </row>
    <row r="215" ht="15.75" hidden="1" customHeight="1">
      <c r="A215" s="11" t="s">
        <v>868</v>
      </c>
      <c r="B215" s="25" t="s">
        <v>869</v>
      </c>
      <c r="C215" s="12" t="s">
        <v>900</v>
      </c>
      <c r="D215" s="13" t="s">
        <v>901</v>
      </c>
      <c r="E215" s="11" t="s">
        <v>25</v>
      </c>
      <c r="F215" s="11"/>
      <c r="G215" s="11" t="s">
        <v>872</v>
      </c>
      <c r="H215" s="11"/>
      <c r="I215" s="11" t="s">
        <v>27</v>
      </c>
      <c r="J215" s="11" t="s">
        <v>873</v>
      </c>
      <c r="K215" s="13" t="s">
        <v>902</v>
      </c>
      <c r="L215" s="11" t="s">
        <v>903</v>
      </c>
      <c r="M215" s="11"/>
      <c r="N215" s="11"/>
      <c r="O215" s="21"/>
      <c r="P215" s="11" t="s">
        <v>904</v>
      </c>
      <c r="Q215" s="11" t="s">
        <v>904</v>
      </c>
      <c r="R215" s="21"/>
      <c r="S215" s="13"/>
      <c r="T215" s="11"/>
      <c r="U215" s="13"/>
      <c r="V215" s="13"/>
      <c r="W215" s="13"/>
      <c r="X215" s="13"/>
      <c r="Y215" s="13"/>
      <c r="Z215" s="13"/>
      <c r="AA215" s="13"/>
      <c r="AB215" s="13"/>
      <c r="AC215" s="13"/>
      <c r="AD215" s="13"/>
      <c r="AE215" s="13"/>
      <c r="AF215" s="13"/>
      <c r="AG215" s="13"/>
      <c r="AH215" s="13"/>
      <c r="AI215" s="13"/>
      <c r="AJ215" s="13"/>
    </row>
    <row r="216" ht="15.75" hidden="1" customHeight="1">
      <c r="A216" s="7" t="s">
        <v>868</v>
      </c>
      <c r="B216" s="10" t="s">
        <v>263</v>
      </c>
      <c r="C216" s="8"/>
      <c r="D216" s="9" t="s">
        <v>905</v>
      </c>
      <c r="E216" s="7" t="s">
        <v>96</v>
      </c>
      <c r="F216" s="10"/>
      <c r="G216" s="10"/>
      <c r="H216" s="7" t="s">
        <v>51</v>
      </c>
      <c r="I216" s="7" t="s">
        <v>27</v>
      </c>
      <c r="J216" s="7" t="s">
        <v>906</v>
      </c>
      <c r="K216" s="9" t="s">
        <v>907</v>
      </c>
      <c r="L216" s="7"/>
      <c r="M216" s="7"/>
      <c r="N216" s="7"/>
      <c r="O216" s="15" t="s">
        <v>908</v>
      </c>
      <c r="P216" s="10" t="s">
        <v>909</v>
      </c>
      <c r="Q216" s="7" t="s">
        <v>910</v>
      </c>
      <c r="R216" s="15"/>
      <c r="S216" s="9"/>
      <c r="T216" s="7"/>
      <c r="U216" s="9"/>
      <c r="V216" s="9"/>
      <c r="W216" s="9"/>
      <c r="X216" s="9"/>
      <c r="Y216" s="9"/>
      <c r="Z216" s="9"/>
      <c r="AA216" s="9"/>
      <c r="AB216" s="9"/>
      <c r="AC216" s="9"/>
      <c r="AD216" s="9"/>
      <c r="AE216" s="9"/>
      <c r="AF216" s="9"/>
      <c r="AG216" s="9"/>
      <c r="AH216" s="9"/>
      <c r="AI216" s="9"/>
      <c r="AJ216" s="9"/>
    </row>
    <row r="217" ht="15.75" hidden="1" customHeight="1">
      <c r="A217" s="11" t="s">
        <v>868</v>
      </c>
      <c r="B217" s="25" t="s">
        <v>911</v>
      </c>
      <c r="C217" s="12"/>
      <c r="D217" s="13" t="s">
        <v>912</v>
      </c>
      <c r="E217" s="11" t="s">
        <v>96</v>
      </c>
      <c r="F217" s="25"/>
      <c r="G217" s="11" t="s">
        <v>913</v>
      </c>
      <c r="H217" s="11" t="s">
        <v>59</v>
      </c>
      <c r="I217" s="11" t="s">
        <v>51</v>
      </c>
      <c r="J217" s="11" t="s">
        <v>28</v>
      </c>
      <c r="K217" s="13" t="s">
        <v>914</v>
      </c>
      <c r="L217" s="11"/>
      <c r="M217" s="11"/>
      <c r="N217" s="11"/>
      <c r="O217" s="21"/>
      <c r="P217" s="25" t="s">
        <v>323</v>
      </c>
      <c r="Q217" s="11"/>
      <c r="R217" s="21"/>
      <c r="S217" s="13"/>
      <c r="T217" s="11"/>
      <c r="U217" s="13"/>
      <c r="V217" s="13"/>
      <c r="W217" s="13"/>
      <c r="X217" s="13"/>
      <c r="Y217" s="13"/>
      <c r="Z217" s="13"/>
      <c r="AA217" s="13"/>
      <c r="AB217" s="13"/>
      <c r="AC217" s="13"/>
      <c r="AD217" s="13"/>
      <c r="AE217" s="13"/>
      <c r="AF217" s="13"/>
      <c r="AG217" s="13"/>
      <c r="AH217" s="13"/>
      <c r="AI217" s="13"/>
      <c r="AJ217" s="13"/>
    </row>
    <row r="218" ht="15.75" hidden="1" customHeight="1">
      <c r="A218" s="7" t="s">
        <v>868</v>
      </c>
      <c r="B218" s="10" t="s">
        <v>873</v>
      </c>
      <c r="C218" s="9" t="s">
        <v>915</v>
      </c>
      <c r="D218" s="33" t="s">
        <v>916</v>
      </c>
      <c r="E218" s="7" t="s">
        <v>25</v>
      </c>
      <c r="F218" s="10"/>
      <c r="G218" s="7" t="s">
        <v>917</v>
      </c>
      <c r="H218" s="7" t="s">
        <v>59</v>
      </c>
      <c r="I218" s="7" t="s">
        <v>151</v>
      </c>
      <c r="J218" s="7" t="s">
        <v>906</v>
      </c>
      <c r="K218" s="9" t="s">
        <v>918</v>
      </c>
      <c r="L218" s="7"/>
      <c r="M218" s="7"/>
      <c r="N218" s="7"/>
      <c r="O218" s="15" t="s">
        <v>919</v>
      </c>
      <c r="P218" s="10" t="s">
        <v>323</v>
      </c>
      <c r="Q218" s="7" t="s">
        <v>102</v>
      </c>
      <c r="R218" s="15"/>
      <c r="S218" s="9"/>
      <c r="T218" s="7"/>
      <c r="U218" s="9"/>
      <c r="V218" s="9"/>
      <c r="W218" s="9"/>
      <c r="X218" s="9"/>
      <c r="Y218" s="9"/>
      <c r="Z218" s="9"/>
      <c r="AA218" s="9"/>
      <c r="AB218" s="9"/>
      <c r="AC218" s="9"/>
      <c r="AD218" s="9"/>
      <c r="AE218" s="9"/>
      <c r="AF218" s="9"/>
      <c r="AG218" s="9"/>
      <c r="AH218" s="9"/>
      <c r="AI218" s="9"/>
      <c r="AJ218" s="9"/>
    </row>
    <row r="219" ht="15.75" hidden="1" customHeight="1">
      <c r="A219" s="11" t="s">
        <v>868</v>
      </c>
      <c r="B219" s="25" t="s">
        <v>873</v>
      </c>
      <c r="C219" s="12" t="s">
        <v>920</v>
      </c>
      <c r="D219" s="13" t="s">
        <v>921</v>
      </c>
      <c r="E219" s="11" t="s">
        <v>25</v>
      </c>
      <c r="F219" s="25"/>
      <c r="G219" s="11" t="s">
        <v>922</v>
      </c>
      <c r="H219" s="11" t="s">
        <v>39</v>
      </c>
      <c r="I219" s="11" t="s">
        <v>27</v>
      </c>
      <c r="J219" s="11"/>
      <c r="K219" s="13" t="s">
        <v>923</v>
      </c>
      <c r="L219" s="11"/>
      <c r="M219" s="11"/>
      <c r="N219" s="11"/>
      <c r="O219" s="21"/>
      <c r="P219" s="25" t="s">
        <v>323</v>
      </c>
      <c r="Q219" s="11"/>
      <c r="R219" s="21"/>
      <c r="S219" s="13"/>
      <c r="T219" s="11"/>
      <c r="U219" s="13"/>
      <c r="V219" s="13"/>
      <c r="W219" s="13"/>
      <c r="X219" s="13"/>
      <c r="Y219" s="13"/>
      <c r="Z219" s="13"/>
      <c r="AA219" s="13"/>
      <c r="AB219" s="13"/>
      <c r="AC219" s="13"/>
      <c r="AD219" s="13"/>
      <c r="AE219" s="13"/>
      <c r="AF219" s="13"/>
      <c r="AG219" s="13"/>
      <c r="AH219" s="13"/>
      <c r="AI219" s="13"/>
      <c r="AJ219" s="13"/>
    </row>
    <row r="220" ht="15.75" hidden="1" customHeight="1">
      <c r="A220" s="7" t="s">
        <v>868</v>
      </c>
      <c r="B220" s="10" t="s">
        <v>873</v>
      </c>
      <c r="C220" s="8" t="s">
        <v>924</v>
      </c>
      <c r="D220" s="9" t="s">
        <v>925</v>
      </c>
      <c r="E220" s="7" t="s">
        <v>25</v>
      </c>
      <c r="F220" s="10"/>
      <c r="G220" s="7" t="s">
        <v>922</v>
      </c>
      <c r="H220" s="7" t="s">
        <v>39</v>
      </c>
      <c r="I220" s="7" t="s">
        <v>27</v>
      </c>
      <c r="J220" s="7"/>
      <c r="K220" s="9" t="s">
        <v>926</v>
      </c>
      <c r="L220" s="7"/>
      <c r="M220" s="7"/>
      <c r="N220" s="7"/>
      <c r="O220" s="15"/>
      <c r="P220" s="10" t="s">
        <v>323</v>
      </c>
      <c r="Q220" s="7"/>
      <c r="R220" s="15"/>
      <c r="S220" s="9"/>
      <c r="T220" s="7"/>
      <c r="U220" s="9"/>
      <c r="V220" s="9"/>
      <c r="W220" s="9"/>
      <c r="X220" s="9"/>
      <c r="Y220" s="9"/>
      <c r="Z220" s="9"/>
      <c r="AA220" s="9"/>
      <c r="AB220" s="9"/>
      <c r="AC220" s="9"/>
      <c r="AD220" s="9"/>
      <c r="AE220" s="9"/>
      <c r="AF220" s="9"/>
      <c r="AG220" s="9"/>
      <c r="AH220" s="9"/>
      <c r="AI220" s="9"/>
      <c r="AJ220" s="9"/>
    </row>
    <row r="221" ht="15.75" hidden="1" customHeight="1">
      <c r="A221" s="11" t="s">
        <v>868</v>
      </c>
      <c r="B221" s="25" t="s">
        <v>873</v>
      </c>
      <c r="C221" s="13" t="s">
        <v>927</v>
      </c>
      <c r="D221" s="13" t="s">
        <v>928</v>
      </c>
      <c r="E221" s="11" t="s">
        <v>25</v>
      </c>
      <c r="F221" s="25"/>
      <c r="G221" s="11" t="s">
        <v>929</v>
      </c>
      <c r="H221" s="11" t="s">
        <v>59</v>
      </c>
      <c r="I221" s="11" t="s">
        <v>151</v>
      </c>
      <c r="J221" s="11"/>
      <c r="K221" s="13" t="s">
        <v>930</v>
      </c>
      <c r="L221" s="11"/>
      <c r="M221" s="11"/>
      <c r="O221" s="13" t="s">
        <v>931</v>
      </c>
      <c r="P221" s="25" t="s">
        <v>323</v>
      </c>
      <c r="Q221" s="11"/>
      <c r="R221" s="21"/>
      <c r="S221" s="13"/>
      <c r="T221" s="11"/>
      <c r="U221" s="13"/>
      <c r="V221" s="13"/>
      <c r="W221" s="13"/>
      <c r="X221" s="13"/>
      <c r="Y221" s="13"/>
      <c r="Z221" s="13"/>
      <c r="AA221" s="13"/>
      <c r="AB221" s="13"/>
      <c r="AC221" s="13"/>
      <c r="AD221" s="13"/>
      <c r="AE221" s="13"/>
      <c r="AF221" s="13"/>
      <c r="AG221" s="13"/>
      <c r="AH221" s="13"/>
      <c r="AI221" s="13"/>
      <c r="AJ221" s="13"/>
    </row>
    <row r="222" ht="15.75" hidden="1" customHeight="1">
      <c r="A222" s="7" t="s">
        <v>868</v>
      </c>
      <c r="B222" s="10" t="s">
        <v>28</v>
      </c>
      <c r="C222" s="8" t="s">
        <v>932</v>
      </c>
      <c r="D222" s="9" t="s">
        <v>933</v>
      </c>
      <c r="E222" s="7" t="s">
        <v>49</v>
      </c>
      <c r="F222" s="10"/>
      <c r="G222" s="7" t="s">
        <v>934</v>
      </c>
      <c r="H222" s="7"/>
      <c r="I222" s="7" t="s">
        <v>51</v>
      </c>
      <c r="J222" s="7" t="s">
        <v>28</v>
      </c>
      <c r="K222" s="9" t="s">
        <v>935</v>
      </c>
      <c r="L222" s="7"/>
      <c r="M222" s="7"/>
      <c r="N222" s="7"/>
      <c r="O222" s="15"/>
      <c r="P222" s="10"/>
      <c r="Q222" s="7"/>
      <c r="R222" s="15"/>
      <c r="S222" s="9"/>
      <c r="T222" s="7"/>
      <c r="U222" s="9"/>
      <c r="V222" s="9"/>
      <c r="W222" s="9"/>
      <c r="X222" s="9"/>
      <c r="Y222" s="9"/>
      <c r="Z222" s="9"/>
      <c r="AA222" s="9"/>
      <c r="AB222" s="9"/>
      <c r="AC222" s="9"/>
      <c r="AD222" s="9"/>
      <c r="AE222" s="9"/>
      <c r="AF222" s="9"/>
      <c r="AG222" s="9"/>
      <c r="AH222" s="9"/>
      <c r="AI222" s="9"/>
      <c r="AJ222" s="9"/>
    </row>
    <row r="223" ht="15.75" hidden="1" customHeight="1">
      <c r="A223" s="11" t="s">
        <v>868</v>
      </c>
      <c r="B223" s="25" t="s">
        <v>873</v>
      </c>
      <c r="C223" s="13" t="s">
        <v>936</v>
      </c>
      <c r="D223" s="13" t="s">
        <v>937</v>
      </c>
      <c r="E223" s="11" t="s">
        <v>49</v>
      </c>
      <c r="F223" s="61" t="s">
        <v>938</v>
      </c>
      <c r="G223" s="11" t="s">
        <v>939</v>
      </c>
      <c r="H223" s="11"/>
      <c r="I223" s="11" t="s">
        <v>51</v>
      </c>
      <c r="J223" s="11"/>
      <c r="K223" s="34" t="s">
        <v>940</v>
      </c>
      <c r="L223" s="11" t="s">
        <v>941</v>
      </c>
      <c r="M223" s="11" t="s">
        <v>941</v>
      </c>
      <c r="N223" s="11" t="s">
        <v>941</v>
      </c>
      <c r="O223" s="75" t="s">
        <v>942</v>
      </c>
      <c r="P223" s="25" t="s">
        <v>323</v>
      </c>
      <c r="Q223" s="11"/>
      <c r="R223" s="21"/>
      <c r="S223" s="13"/>
      <c r="T223" s="11"/>
      <c r="U223" s="13"/>
      <c r="V223" s="13"/>
      <c r="W223" s="13"/>
      <c r="X223" s="13"/>
      <c r="Y223" s="13"/>
      <c r="Z223" s="13"/>
      <c r="AA223" s="13"/>
      <c r="AB223" s="13"/>
      <c r="AC223" s="13"/>
      <c r="AD223" s="13"/>
      <c r="AE223" s="13"/>
      <c r="AF223" s="13"/>
      <c r="AG223" s="13"/>
      <c r="AH223" s="13"/>
      <c r="AI223" s="13"/>
      <c r="AJ223" s="13"/>
    </row>
    <row r="224" ht="15.75" hidden="1" customHeight="1">
      <c r="A224" s="7" t="s">
        <v>868</v>
      </c>
      <c r="B224" s="10" t="s">
        <v>263</v>
      </c>
      <c r="C224" s="9" t="s">
        <v>943</v>
      </c>
      <c r="D224" s="76" t="s">
        <v>944</v>
      </c>
      <c r="E224" s="7" t="s">
        <v>49</v>
      </c>
      <c r="F224" s="53" t="s">
        <v>945</v>
      </c>
      <c r="G224" s="10" t="s">
        <v>946</v>
      </c>
      <c r="H224" s="7"/>
      <c r="I224" s="7" t="s">
        <v>51</v>
      </c>
      <c r="J224" s="7" t="s">
        <v>28</v>
      </c>
      <c r="K224" s="9" t="s">
        <v>947</v>
      </c>
      <c r="L224" s="7"/>
      <c r="M224" s="7"/>
      <c r="O224" s="33"/>
      <c r="P224" s="10" t="s">
        <v>843</v>
      </c>
      <c r="Q224" s="7"/>
      <c r="R224" s="15"/>
      <c r="S224" s="9"/>
      <c r="T224" s="7"/>
      <c r="U224" s="9"/>
      <c r="V224" s="9"/>
      <c r="W224" s="9"/>
      <c r="X224" s="9"/>
      <c r="Y224" s="9"/>
      <c r="Z224" s="9"/>
      <c r="AA224" s="9"/>
      <c r="AB224" s="9"/>
      <c r="AC224" s="9"/>
      <c r="AD224" s="9"/>
      <c r="AE224" s="9"/>
      <c r="AF224" s="9"/>
      <c r="AG224" s="9"/>
      <c r="AH224" s="9"/>
      <c r="AI224" s="9"/>
      <c r="AJ224" s="9"/>
    </row>
    <row r="225" ht="15.75" hidden="1" customHeight="1">
      <c r="A225" s="11" t="s">
        <v>868</v>
      </c>
      <c r="B225" s="25" t="s">
        <v>28</v>
      </c>
      <c r="C225" s="12" t="s">
        <v>948</v>
      </c>
      <c r="D225" s="34" t="s">
        <v>949</v>
      </c>
      <c r="E225" s="11" t="s">
        <v>49</v>
      </c>
      <c r="F225" s="61" t="s">
        <v>950</v>
      </c>
      <c r="G225" s="11" t="s">
        <v>951</v>
      </c>
      <c r="H225" s="11"/>
      <c r="I225" s="11" t="s">
        <v>51</v>
      </c>
      <c r="J225" s="11" t="s">
        <v>906</v>
      </c>
      <c r="K225" s="13" t="s">
        <v>952</v>
      </c>
      <c r="L225" s="11"/>
      <c r="M225" s="11"/>
      <c r="N225" s="11"/>
      <c r="O225" s="21"/>
      <c r="P225" s="25" t="s">
        <v>323</v>
      </c>
      <c r="Q225" s="11"/>
      <c r="R225" s="21"/>
      <c r="S225" s="13"/>
      <c r="T225" s="11"/>
      <c r="U225" s="13"/>
      <c r="V225" s="13"/>
      <c r="W225" s="13"/>
      <c r="X225" s="13"/>
      <c r="Y225" s="13"/>
      <c r="Z225" s="13"/>
      <c r="AA225" s="13"/>
      <c r="AB225" s="13"/>
      <c r="AC225" s="13"/>
      <c r="AD225" s="13"/>
      <c r="AE225" s="13"/>
      <c r="AF225" s="13"/>
      <c r="AG225" s="13"/>
      <c r="AH225" s="13"/>
      <c r="AI225" s="13"/>
      <c r="AJ225" s="13"/>
    </row>
    <row r="226" ht="15.75" hidden="1" customHeight="1">
      <c r="A226" s="7" t="s">
        <v>868</v>
      </c>
      <c r="B226" s="10" t="s">
        <v>873</v>
      </c>
      <c r="C226" s="8" t="s">
        <v>953</v>
      </c>
      <c r="D226" s="9" t="s">
        <v>954</v>
      </c>
      <c r="E226" s="7" t="s">
        <v>49</v>
      </c>
      <c r="F226" s="53" t="s">
        <v>955</v>
      </c>
      <c r="G226" s="7" t="s">
        <v>929</v>
      </c>
      <c r="H226" s="7"/>
      <c r="I226" s="7" t="s">
        <v>151</v>
      </c>
      <c r="J226" s="7" t="s">
        <v>873</v>
      </c>
      <c r="K226" s="9" t="s">
        <v>956</v>
      </c>
      <c r="L226" s="7" t="s">
        <v>941</v>
      </c>
      <c r="M226" s="7" t="s">
        <v>941</v>
      </c>
      <c r="N226" s="7" t="s">
        <v>941</v>
      </c>
      <c r="O226" s="7" t="s">
        <v>941</v>
      </c>
      <c r="P226" s="10" t="s">
        <v>323</v>
      </c>
      <c r="Q226" s="7" t="s">
        <v>161</v>
      </c>
      <c r="R226" s="15"/>
      <c r="S226" s="9"/>
      <c r="T226" s="7"/>
      <c r="U226" s="9"/>
      <c r="V226" s="9"/>
      <c r="W226" s="9"/>
      <c r="X226" s="9"/>
      <c r="Y226" s="9"/>
      <c r="Z226" s="9"/>
      <c r="AA226" s="9"/>
      <c r="AB226" s="9"/>
      <c r="AC226" s="9"/>
      <c r="AD226" s="9"/>
      <c r="AE226" s="9"/>
      <c r="AF226" s="9"/>
      <c r="AG226" s="9"/>
      <c r="AH226" s="9"/>
      <c r="AI226" s="9"/>
      <c r="AJ226" s="9"/>
    </row>
    <row r="227" ht="15.75" hidden="1" customHeight="1">
      <c r="A227" s="11" t="s">
        <v>868</v>
      </c>
      <c r="B227" s="25" t="s">
        <v>873</v>
      </c>
      <c r="C227" s="12" t="s">
        <v>957</v>
      </c>
      <c r="D227" s="13" t="s">
        <v>958</v>
      </c>
      <c r="E227" s="11" t="s">
        <v>49</v>
      </c>
      <c r="F227" s="61" t="s">
        <v>959</v>
      </c>
      <c r="G227" s="11" t="s">
        <v>929</v>
      </c>
      <c r="H227" s="13"/>
      <c r="I227" s="11" t="s">
        <v>151</v>
      </c>
      <c r="J227" s="11" t="s">
        <v>873</v>
      </c>
      <c r="K227" s="13" t="s">
        <v>956</v>
      </c>
      <c r="L227" s="11" t="s">
        <v>941</v>
      </c>
      <c r="M227" s="11" t="s">
        <v>941</v>
      </c>
      <c r="N227" s="11" t="s">
        <v>941</v>
      </c>
      <c r="O227" s="11" t="s">
        <v>941</v>
      </c>
      <c r="P227" s="11" t="s">
        <v>960</v>
      </c>
      <c r="Q227" s="11" t="s">
        <v>161</v>
      </c>
      <c r="R227" s="21" t="s">
        <v>167</v>
      </c>
      <c r="S227" s="13"/>
      <c r="T227" s="13"/>
      <c r="U227" s="13"/>
      <c r="V227" s="13"/>
      <c r="W227" s="13"/>
      <c r="X227" s="13"/>
      <c r="Y227" s="13"/>
      <c r="Z227" s="13"/>
      <c r="AA227" s="13"/>
      <c r="AB227" s="13"/>
      <c r="AC227" s="13"/>
      <c r="AD227" s="13"/>
      <c r="AE227" s="13"/>
      <c r="AF227" s="13"/>
      <c r="AG227" s="13"/>
      <c r="AH227" s="13"/>
      <c r="AI227" s="13"/>
      <c r="AJ227" s="13"/>
    </row>
    <row r="228" ht="15.75" hidden="1" customHeight="1">
      <c r="A228" s="7" t="s">
        <v>868</v>
      </c>
      <c r="B228" s="10" t="s">
        <v>873</v>
      </c>
      <c r="C228" s="8" t="s">
        <v>961</v>
      </c>
      <c r="D228" s="9" t="s">
        <v>962</v>
      </c>
      <c r="E228" s="7" t="s">
        <v>49</v>
      </c>
      <c r="F228" s="53" t="s">
        <v>963</v>
      </c>
      <c r="G228" s="7" t="s">
        <v>929</v>
      </c>
      <c r="H228" s="9"/>
      <c r="I228" s="7" t="s">
        <v>151</v>
      </c>
      <c r="J228" s="7" t="s">
        <v>873</v>
      </c>
      <c r="K228" s="9" t="s">
        <v>964</v>
      </c>
      <c r="L228" s="7" t="s">
        <v>941</v>
      </c>
      <c r="M228" s="7" t="s">
        <v>941</v>
      </c>
      <c r="N228" s="7" t="s">
        <v>941</v>
      </c>
      <c r="O228" s="7" t="s">
        <v>941</v>
      </c>
      <c r="P228" s="7" t="s">
        <v>960</v>
      </c>
      <c r="Q228" s="7" t="s">
        <v>161</v>
      </c>
      <c r="R228" s="15"/>
      <c r="S228" s="9"/>
      <c r="T228" s="9"/>
      <c r="U228" s="9"/>
      <c r="V228" s="9"/>
      <c r="W228" s="9"/>
      <c r="X228" s="9"/>
      <c r="Y228" s="9"/>
      <c r="Z228" s="9"/>
      <c r="AA228" s="9"/>
      <c r="AB228" s="9"/>
      <c r="AC228" s="9"/>
      <c r="AD228" s="9"/>
      <c r="AE228" s="9"/>
      <c r="AF228" s="9"/>
      <c r="AG228" s="9"/>
      <c r="AH228" s="9"/>
      <c r="AI228" s="9"/>
      <c r="AJ228" s="9"/>
    </row>
    <row r="229" ht="15.75" hidden="1" customHeight="1">
      <c r="A229" s="11" t="s">
        <v>965</v>
      </c>
      <c r="B229" s="11" t="s">
        <v>966</v>
      </c>
      <c r="C229" s="11" t="s">
        <v>967</v>
      </c>
      <c r="D229" s="11" t="s">
        <v>968</v>
      </c>
      <c r="E229" s="11" t="s">
        <v>49</v>
      </c>
      <c r="F229" s="11"/>
      <c r="G229" s="18" t="s">
        <v>969</v>
      </c>
      <c r="H229" s="11"/>
      <c r="I229" s="11" t="s">
        <v>51</v>
      </c>
      <c r="J229" s="11" t="s">
        <v>970</v>
      </c>
      <c r="K229" s="11" t="s">
        <v>971</v>
      </c>
      <c r="L229" s="11"/>
      <c r="M229" s="11"/>
      <c r="N229" s="11"/>
      <c r="O229" s="11" t="s">
        <v>972</v>
      </c>
      <c r="P229" s="11"/>
      <c r="Q229" s="11" t="s">
        <v>973</v>
      </c>
      <c r="R229" s="11"/>
      <c r="S229" s="11"/>
      <c r="T229" s="11"/>
      <c r="U229" s="11"/>
      <c r="V229" s="11"/>
      <c r="W229" s="11"/>
      <c r="X229" s="11"/>
      <c r="Y229" s="11"/>
      <c r="Z229" s="11"/>
      <c r="AA229" s="11"/>
      <c r="AB229" s="11"/>
      <c r="AC229" s="11"/>
      <c r="AD229" s="11"/>
      <c r="AE229" s="11"/>
      <c r="AF229" s="11"/>
      <c r="AG229" s="11"/>
      <c r="AH229" s="11"/>
      <c r="AI229" s="11"/>
      <c r="AJ229" s="11"/>
    </row>
    <row r="230" ht="15.75" hidden="1" customHeight="1">
      <c r="A230" s="7" t="s">
        <v>965</v>
      </c>
      <c r="B230" s="7" t="s">
        <v>974</v>
      </c>
      <c r="C230" s="7" t="s">
        <v>975</v>
      </c>
      <c r="D230" s="8" t="s">
        <v>976</v>
      </c>
      <c r="E230" s="7" t="s">
        <v>25</v>
      </c>
      <c r="F230" s="28" t="s">
        <v>621</v>
      </c>
      <c r="G230" s="7" t="s">
        <v>977</v>
      </c>
      <c r="H230" s="7" t="s">
        <v>39</v>
      </c>
      <c r="I230" s="7" t="s">
        <v>151</v>
      </c>
      <c r="J230" s="7" t="s">
        <v>978</v>
      </c>
      <c r="K230" s="7" t="s">
        <v>979</v>
      </c>
      <c r="L230" s="8" t="s">
        <v>980</v>
      </c>
      <c r="M230" s="7"/>
      <c r="N230" s="7"/>
      <c r="O230" s="7"/>
      <c r="P230" s="7"/>
      <c r="Q230" s="7" t="s">
        <v>310</v>
      </c>
      <c r="R230" s="7"/>
      <c r="S230" s="7" t="s">
        <v>189</v>
      </c>
      <c r="T230" s="7"/>
      <c r="U230" s="7"/>
      <c r="V230" s="7"/>
      <c r="W230" s="7"/>
      <c r="X230" s="7"/>
      <c r="Y230" s="7"/>
      <c r="Z230" s="7"/>
      <c r="AA230" s="7"/>
      <c r="AB230" s="7"/>
      <c r="AC230" s="7"/>
      <c r="AD230" s="7"/>
      <c r="AE230" s="7"/>
      <c r="AF230" s="7"/>
      <c r="AG230" s="7"/>
      <c r="AH230" s="7"/>
      <c r="AI230" s="7"/>
      <c r="AJ230" s="7"/>
    </row>
    <row r="231" ht="15.75" hidden="1" customHeight="1">
      <c r="A231" s="11" t="s">
        <v>965</v>
      </c>
      <c r="B231" s="11" t="s">
        <v>981</v>
      </c>
      <c r="C231" s="11" t="s">
        <v>982</v>
      </c>
      <c r="D231" s="11" t="s">
        <v>983</v>
      </c>
      <c r="E231" s="11" t="s">
        <v>49</v>
      </c>
      <c r="F231" s="77"/>
      <c r="G231" s="18" t="s">
        <v>984</v>
      </c>
      <c r="H231" s="11" t="s">
        <v>39</v>
      </c>
      <c r="I231" s="11" t="s">
        <v>27</v>
      </c>
      <c r="J231" s="11" t="s">
        <v>985</v>
      </c>
      <c r="K231" s="11" t="s">
        <v>986</v>
      </c>
      <c r="L231" s="11"/>
      <c r="M231" s="11"/>
      <c r="N231" s="11"/>
      <c r="O231" s="11" t="s">
        <v>987</v>
      </c>
      <c r="P231" s="11" t="s">
        <v>988</v>
      </c>
      <c r="Q231" s="11" t="s">
        <v>989</v>
      </c>
      <c r="R231" s="11"/>
      <c r="S231" s="11"/>
      <c r="T231" s="11"/>
      <c r="U231" s="11"/>
      <c r="V231" s="11"/>
      <c r="W231" s="11"/>
      <c r="X231" s="11"/>
      <c r="Y231" s="11"/>
      <c r="Z231" s="11"/>
      <c r="AA231" s="11"/>
      <c r="AB231" s="11"/>
      <c r="AC231" s="11"/>
      <c r="AD231" s="11"/>
      <c r="AE231" s="11"/>
      <c r="AF231" s="11"/>
      <c r="AG231" s="11"/>
      <c r="AH231" s="11"/>
      <c r="AI231" s="11"/>
      <c r="AJ231" s="11"/>
    </row>
    <row r="232" ht="15.75" hidden="1" customHeight="1">
      <c r="A232" s="7" t="s">
        <v>965</v>
      </c>
      <c r="B232" s="7" t="s">
        <v>966</v>
      </c>
      <c r="C232" s="7" t="s">
        <v>990</v>
      </c>
      <c r="D232" s="8" t="s">
        <v>991</v>
      </c>
      <c r="E232" s="7" t="s">
        <v>25</v>
      </c>
      <c r="F232" s="7"/>
      <c r="G232" s="16" t="s">
        <v>992</v>
      </c>
      <c r="H232" s="7"/>
      <c r="I232" s="7" t="s">
        <v>51</v>
      </c>
      <c r="J232" s="7" t="s">
        <v>993</v>
      </c>
      <c r="K232" s="7" t="s">
        <v>994</v>
      </c>
      <c r="L232" s="8" t="s">
        <v>995</v>
      </c>
      <c r="M232" s="7"/>
      <c r="N232" s="7"/>
      <c r="O232" s="7" t="s">
        <v>996</v>
      </c>
      <c r="P232" s="7"/>
      <c r="Q232" s="7" t="s">
        <v>161</v>
      </c>
      <c r="R232" s="7"/>
      <c r="S232" s="7"/>
      <c r="T232" s="7"/>
      <c r="U232" s="7"/>
      <c r="V232" s="7"/>
      <c r="W232" s="7"/>
      <c r="X232" s="7"/>
      <c r="Y232" s="7"/>
      <c r="Z232" s="7"/>
      <c r="AA232" s="7"/>
      <c r="AB232" s="7"/>
      <c r="AC232" s="7"/>
      <c r="AD232" s="7"/>
      <c r="AE232" s="7"/>
      <c r="AF232" s="7"/>
      <c r="AG232" s="7"/>
      <c r="AH232" s="7"/>
      <c r="AI232" s="7"/>
      <c r="AJ232" s="7"/>
    </row>
    <row r="233" ht="15.75" hidden="1" customHeight="1">
      <c r="A233" s="11" t="s">
        <v>965</v>
      </c>
      <c r="B233" s="11" t="s">
        <v>997</v>
      </c>
      <c r="C233" s="11" t="s">
        <v>998</v>
      </c>
      <c r="D233" s="12" t="s">
        <v>999</v>
      </c>
      <c r="E233" s="11" t="s">
        <v>25</v>
      </c>
      <c r="F233" s="11"/>
      <c r="G233" s="11" t="s">
        <v>1000</v>
      </c>
      <c r="H233" s="11" t="s">
        <v>39</v>
      </c>
      <c r="I233" s="11" t="s">
        <v>27</v>
      </c>
      <c r="J233" s="11" t="s">
        <v>1001</v>
      </c>
      <c r="K233" s="11" t="s">
        <v>1002</v>
      </c>
      <c r="L233" s="78" t="s">
        <v>1003</v>
      </c>
      <c r="M233" s="11"/>
      <c r="N233" s="11" t="s">
        <v>1004</v>
      </c>
      <c r="O233" s="11"/>
      <c r="P233" s="11"/>
      <c r="Q233" s="11" t="s">
        <v>1005</v>
      </c>
      <c r="R233" s="11"/>
      <c r="S233" s="11"/>
      <c r="T233" s="11"/>
      <c r="U233" s="11"/>
      <c r="V233" s="11"/>
      <c r="W233" s="11"/>
      <c r="X233" s="11"/>
      <c r="Y233" s="11"/>
      <c r="Z233" s="11"/>
      <c r="AA233" s="11"/>
      <c r="AB233" s="11"/>
      <c r="AC233" s="11"/>
      <c r="AD233" s="11"/>
      <c r="AE233" s="11"/>
      <c r="AF233" s="11"/>
      <c r="AG233" s="11"/>
      <c r="AH233" s="11"/>
      <c r="AI233" s="11"/>
      <c r="AJ233" s="11"/>
    </row>
    <row r="234" ht="15.75" hidden="1" customHeight="1">
      <c r="A234" s="7" t="s">
        <v>965</v>
      </c>
      <c r="B234" s="7" t="s">
        <v>997</v>
      </c>
      <c r="C234" s="7" t="s">
        <v>1006</v>
      </c>
      <c r="D234" s="7" t="s">
        <v>1007</v>
      </c>
      <c r="E234" s="7" t="s">
        <v>49</v>
      </c>
      <c r="F234" s="7"/>
      <c r="G234" s="7" t="s">
        <v>1008</v>
      </c>
      <c r="H234" s="7"/>
      <c r="I234" s="7" t="s">
        <v>151</v>
      </c>
      <c r="J234" s="7" t="s">
        <v>1009</v>
      </c>
      <c r="K234" s="50" t="s">
        <v>1010</v>
      </c>
      <c r="L234" s="7"/>
      <c r="M234" s="7"/>
      <c r="N234" s="7"/>
      <c r="O234" s="7"/>
      <c r="P234" s="7"/>
      <c r="Q234" s="7" t="s">
        <v>310</v>
      </c>
      <c r="R234" s="7"/>
      <c r="S234" s="7"/>
      <c r="T234" s="7"/>
      <c r="U234" s="7"/>
      <c r="V234" s="7"/>
      <c r="W234" s="7"/>
      <c r="X234" s="7"/>
      <c r="Y234" s="7"/>
      <c r="Z234" s="7"/>
      <c r="AA234" s="7"/>
      <c r="AB234" s="7"/>
      <c r="AC234" s="7"/>
      <c r="AD234" s="7"/>
      <c r="AE234" s="7"/>
      <c r="AF234" s="7"/>
      <c r="AG234" s="7"/>
      <c r="AH234" s="7"/>
      <c r="AI234" s="7"/>
      <c r="AJ234" s="7"/>
    </row>
    <row r="235" ht="15.75" hidden="1" customHeight="1">
      <c r="A235" s="11" t="s">
        <v>965</v>
      </c>
      <c r="B235" s="11" t="s">
        <v>981</v>
      </c>
      <c r="C235" s="11" t="s">
        <v>1011</v>
      </c>
      <c r="D235" s="12" t="s">
        <v>1012</v>
      </c>
      <c r="E235" s="11" t="s">
        <v>49</v>
      </c>
      <c r="F235" s="11"/>
      <c r="G235" s="18" t="s">
        <v>984</v>
      </c>
      <c r="H235" s="11" t="s">
        <v>39</v>
      </c>
      <c r="I235" s="11" t="s">
        <v>51</v>
      </c>
      <c r="J235" s="11" t="s">
        <v>1013</v>
      </c>
      <c r="K235" s="11"/>
      <c r="L235" s="12" t="s">
        <v>1014</v>
      </c>
      <c r="M235" s="11"/>
      <c r="N235" s="11"/>
      <c r="O235" s="11"/>
      <c r="P235" s="11" t="s">
        <v>1015</v>
      </c>
      <c r="Q235" s="11"/>
      <c r="R235" s="11" t="s">
        <v>1016</v>
      </c>
      <c r="S235" s="11" t="s">
        <v>189</v>
      </c>
      <c r="T235" s="11"/>
      <c r="U235" s="11"/>
      <c r="V235" s="11"/>
      <c r="W235" s="11"/>
      <c r="X235" s="11"/>
      <c r="Y235" s="11"/>
      <c r="Z235" s="11"/>
      <c r="AA235" s="11"/>
      <c r="AB235" s="11"/>
      <c r="AC235" s="11"/>
      <c r="AD235" s="11"/>
      <c r="AE235" s="11"/>
      <c r="AF235" s="11"/>
      <c r="AG235" s="11"/>
      <c r="AH235" s="11"/>
      <c r="AI235" s="11"/>
      <c r="AJ235" s="11"/>
    </row>
    <row r="236" ht="15.75" hidden="1" customHeight="1">
      <c r="A236" s="7" t="s">
        <v>965</v>
      </c>
      <c r="B236" s="7" t="s">
        <v>974</v>
      </c>
      <c r="C236" s="7" t="s">
        <v>1017</v>
      </c>
      <c r="D236" s="8" t="s">
        <v>1018</v>
      </c>
      <c r="E236" s="7" t="s">
        <v>25</v>
      </c>
      <c r="F236" s="7"/>
      <c r="G236" s="16" t="s">
        <v>1019</v>
      </c>
      <c r="H236" s="7" t="s">
        <v>39</v>
      </c>
      <c r="I236" s="7" t="s">
        <v>51</v>
      </c>
      <c r="J236" s="7" t="s">
        <v>1020</v>
      </c>
      <c r="K236" s="7" t="s">
        <v>1021</v>
      </c>
      <c r="L236" s="8" t="s">
        <v>1022</v>
      </c>
      <c r="M236" s="7"/>
      <c r="N236" s="7"/>
      <c r="O236" s="7"/>
      <c r="P236" s="7" t="s">
        <v>1023</v>
      </c>
      <c r="Q236" s="7"/>
      <c r="R236" s="7"/>
      <c r="S236" s="7"/>
      <c r="T236" s="7"/>
      <c r="U236" s="7"/>
      <c r="V236" s="7"/>
      <c r="W236" s="7"/>
      <c r="X236" s="7"/>
      <c r="Y236" s="7"/>
      <c r="Z236" s="7"/>
      <c r="AA236" s="7"/>
      <c r="AB236" s="7"/>
      <c r="AC236" s="7"/>
      <c r="AD236" s="7"/>
      <c r="AE236" s="7"/>
      <c r="AF236" s="7"/>
      <c r="AG236" s="7"/>
      <c r="AH236" s="7"/>
      <c r="AI236" s="7"/>
      <c r="AJ236" s="7"/>
    </row>
    <row r="237" ht="15.75" hidden="1" customHeight="1">
      <c r="A237" s="11" t="s">
        <v>965</v>
      </c>
      <c r="B237" s="11" t="s">
        <v>974</v>
      </c>
      <c r="C237" s="11" t="s">
        <v>1024</v>
      </c>
      <c r="D237" s="12" t="s">
        <v>1025</v>
      </c>
      <c r="E237" s="11" t="s">
        <v>49</v>
      </c>
      <c r="F237" s="11" t="s">
        <v>960</v>
      </c>
      <c r="G237" s="18" t="s">
        <v>1019</v>
      </c>
      <c r="H237" s="11"/>
      <c r="I237" s="11" t="s">
        <v>151</v>
      </c>
      <c r="J237" s="11" t="s">
        <v>1026</v>
      </c>
      <c r="K237" s="11" t="s">
        <v>1027</v>
      </c>
      <c r="L237" s="12" t="s">
        <v>1028</v>
      </c>
      <c r="M237" s="11"/>
      <c r="N237" s="11"/>
      <c r="O237" s="11"/>
      <c r="P237" s="11" t="s">
        <v>323</v>
      </c>
      <c r="Q237" s="11"/>
      <c r="R237" s="11"/>
      <c r="S237" s="11"/>
      <c r="T237" s="11"/>
      <c r="U237" s="11"/>
      <c r="V237" s="11"/>
      <c r="W237" s="11"/>
      <c r="X237" s="11"/>
      <c r="Y237" s="11"/>
      <c r="Z237" s="11"/>
      <c r="AA237" s="11"/>
      <c r="AB237" s="11"/>
      <c r="AC237" s="11"/>
      <c r="AD237" s="11"/>
      <c r="AE237" s="11"/>
      <c r="AF237" s="11"/>
      <c r="AG237" s="11"/>
      <c r="AH237" s="11"/>
      <c r="AI237" s="11"/>
      <c r="AJ237" s="11"/>
    </row>
    <row r="238" ht="15.75" hidden="1" customHeight="1">
      <c r="A238" s="7" t="s">
        <v>965</v>
      </c>
      <c r="B238" s="7" t="s">
        <v>1029</v>
      </c>
      <c r="C238" s="7" t="s">
        <v>1030</v>
      </c>
      <c r="D238" s="8" t="s">
        <v>1031</v>
      </c>
      <c r="E238" s="7" t="s">
        <v>49</v>
      </c>
      <c r="F238" s="7" t="s">
        <v>1032</v>
      </c>
      <c r="G238" s="7" t="s">
        <v>1033</v>
      </c>
      <c r="H238" s="7"/>
      <c r="I238" s="7" t="s">
        <v>51</v>
      </c>
      <c r="J238" s="7" t="s">
        <v>1034</v>
      </c>
      <c r="K238" s="7" t="s">
        <v>1035</v>
      </c>
      <c r="L238" s="8" t="s">
        <v>1036</v>
      </c>
      <c r="M238" s="7"/>
      <c r="N238" s="7"/>
      <c r="O238" s="7"/>
      <c r="P238" s="7"/>
      <c r="Q238" s="7"/>
      <c r="R238" s="7"/>
      <c r="S238" s="51"/>
      <c r="T238" s="7"/>
      <c r="U238" s="7"/>
      <c r="V238" s="7"/>
      <c r="W238" s="7"/>
      <c r="X238" s="7"/>
      <c r="Y238" s="7"/>
      <c r="Z238" s="7"/>
      <c r="AA238" s="7"/>
      <c r="AB238" s="7"/>
      <c r="AC238" s="7"/>
      <c r="AD238" s="7"/>
      <c r="AE238" s="7"/>
      <c r="AF238" s="7"/>
      <c r="AG238" s="7"/>
      <c r="AH238" s="7"/>
      <c r="AI238" s="7"/>
      <c r="AJ238" s="7"/>
    </row>
    <row r="239" ht="15.75" hidden="1" customHeight="1">
      <c r="A239" s="11" t="s">
        <v>965</v>
      </c>
      <c r="B239" s="11" t="s">
        <v>974</v>
      </c>
      <c r="C239" s="11" t="s">
        <v>1037</v>
      </c>
      <c r="D239" s="12" t="s">
        <v>1038</v>
      </c>
      <c r="E239" s="11" t="s">
        <v>25</v>
      </c>
      <c r="F239" s="11"/>
      <c r="G239" s="11" t="s">
        <v>1039</v>
      </c>
      <c r="H239" s="11"/>
      <c r="I239" s="11" t="s">
        <v>151</v>
      </c>
      <c r="J239" s="11"/>
      <c r="K239" s="11" t="s">
        <v>1040</v>
      </c>
      <c r="L239" s="59" t="s">
        <v>1041</v>
      </c>
      <c r="M239" s="11" t="s">
        <v>25</v>
      </c>
      <c r="N239" s="11"/>
      <c r="O239" s="11"/>
      <c r="P239" s="11" t="s">
        <v>609</v>
      </c>
      <c r="Q239" s="11"/>
      <c r="R239" s="11"/>
      <c r="S239" s="48"/>
      <c r="T239" s="11"/>
      <c r="U239" s="11"/>
      <c r="V239" s="11"/>
      <c r="W239" s="11"/>
      <c r="X239" s="11"/>
      <c r="Y239" s="11"/>
      <c r="Z239" s="11"/>
      <c r="AA239" s="11"/>
      <c r="AB239" s="11"/>
      <c r="AC239" s="11"/>
      <c r="AD239" s="11"/>
      <c r="AE239" s="11"/>
      <c r="AF239" s="11"/>
      <c r="AG239" s="11"/>
      <c r="AH239" s="11"/>
      <c r="AI239" s="11"/>
      <c r="AJ239" s="11"/>
    </row>
    <row r="240" ht="15.75" hidden="1" customHeight="1">
      <c r="A240" s="7" t="s">
        <v>965</v>
      </c>
      <c r="B240" s="7" t="s">
        <v>966</v>
      </c>
      <c r="C240" s="7" t="s">
        <v>1042</v>
      </c>
      <c r="D240" s="7" t="s">
        <v>1043</v>
      </c>
      <c r="E240" s="7" t="s">
        <v>49</v>
      </c>
      <c r="F240" s="7"/>
      <c r="G240" s="7" t="s">
        <v>1044</v>
      </c>
      <c r="H240" s="7"/>
      <c r="I240" s="7" t="s">
        <v>151</v>
      </c>
      <c r="J240" s="7" t="s">
        <v>1045</v>
      </c>
      <c r="K240" s="7" t="s">
        <v>1046</v>
      </c>
      <c r="L240" s="7"/>
      <c r="M240" s="7"/>
      <c r="N240" s="7"/>
      <c r="O240" s="7"/>
      <c r="P240" s="7" t="s">
        <v>1047</v>
      </c>
      <c r="Q240" s="7" t="s">
        <v>310</v>
      </c>
      <c r="R240" s="7"/>
      <c r="S240" s="7" t="s">
        <v>1048</v>
      </c>
      <c r="T240" s="7"/>
      <c r="U240" s="7"/>
      <c r="V240" s="7"/>
      <c r="W240" s="7"/>
      <c r="X240" s="7"/>
      <c r="Y240" s="7"/>
      <c r="Z240" s="7"/>
      <c r="AA240" s="7"/>
      <c r="AB240" s="7"/>
      <c r="AC240" s="7"/>
      <c r="AD240" s="7"/>
      <c r="AE240" s="7"/>
      <c r="AF240" s="7"/>
      <c r="AG240" s="7"/>
      <c r="AH240" s="7"/>
      <c r="AI240" s="7"/>
      <c r="AJ240" s="7"/>
    </row>
    <row r="241" ht="15.75" hidden="1" customHeight="1">
      <c r="A241" s="11" t="s">
        <v>965</v>
      </c>
      <c r="B241" s="11" t="s">
        <v>997</v>
      </c>
      <c r="C241" s="11" t="s">
        <v>1006</v>
      </c>
      <c r="D241" s="11" t="s">
        <v>1007</v>
      </c>
      <c r="E241" s="11" t="s">
        <v>49</v>
      </c>
      <c r="F241" s="11"/>
      <c r="G241" s="11" t="s">
        <v>1008</v>
      </c>
      <c r="H241" s="11" t="s">
        <v>39</v>
      </c>
      <c r="I241" s="11"/>
      <c r="J241" s="11" t="s">
        <v>1009</v>
      </c>
      <c r="K241" s="11" t="s">
        <v>1010</v>
      </c>
      <c r="L241" s="11"/>
      <c r="M241" s="11"/>
      <c r="N241" s="11"/>
      <c r="O241" s="25"/>
      <c r="P241" s="11"/>
      <c r="Q241" s="11" t="s">
        <v>323</v>
      </c>
      <c r="R241" s="11"/>
      <c r="S241" s="11"/>
      <c r="T241" s="11"/>
      <c r="U241" s="11"/>
      <c r="V241" s="11"/>
      <c r="W241" s="11"/>
      <c r="X241" s="11"/>
      <c r="Y241" s="11"/>
      <c r="Z241" s="11"/>
      <c r="AA241" s="11"/>
      <c r="AB241" s="11"/>
      <c r="AC241" s="11"/>
      <c r="AD241" s="11"/>
      <c r="AE241" s="11"/>
      <c r="AF241" s="11"/>
      <c r="AG241" s="11"/>
      <c r="AH241" s="11"/>
      <c r="AI241" s="11"/>
      <c r="AJ241" s="11"/>
    </row>
    <row r="242" ht="15.75" hidden="1" customHeight="1">
      <c r="A242" s="7" t="s">
        <v>965</v>
      </c>
      <c r="B242" s="7" t="s">
        <v>1049</v>
      </c>
      <c r="C242" s="7" t="s">
        <v>1050</v>
      </c>
      <c r="D242" s="7" t="s">
        <v>1051</v>
      </c>
      <c r="E242" s="7" t="s">
        <v>49</v>
      </c>
      <c r="F242" s="7"/>
      <c r="G242" s="16" t="s">
        <v>969</v>
      </c>
      <c r="H242" s="7" t="s">
        <v>39</v>
      </c>
      <c r="I242" s="7" t="s">
        <v>51</v>
      </c>
      <c r="J242" s="7">
        <v>2.0</v>
      </c>
      <c r="K242" s="7" t="s">
        <v>1052</v>
      </c>
      <c r="L242" s="7"/>
      <c r="M242" s="7"/>
      <c r="N242" s="7"/>
      <c r="O242" s="7"/>
      <c r="P242" s="7"/>
      <c r="Q242" s="7" t="s">
        <v>1053</v>
      </c>
      <c r="R242" s="7"/>
      <c r="S242" s="7"/>
      <c r="T242" s="7"/>
      <c r="U242" s="7"/>
      <c r="V242" s="7"/>
      <c r="W242" s="7"/>
      <c r="X242" s="7"/>
      <c r="Y242" s="7"/>
      <c r="Z242" s="7"/>
      <c r="AA242" s="7"/>
      <c r="AB242" s="7"/>
      <c r="AC242" s="7"/>
      <c r="AD242" s="7"/>
      <c r="AE242" s="7"/>
      <c r="AF242" s="7"/>
      <c r="AG242" s="7"/>
      <c r="AH242" s="7"/>
      <c r="AI242" s="7"/>
      <c r="AJ242" s="7"/>
    </row>
    <row r="243" ht="15.75" hidden="1" customHeight="1">
      <c r="A243" s="11" t="s">
        <v>965</v>
      </c>
      <c r="B243" s="11" t="s">
        <v>974</v>
      </c>
      <c r="C243" s="11" t="s">
        <v>1054</v>
      </c>
      <c r="D243" s="11" t="s">
        <v>1055</v>
      </c>
      <c r="E243" s="11" t="s">
        <v>49</v>
      </c>
      <c r="F243" s="11"/>
      <c r="G243" s="11" t="s">
        <v>1056</v>
      </c>
      <c r="H243" s="11"/>
      <c r="I243" s="11" t="s">
        <v>151</v>
      </c>
      <c r="J243" s="11" t="s">
        <v>1057</v>
      </c>
      <c r="K243" s="47" t="s">
        <v>1058</v>
      </c>
      <c r="L243" s="11"/>
      <c r="M243" s="11"/>
      <c r="N243" s="11"/>
      <c r="O243" s="11"/>
      <c r="P243" s="11"/>
      <c r="Q243" s="11" t="s">
        <v>102</v>
      </c>
      <c r="R243" s="11"/>
      <c r="S243" s="11" t="s">
        <v>189</v>
      </c>
      <c r="T243" s="11"/>
      <c r="U243" s="11"/>
      <c r="V243" s="11"/>
      <c r="W243" s="11"/>
      <c r="X243" s="11"/>
      <c r="Y243" s="11"/>
      <c r="Z243" s="11"/>
      <c r="AA243" s="11"/>
      <c r="AB243" s="11"/>
      <c r="AC243" s="11"/>
      <c r="AD243" s="11"/>
      <c r="AE243" s="11"/>
      <c r="AF243" s="11"/>
      <c r="AG243" s="11"/>
      <c r="AH243" s="11"/>
      <c r="AI243" s="11"/>
      <c r="AJ243" s="11"/>
    </row>
    <row r="244" ht="15.75" hidden="1" customHeight="1">
      <c r="A244" s="7" t="s">
        <v>965</v>
      </c>
      <c r="B244" s="7" t="s">
        <v>966</v>
      </c>
      <c r="C244" s="7" t="s">
        <v>1059</v>
      </c>
      <c r="D244" s="7" t="s">
        <v>1060</v>
      </c>
      <c r="E244" s="7" t="s">
        <v>49</v>
      </c>
      <c r="F244" s="7"/>
      <c r="G244" s="16" t="s">
        <v>969</v>
      </c>
      <c r="H244" s="7"/>
      <c r="I244" s="7" t="s">
        <v>151</v>
      </c>
      <c r="J244" s="7" t="s">
        <v>1061</v>
      </c>
      <c r="K244" s="7" t="s">
        <v>1062</v>
      </c>
      <c r="L244" s="10"/>
      <c r="M244" s="7"/>
      <c r="N244" s="7"/>
      <c r="O244" s="7" t="s">
        <v>1063</v>
      </c>
      <c r="P244" s="7" t="s">
        <v>609</v>
      </c>
      <c r="Q244" s="7" t="s">
        <v>161</v>
      </c>
      <c r="R244" s="7"/>
      <c r="S244" s="7" t="s">
        <v>189</v>
      </c>
      <c r="T244" s="10"/>
      <c r="U244" s="10"/>
      <c r="V244" s="10"/>
      <c r="W244" s="10"/>
      <c r="X244" s="10"/>
      <c r="Y244" s="10"/>
      <c r="Z244" s="10"/>
      <c r="AA244" s="10"/>
      <c r="AB244" s="10"/>
      <c r="AC244" s="10"/>
      <c r="AD244" s="10"/>
      <c r="AE244" s="10"/>
      <c r="AF244" s="10"/>
      <c r="AG244" s="10"/>
      <c r="AH244" s="10"/>
      <c r="AI244" s="10"/>
      <c r="AJ244" s="7"/>
    </row>
    <row r="245" ht="15.75" hidden="1" customHeight="1">
      <c r="A245" s="11" t="s">
        <v>965</v>
      </c>
      <c r="B245" s="11" t="s">
        <v>974</v>
      </c>
      <c r="C245" s="11" t="s">
        <v>1064</v>
      </c>
      <c r="D245" s="11" t="s">
        <v>1065</v>
      </c>
      <c r="E245" s="11" t="s">
        <v>49</v>
      </c>
      <c r="F245" s="11"/>
      <c r="G245" s="11" t="s">
        <v>1066</v>
      </c>
      <c r="H245" s="11"/>
      <c r="I245" s="11" t="s">
        <v>51</v>
      </c>
      <c r="J245" s="11" t="s">
        <v>1057</v>
      </c>
      <c r="K245" s="47" t="s">
        <v>1067</v>
      </c>
      <c r="L245" s="11"/>
      <c r="M245" s="11"/>
      <c r="N245" s="11"/>
      <c r="O245" s="11"/>
      <c r="P245" s="11"/>
      <c r="Q245" s="11" t="s">
        <v>1068</v>
      </c>
      <c r="R245" s="11"/>
      <c r="S245" s="11" t="s">
        <v>189</v>
      </c>
      <c r="T245" s="11"/>
      <c r="U245" s="11"/>
      <c r="V245" s="11"/>
      <c r="W245" s="11"/>
      <c r="X245" s="11"/>
      <c r="Y245" s="11"/>
      <c r="Z245" s="11"/>
      <c r="AA245" s="11"/>
      <c r="AB245" s="11"/>
      <c r="AC245" s="11"/>
      <c r="AD245" s="11"/>
      <c r="AE245" s="11"/>
      <c r="AF245" s="11"/>
      <c r="AG245" s="11"/>
      <c r="AH245" s="11"/>
      <c r="AI245" s="11"/>
      <c r="AJ245" s="11"/>
    </row>
    <row r="246" ht="15.75" hidden="1" customHeight="1">
      <c r="A246" s="7" t="s">
        <v>965</v>
      </c>
      <c r="B246" s="7" t="s">
        <v>966</v>
      </c>
      <c r="C246" s="7" t="s">
        <v>1069</v>
      </c>
      <c r="D246" s="7" t="s">
        <v>1070</v>
      </c>
      <c r="E246" s="7" t="s">
        <v>49</v>
      </c>
      <c r="F246" s="7"/>
      <c r="G246" s="16" t="s">
        <v>1071</v>
      </c>
      <c r="H246" s="7"/>
      <c r="I246" s="7" t="s">
        <v>151</v>
      </c>
      <c r="J246" s="7" t="s">
        <v>1072</v>
      </c>
      <c r="K246" s="7" t="s">
        <v>1073</v>
      </c>
      <c r="L246" s="7"/>
      <c r="M246" s="7"/>
      <c r="N246" s="7"/>
      <c r="O246" s="7" t="s">
        <v>1074</v>
      </c>
      <c r="P246" s="7" t="s">
        <v>1047</v>
      </c>
      <c r="Q246" s="7" t="s">
        <v>161</v>
      </c>
      <c r="R246" s="7"/>
      <c r="S246" s="7" t="s">
        <v>189</v>
      </c>
      <c r="T246" s="7"/>
      <c r="U246" s="7"/>
      <c r="V246" s="7"/>
      <c r="W246" s="7"/>
      <c r="X246" s="7"/>
      <c r="Y246" s="7"/>
      <c r="Z246" s="7"/>
      <c r="AA246" s="7"/>
      <c r="AB246" s="7"/>
      <c r="AC246" s="7"/>
      <c r="AD246" s="7"/>
      <c r="AE246" s="7"/>
      <c r="AF246" s="7"/>
      <c r="AG246" s="7"/>
      <c r="AH246" s="7"/>
      <c r="AI246" s="7"/>
      <c r="AJ246" s="7"/>
    </row>
    <row r="247" ht="15.75" hidden="1" customHeight="1">
      <c r="A247" s="11" t="s">
        <v>965</v>
      </c>
      <c r="B247" s="11" t="s">
        <v>981</v>
      </c>
      <c r="C247" s="11" t="s">
        <v>1075</v>
      </c>
      <c r="D247" s="12" t="s">
        <v>1076</v>
      </c>
      <c r="E247" s="11" t="s">
        <v>96</v>
      </c>
      <c r="F247" s="11"/>
      <c r="G247" s="11" t="s">
        <v>1077</v>
      </c>
      <c r="H247" s="11"/>
      <c r="I247" s="11" t="s">
        <v>27</v>
      </c>
      <c r="J247" s="11" t="s">
        <v>1078</v>
      </c>
      <c r="K247" s="11" t="s">
        <v>1079</v>
      </c>
      <c r="L247" s="78" t="s">
        <v>1080</v>
      </c>
      <c r="M247" s="11"/>
      <c r="N247" s="11"/>
      <c r="O247" s="11" t="s">
        <v>1081</v>
      </c>
      <c r="P247" s="11"/>
      <c r="Q247" s="11"/>
      <c r="R247" s="11"/>
      <c r="S247" s="11"/>
      <c r="T247" s="11"/>
      <c r="U247" s="11"/>
      <c r="V247" s="11"/>
      <c r="W247" s="11"/>
      <c r="X247" s="11"/>
      <c r="Y247" s="11"/>
      <c r="Z247" s="11"/>
      <c r="AA247" s="11"/>
      <c r="AB247" s="11"/>
      <c r="AC247" s="11"/>
      <c r="AD247" s="11"/>
      <c r="AE247" s="11"/>
      <c r="AF247" s="11"/>
      <c r="AG247" s="11"/>
      <c r="AH247" s="11"/>
      <c r="AI247" s="11"/>
      <c r="AJ247" s="11"/>
    </row>
    <row r="248" ht="15.75" hidden="1" customHeight="1">
      <c r="A248" s="7" t="s">
        <v>965</v>
      </c>
      <c r="B248" s="7" t="s">
        <v>966</v>
      </c>
      <c r="C248" s="7" t="s">
        <v>1082</v>
      </c>
      <c r="D248" s="8" t="s">
        <v>1083</v>
      </c>
      <c r="E248" s="7" t="s">
        <v>96</v>
      </c>
      <c r="F248" s="7"/>
      <c r="G248" s="16" t="s">
        <v>992</v>
      </c>
      <c r="H248" s="7"/>
      <c r="I248" s="7" t="s">
        <v>51</v>
      </c>
      <c r="J248" s="7" t="s">
        <v>1084</v>
      </c>
      <c r="K248" s="7" t="s">
        <v>1085</v>
      </c>
      <c r="L248" s="8" t="s">
        <v>1086</v>
      </c>
      <c r="M248" s="7"/>
      <c r="N248" s="7"/>
      <c r="O248" s="7" t="s">
        <v>1087</v>
      </c>
      <c r="P248" s="7"/>
      <c r="Q248" s="7" t="s">
        <v>1088</v>
      </c>
      <c r="R248" s="7"/>
      <c r="S248" s="7"/>
      <c r="T248" s="7"/>
      <c r="U248" s="7"/>
      <c r="V248" s="7"/>
      <c r="W248" s="7"/>
      <c r="X248" s="7"/>
      <c r="Y248" s="7"/>
      <c r="Z248" s="7"/>
      <c r="AA248" s="7"/>
      <c r="AB248" s="7"/>
      <c r="AC248" s="7"/>
      <c r="AD248" s="7"/>
      <c r="AE248" s="7"/>
      <c r="AF248" s="7"/>
      <c r="AG248" s="7"/>
      <c r="AH248" s="7"/>
      <c r="AI248" s="7"/>
      <c r="AJ248" s="7"/>
    </row>
    <row r="249" ht="15.75" hidden="1" customHeight="1">
      <c r="A249" s="11" t="s">
        <v>965</v>
      </c>
      <c r="B249" s="11" t="s">
        <v>974</v>
      </c>
      <c r="C249" s="11" t="s">
        <v>1089</v>
      </c>
      <c r="D249" s="11" t="s">
        <v>1090</v>
      </c>
      <c r="E249" s="11" t="s">
        <v>49</v>
      </c>
      <c r="F249" s="11"/>
      <c r="G249" s="18" t="s">
        <v>1019</v>
      </c>
      <c r="H249" s="11" t="s">
        <v>51</v>
      </c>
      <c r="I249" s="11" t="s">
        <v>151</v>
      </c>
      <c r="J249" s="11" t="s">
        <v>1020</v>
      </c>
      <c r="K249" s="11"/>
      <c r="L249" s="11" t="s">
        <v>1091</v>
      </c>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row>
    <row r="250" ht="15.75" hidden="1" customHeight="1">
      <c r="A250" s="7" t="s">
        <v>965</v>
      </c>
      <c r="B250" s="7" t="s">
        <v>981</v>
      </c>
      <c r="C250" s="7" t="s">
        <v>1092</v>
      </c>
      <c r="D250" s="8" t="s">
        <v>1093</v>
      </c>
      <c r="E250" s="7" t="s">
        <v>96</v>
      </c>
      <c r="F250" s="7"/>
      <c r="G250" s="16" t="s">
        <v>1094</v>
      </c>
      <c r="H250" s="7"/>
      <c r="I250" s="7" t="s">
        <v>27</v>
      </c>
      <c r="J250" s="7" t="s">
        <v>1095</v>
      </c>
      <c r="K250" s="7" t="s">
        <v>1096</v>
      </c>
      <c r="L250" s="8" t="s">
        <v>1097</v>
      </c>
      <c r="M250" s="7"/>
      <c r="N250" s="7"/>
      <c r="O250" s="7" t="s">
        <v>1098</v>
      </c>
      <c r="P250" s="7"/>
      <c r="Q250" s="7" t="s">
        <v>1099</v>
      </c>
      <c r="R250" s="7"/>
      <c r="S250" s="7"/>
      <c r="T250" s="7"/>
      <c r="U250" s="7"/>
      <c r="V250" s="7"/>
      <c r="W250" s="7"/>
      <c r="X250" s="7"/>
      <c r="Y250" s="7"/>
      <c r="Z250" s="7"/>
      <c r="AA250" s="7"/>
      <c r="AB250" s="7"/>
      <c r="AC250" s="7"/>
      <c r="AD250" s="7"/>
      <c r="AE250" s="7"/>
      <c r="AF250" s="7"/>
      <c r="AG250" s="7"/>
      <c r="AH250" s="7"/>
      <c r="AI250" s="7"/>
      <c r="AJ250" s="10"/>
    </row>
    <row r="251" ht="15.75" hidden="1" customHeight="1">
      <c r="A251" s="11" t="s">
        <v>965</v>
      </c>
      <c r="B251" s="11" t="s">
        <v>966</v>
      </c>
      <c r="C251" s="11" t="s">
        <v>1100</v>
      </c>
      <c r="D251" s="11" t="s">
        <v>1101</v>
      </c>
      <c r="E251" s="11" t="s">
        <v>49</v>
      </c>
      <c r="F251" s="11"/>
      <c r="G251" s="18" t="s">
        <v>1044</v>
      </c>
      <c r="H251" s="11" t="s">
        <v>39</v>
      </c>
      <c r="I251" s="11" t="s">
        <v>51</v>
      </c>
      <c r="J251" s="11" t="s">
        <v>1102</v>
      </c>
      <c r="K251" s="11" t="s">
        <v>1103</v>
      </c>
      <c r="L251" s="11" t="s">
        <v>1104</v>
      </c>
      <c r="M251" s="79">
        <v>46037.0</v>
      </c>
      <c r="N251" s="11"/>
      <c r="O251" s="11"/>
      <c r="P251" s="11" t="s">
        <v>1105</v>
      </c>
      <c r="Q251" s="11"/>
      <c r="R251" s="11" t="s">
        <v>1106</v>
      </c>
      <c r="S251" s="11"/>
      <c r="T251" s="11"/>
      <c r="U251" s="11"/>
      <c r="V251" s="11"/>
      <c r="W251" s="11"/>
      <c r="X251" s="11"/>
      <c r="Y251" s="11"/>
      <c r="Z251" s="11"/>
      <c r="AA251" s="11"/>
      <c r="AB251" s="11"/>
      <c r="AC251" s="11"/>
      <c r="AD251" s="11"/>
      <c r="AE251" s="11"/>
      <c r="AF251" s="11"/>
      <c r="AG251" s="11"/>
      <c r="AH251" s="11"/>
      <c r="AI251" s="11"/>
      <c r="AJ251" s="11"/>
    </row>
    <row r="252" ht="15.75" hidden="1" customHeight="1">
      <c r="A252" s="7" t="s">
        <v>965</v>
      </c>
      <c r="B252" s="7" t="s">
        <v>981</v>
      </c>
      <c r="C252" s="7" t="s">
        <v>1107</v>
      </c>
      <c r="D252" s="7" t="s">
        <v>1108</v>
      </c>
      <c r="E252" s="7" t="s">
        <v>49</v>
      </c>
      <c r="F252" s="7"/>
      <c r="G252" s="7"/>
      <c r="H252" s="7" t="s">
        <v>51</v>
      </c>
      <c r="I252" s="7" t="s">
        <v>51</v>
      </c>
      <c r="J252" s="7" t="s">
        <v>1109</v>
      </c>
      <c r="K252" s="16" t="s">
        <v>984</v>
      </c>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row>
    <row r="253" ht="15.75" hidden="1" customHeight="1">
      <c r="A253" s="11" t="s">
        <v>965</v>
      </c>
      <c r="B253" s="11" t="s">
        <v>981</v>
      </c>
      <c r="C253" s="11" t="s">
        <v>1110</v>
      </c>
      <c r="D253" s="11" t="s">
        <v>1111</v>
      </c>
      <c r="E253" s="11" t="s">
        <v>49</v>
      </c>
      <c r="F253" s="11"/>
      <c r="G253" s="11"/>
      <c r="H253" s="11" t="s">
        <v>51</v>
      </c>
      <c r="I253" s="11" t="s">
        <v>151</v>
      </c>
      <c r="J253" s="11" t="s">
        <v>1109</v>
      </c>
      <c r="K253" s="18" t="s">
        <v>984</v>
      </c>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row>
    <row r="254" ht="15.75" hidden="1" customHeight="1">
      <c r="A254" s="7" t="s">
        <v>965</v>
      </c>
      <c r="B254" s="7" t="s">
        <v>981</v>
      </c>
      <c r="C254" s="7" t="s">
        <v>1112</v>
      </c>
      <c r="D254" s="7" t="s">
        <v>1113</v>
      </c>
      <c r="E254" s="7" t="s">
        <v>49</v>
      </c>
      <c r="F254" s="7"/>
      <c r="G254" s="7"/>
      <c r="H254" s="7" t="s">
        <v>51</v>
      </c>
      <c r="I254" s="7" t="s">
        <v>151</v>
      </c>
      <c r="J254" s="7" t="s">
        <v>1114</v>
      </c>
      <c r="K254" s="16" t="s">
        <v>984</v>
      </c>
      <c r="L254" s="7"/>
      <c r="M254" s="7"/>
      <c r="N254" s="7"/>
      <c r="O254" s="7"/>
      <c r="P254" s="7"/>
      <c r="Q254" s="7"/>
      <c r="R254" s="7"/>
      <c r="S254" s="7"/>
      <c r="T254" s="7"/>
      <c r="U254" s="7"/>
      <c r="V254" s="7"/>
      <c r="W254" s="7"/>
      <c r="X254" s="7"/>
      <c r="Y254" s="7"/>
      <c r="Z254" s="7"/>
      <c r="AA254" s="7"/>
      <c r="AB254" s="7"/>
      <c r="AC254" s="7"/>
      <c r="AD254" s="7"/>
      <c r="AE254" s="7"/>
      <c r="AF254" s="7"/>
      <c r="AG254" s="7"/>
      <c r="AH254" s="7"/>
      <c r="AI254" s="7"/>
      <c r="AJ254" s="7"/>
    </row>
    <row r="255" ht="15.75" hidden="1" customHeight="1">
      <c r="A255" s="11" t="s">
        <v>965</v>
      </c>
      <c r="B255" s="11" t="s">
        <v>981</v>
      </c>
      <c r="C255" s="11" t="s">
        <v>1115</v>
      </c>
      <c r="D255" s="47" t="s">
        <v>1116</v>
      </c>
      <c r="E255" s="11" t="s">
        <v>49</v>
      </c>
      <c r="F255" s="11"/>
      <c r="G255" s="11"/>
      <c r="H255" s="11" t="s">
        <v>51</v>
      </c>
      <c r="I255" s="11" t="s">
        <v>151</v>
      </c>
      <c r="J255" s="11" t="s">
        <v>1114</v>
      </c>
      <c r="K255" s="18" t="s">
        <v>984</v>
      </c>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row>
    <row r="256" ht="15.75" hidden="1" customHeight="1">
      <c r="A256" s="7" t="s">
        <v>368</v>
      </c>
      <c r="B256" s="7" t="s">
        <v>369</v>
      </c>
      <c r="C256" s="8" t="s">
        <v>1117</v>
      </c>
      <c r="D256" s="9" t="s">
        <v>1118</v>
      </c>
      <c r="E256" s="7" t="s">
        <v>25</v>
      </c>
      <c r="F256" s="7"/>
      <c r="G256" s="7" t="s">
        <v>372</v>
      </c>
      <c r="H256" s="7"/>
      <c r="I256" s="7" t="s">
        <v>151</v>
      </c>
      <c r="J256" s="7" t="s">
        <v>373</v>
      </c>
      <c r="K256" s="8"/>
      <c r="L256" s="8" t="s">
        <v>1119</v>
      </c>
      <c r="M256" s="7"/>
      <c r="N256" s="7"/>
      <c r="O256" s="8" t="s">
        <v>1120</v>
      </c>
      <c r="P256" s="7" t="s">
        <v>1121</v>
      </c>
      <c r="Q256" s="7" t="s">
        <v>161</v>
      </c>
      <c r="R256" s="9"/>
      <c r="S256" s="9"/>
      <c r="T256" s="7"/>
      <c r="U256" s="9"/>
      <c r="V256" s="9"/>
      <c r="W256" s="9"/>
      <c r="X256" s="9"/>
      <c r="Y256" s="9"/>
      <c r="Z256" s="9"/>
      <c r="AA256" s="9"/>
      <c r="AB256" s="9"/>
      <c r="AC256" s="9"/>
      <c r="AD256" s="9"/>
      <c r="AE256" s="9"/>
      <c r="AF256" s="9"/>
      <c r="AG256" s="9"/>
      <c r="AH256" s="9"/>
      <c r="AI256" s="9"/>
      <c r="AJ256" s="9"/>
    </row>
    <row r="257" ht="15.75" hidden="1" customHeight="1">
      <c r="A257" s="11" t="s">
        <v>368</v>
      </c>
      <c r="B257" s="11" t="s">
        <v>368</v>
      </c>
      <c r="C257" s="12" t="s">
        <v>1122</v>
      </c>
      <c r="D257" s="13" t="s">
        <v>1123</v>
      </c>
      <c r="E257" s="11" t="s">
        <v>25</v>
      </c>
      <c r="F257" s="11"/>
      <c r="G257" s="11" t="s">
        <v>1124</v>
      </c>
      <c r="H257" s="11"/>
      <c r="I257" s="11" t="s">
        <v>27</v>
      </c>
      <c r="J257" s="11" t="s">
        <v>368</v>
      </c>
      <c r="K257" s="12"/>
      <c r="L257" s="12" t="s">
        <v>1125</v>
      </c>
      <c r="M257" s="11"/>
      <c r="N257" s="11"/>
      <c r="O257" s="12"/>
      <c r="P257" s="11" t="s">
        <v>1126</v>
      </c>
      <c r="Q257" s="11" t="s">
        <v>1127</v>
      </c>
      <c r="R257" s="13"/>
      <c r="S257" s="13"/>
      <c r="T257" s="11"/>
      <c r="U257" s="13"/>
      <c r="V257" s="13"/>
      <c r="W257" s="13"/>
      <c r="X257" s="13"/>
      <c r="Y257" s="13"/>
      <c r="Z257" s="13"/>
      <c r="AA257" s="13"/>
      <c r="AB257" s="13"/>
      <c r="AC257" s="13"/>
      <c r="AD257" s="13"/>
      <c r="AE257" s="13"/>
      <c r="AF257" s="13"/>
      <c r="AG257" s="13"/>
      <c r="AH257" s="13"/>
      <c r="AI257" s="13"/>
      <c r="AJ257" s="13"/>
    </row>
    <row r="258" ht="15.75" hidden="1" customHeight="1">
      <c r="A258" s="7" t="s">
        <v>368</v>
      </c>
      <c r="B258" s="7" t="s">
        <v>1128</v>
      </c>
      <c r="C258" s="8" t="s">
        <v>1129</v>
      </c>
      <c r="D258" s="9" t="s">
        <v>1130</v>
      </c>
      <c r="E258" s="7" t="s">
        <v>49</v>
      </c>
      <c r="F258" s="7"/>
      <c r="G258" s="7" t="s">
        <v>372</v>
      </c>
      <c r="H258" s="7"/>
      <c r="I258" s="7" t="s">
        <v>151</v>
      </c>
      <c r="J258" s="7" t="s">
        <v>368</v>
      </c>
      <c r="K258" s="8"/>
      <c r="L258" s="8" t="s">
        <v>1131</v>
      </c>
      <c r="M258" s="7"/>
      <c r="N258" s="7"/>
      <c r="O258" s="8"/>
      <c r="P258" s="7" t="s">
        <v>1132</v>
      </c>
      <c r="Q258" s="7" t="s">
        <v>310</v>
      </c>
      <c r="R258" s="9"/>
      <c r="S258" s="9" t="s">
        <v>1048</v>
      </c>
      <c r="T258" s="7"/>
      <c r="U258" s="9"/>
      <c r="V258" s="9"/>
      <c r="W258" s="9"/>
      <c r="X258" s="9"/>
      <c r="Y258" s="9"/>
      <c r="Z258" s="9"/>
      <c r="AA258" s="9"/>
      <c r="AB258" s="9"/>
      <c r="AC258" s="9"/>
      <c r="AD258" s="9"/>
      <c r="AE258" s="9"/>
      <c r="AF258" s="9"/>
      <c r="AG258" s="9"/>
      <c r="AH258" s="9"/>
      <c r="AI258" s="9"/>
      <c r="AJ258" s="9"/>
    </row>
    <row r="259" ht="15.75" hidden="1" customHeight="1">
      <c r="A259" s="11" t="s">
        <v>368</v>
      </c>
      <c r="B259" s="11" t="s">
        <v>1133</v>
      </c>
      <c r="C259" s="12" t="s">
        <v>1134</v>
      </c>
      <c r="D259" s="13" t="s">
        <v>1135</v>
      </c>
      <c r="E259" s="11" t="s">
        <v>96</v>
      </c>
      <c r="F259" s="11"/>
      <c r="G259" s="11" t="s">
        <v>1136</v>
      </c>
      <c r="H259" s="11" t="s">
        <v>51</v>
      </c>
      <c r="I259" s="11" t="s">
        <v>151</v>
      </c>
      <c r="J259" s="11" t="s">
        <v>368</v>
      </c>
      <c r="K259" s="12"/>
      <c r="L259" s="12" t="s">
        <v>1137</v>
      </c>
      <c r="M259" s="11"/>
      <c r="N259" s="11"/>
      <c r="O259" s="12"/>
      <c r="P259" s="11" t="s">
        <v>1138</v>
      </c>
      <c r="Q259" s="11" t="s">
        <v>310</v>
      </c>
      <c r="R259" s="13"/>
      <c r="S259" s="13"/>
      <c r="T259" s="11"/>
      <c r="U259" s="13"/>
      <c r="V259" s="13"/>
      <c r="W259" s="13"/>
      <c r="X259" s="13"/>
      <c r="Y259" s="13"/>
      <c r="Z259" s="13"/>
      <c r="AA259" s="13"/>
      <c r="AB259" s="13"/>
      <c r="AC259" s="13"/>
      <c r="AD259" s="13"/>
      <c r="AE259" s="13"/>
      <c r="AF259" s="13"/>
      <c r="AG259" s="13"/>
      <c r="AH259" s="13"/>
      <c r="AI259" s="13"/>
      <c r="AJ259" s="13"/>
    </row>
    <row r="260" ht="15.75" hidden="1" customHeight="1">
      <c r="A260" s="7" t="s">
        <v>368</v>
      </c>
      <c r="B260" s="7" t="s">
        <v>1139</v>
      </c>
      <c r="C260" s="8" t="s">
        <v>1140</v>
      </c>
      <c r="D260" s="9" t="s">
        <v>1141</v>
      </c>
      <c r="E260" s="7" t="s">
        <v>49</v>
      </c>
      <c r="F260" s="7"/>
      <c r="G260" s="7"/>
      <c r="H260" s="7"/>
      <c r="I260" s="7" t="s">
        <v>51</v>
      </c>
      <c r="J260" s="7" t="s">
        <v>368</v>
      </c>
      <c r="K260" s="8"/>
      <c r="L260" s="7"/>
      <c r="M260" s="7"/>
      <c r="N260" s="7"/>
      <c r="O260" s="69" t="s">
        <v>1142</v>
      </c>
      <c r="P260" s="7" t="s">
        <v>256</v>
      </c>
      <c r="Q260" s="7" t="s">
        <v>1143</v>
      </c>
      <c r="R260" s="9"/>
      <c r="S260" s="9"/>
      <c r="T260" s="7"/>
      <c r="U260" s="9"/>
      <c r="V260" s="9"/>
      <c r="W260" s="9"/>
      <c r="X260" s="9"/>
      <c r="Y260" s="9"/>
      <c r="Z260" s="9"/>
      <c r="AA260" s="9"/>
      <c r="AB260" s="9"/>
      <c r="AC260" s="9"/>
      <c r="AD260" s="9"/>
      <c r="AE260" s="9"/>
      <c r="AF260" s="9"/>
      <c r="AG260" s="9"/>
      <c r="AH260" s="9"/>
      <c r="AI260" s="9"/>
      <c r="AJ260" s="9"/>
    </row>
    <row r="261" ht="15.75" hidden="1" customHeight="1">
      <c r="A261" s="11" t="s">
        <v>368</v>
      </c>
      <c r="B261" s="11" t="s">
        <v>1133</v>
      </c>
      <c r="C261" s="12" t="s">
        <v>1144</v>
      </c>
      <c r="D261" s="13" t="s">
        <v>1145</v>
      </c>
      <c r="E261" s="11" t="s">
        <v>49</v>
      </c>
      <c r="F261" s="11"/>
      <c r="G261" s="11" t="s">
        <v>1146</v>
      </c>
      <c r="H261" s="11"/>
      <c r="I261" s="11" t="s">
        <v>151</v>
      </c>
      <c r="J261" s="11" t="s">
        <v>368</v>
      </c>
      <c r="K261" s="12"/>
      <c r="L261" s="12" t="s">
        <v>1147</v>
      </c>
      <c r="M261" s="11"/>
      <c r="N261" s="11"/>
      <c r="O261" s="12" t="s">
        <v>1148</v>
      </c>
      <c r="P261" s="11" t="s">
        <v>1149</v>
      </c>
      <c r="Q261" s="30" t="s">
        <v>1150</v>
      </c>
      <c r="R261" s="13"/>
      <c r="S261" s="13" t="s">
        <v>1151</v>
      </c>
      <c r="T261" s="11"/>
      <c r="U261" s="13"/>
      <c r="V261" s="13"/>
      <c r="W261" s="13"/>
      <c r="X261" s="13"/>
      <c r="Y261" s="13"/>
      <c r="Z261" s="13"/>
      <c r="AA261" s="13"/>
      <c r="AB261" s="13"/>
      <c r="AC261" s="13"/>
      <c r="AD261" s="13"/>
      <c r="AE261" s="13"/>
      <c r="AF261" s="13"/>
      <c r="AG261" s="13"/>
      <c r="AH261" s="13"/>
      <c r="AI261" s="13"/>
      <c r="AJ261" s="13"/>
    </row>
    <row r="262" ht="15.75" hidden="1" customHeight="1">
      <c r="A262" s="7" t="s">
        <v>368</v>
      </c>
      <c r="B262" s="7" t="s">
        <v>1133</v>
      </c>
      <c r="C262" s="8" t="s">
        <v>1152</v>
      </c>
      <c r="D262" s="9" t="s">
        <v>1153</v>
      </c>
      <c r="E262" s="7" t="s">
        <v>25</v>
      </c>
      <c r="F262" s="7"/>
      <c r="G262" s="7" t="s">
        <v>1136</v>
      </c>
      <c r="H262" s="7" t="s">
        <v>39</v>
      </c>
      <c r="I262" s="7" t="s">
        <v>151</v>
      </c>
      <c r="J262" s="7" t="s">
        <v>368</v>
      </c>
      <c r="K262" s="8"/>
      <c r="L262" s="8" t="s">
        <v>1154</v>
      </c>
      <c r="M262" s="7"/>
      <c r="N262" s="7"/>
      <c r="O262" s="69" t="s">
        <v>1155</v>
      </c>
      <c r="P262" s="7" t="s">
        <v>1156</v>
      </c>
      <c r="Q262" s="7" t="s">
        <v>310</v>
      </c>
      <c r="R262" s="9"/>
      <c r="S262" s="9"/>
      <c r="T262" s="7"/>
      <c r="U262" s="9"/>
      <c r="V262" s="9"/>
      <c r="W262" s="9"/>
      <c r="X262" s="9"/>
      <c r="Y262" s="9"/>
      <c r="Z262" s="9"/>
      <c r="AA262" s="9"/>
      <c r="AB262" s="9"/>
      <c r="AC262" s="9"/>
      <c r="AD262" s="9"/>
      <c r="AE262" s="9"/>
      <c r="AF262" s="9"/>
      <c r="AG262" s="9"/>
      <c r="AH262" s="9"/>
      <c r="AI262" s="9"/>
      <c r="AJ262" s="9"/>
    </row>
    <row r="263" ht="15.75" hidden="1" customHeight="1">
      <c r="A263" s="11" t="s">
        <v>368</v>
      </c>
      <c r="B263" s="11" t="s">
        <v>1133</v>
      </c>
      <c r="C263" s="12" t="s">
        <v>1157</v>
      </c>
      <c r="D263" s="13" t="s">
        <v>1158</v>
      </c>
      <c r="E263" s="11" t="s">
        <v>25</v>
      </c>
      <c r="F263" s="11"/>
      <c r="G263" s="11" t="s">
        <v>1136</v>
      </c>
      <c r="H263" s="11" t="s">
        <v>39</v>
      </c>
      <c r="I263" s="11" t="s">
        <v>151</v>
      </c>
      <c r="J263" s="11" t="s">
        <v>368</v>
      </c>
      <c r="K263" s="12"/>
      <c r="L263" s="11" t="s">
        <v>1159</v>
      </c>
      <c r="M263" s="11"/>
      <c r="N263" s="11"/>
      <c r="O263" s="59" t="s">
        <v>1160</v>
      </c>
      <c r="P263" s="11" t="s">
        <v>1156</v>
      </c>
      <c r="Q263" s="11" t="s">
        <v>310</v>
      </c>
      <c r="R263" s="13"/>
      <c r="S263" s="13"/>
      <c r="T263" s="11"/>
      <c r="U263" s="13"/>
      <c r="V263" s="13"/>
      <c r="W263" s="13"/>
      <c r="X263" s="13"/>
      <c r="Y263" s="13"/>
      <c r="Z263" s="13"/>
      <c r="AA263" s="13"/>
      <c r="AB263" s="13"/>
      <c r="AC263" s="13"/>
      <c r="AD263" s="13"/>
      <c r="AE263" s="13"/>
      <c r="AF263" s="13"/>
      <c r="AG263" s="13"/>
      <c r="AH263" s="13"/>
      <c r="AI263" s="13"/>
      <c r="AJ263" s="13"/>
    </row>
    <row r="264" ht="15.75" hidden="1" customHeight="1">
      <c r="A264" s="7" t="s">
        <v>368</v>
      </c>
      <c r="B264" s="7" t="s">
        <v>1161</v>
      </c>
      <c r="C264" s="8" t="s">
        <v>1162</v>
      </c>
      <c r="D264" s="9" t="s">
        <v>1163</v>
      </c>
      <c r="E264" s="7" t="s">
        <v>49</v>
      </c>
      <c r="F264" s="7"/>
      <c r="G264" s="7"/>
      <c r="H264" s="7"/>
      <c r="I264" s="7" t="s">
        <v>51</v>
      </c>
      <c r="J264" s="7" t="s">
        <v>368</v>
      </c>
      <c r="K264" s="8"/>
      <c r="L264" s="7"/>
      <c r="M264" s="7"/>
      <c r="N264" s="7"/>
      <c r="O264" s="8"/>
      <c r="P264" s="7" t="s">
        <v>1164</v>
      </c>
      <c r="Q264" s="7" t="s">
        <v>310</v>
      </c>
      <c r="R264" s="9"/>
      <c r="S264" s="9" t="s">
        <v>1151</v>
      </c>
      <c r="T264" s="7"/>
      <c r="U264" s="9"/>
      <c r="V264" s="9"/>
      <c r="W264" s="9"/>
      <c r="X264" s="9"/>
      <c r="Y264" s="9"/>
      <c r="Z264" s="9"/>
      <c r="AA264" s="9"/>
      <c r="AB264" s="9"/>
      <c r="AC264" s="9"/>
      <c r="AD264" s="9"/>
      <c r="AE264" s="9"/>
      <c r="AF264" s="9"/>
      <c r="AG264" s="9"/>
      <c r="AH264" s="9"/>
      <c r="AI264" s="9"/>
      <c r="AJ264" s="9"/>
    </row>
    <row r="265" ht="15.75" hidden="1" customHeight="1">
      <c r="A265" s="11" t="s">
        <v>368</v>
      </c>
      <c r="B265" s="11" t="s">
        <v>1128</v>
      </c>
      <c r="C265" s="12" t="s">
        <v>1165</v>
      </c>
      <c r="D265" s="13" t="s">
        <v>1166</v>
      </c>
      <c r="E265" s="11" t="s">
        <v>25</v>
      </c>
      <c r="F265" s="11"/>
      <c r="G265" s="11" t="s">
        <v>1167</v>
      </c>
      <c r="H265" s="11"/>
      <c r="I265" s="11" t="s">
        <v>151</v>
      </c>
      <c r="J265" s="11" t="s">
        <v>368</v>
      </c>
      <c r="K265" s="12"/>
      <c r="L265" s="12" t="s">
        <v>1168</v>
      </c>
      <c r="M265" s="11"/>
      <c r="N265" s="11"/>
      <c r="O265" s="12"/>
      <c r="P265" s="11"/>
      <c r="Q265" s="11"/>
      <c r="R265" s="13"/>
      <c r="S265" s="13"/>
      <c r="T265" s="11"/>
      <c r="U265" s="13"/>
      <c r="V265" s="13"/>
      <c r="W265" s="13"/>
      <c r="X265" s="13"/>
      <c r="Y265" s="13"/>
      <c r="Z265" s="13"/>
      <c r="AA265" s="13"/>
      <c r="AB265" s="13"/>
      <c r="AC265" s="13"/>
      <c r="AD265" s="13"/>
      <c r="AE265" s="13"/>
      <c r="AF265" s="13"/>
      <c r="AG265" s="13"/>
      <c r="AH265" s="13"/>
      <c r="AI265" s="13"/>
      <c r="AJ265" s="13"/>
    </row>
    <row r="266" ht="15.75" hidden="1" customHeight="1">
      <c r="A266" s="7" t="s">
        <v>368</v>
      </c>
      <c r="B266" s="7" t="s">
        <v>1128</v>
      </c>
      <c r="C266" s="8" t="s">
        <v>1169</v>
      </c>
      <c r="D266" s="9" t="s">
        <v>1170</v>
      </c>
      <c r="E266" s="7" t="s">
        <v>25</v>
      </c>
      <c r="F266" s="7"/>
      <c r="G266" s="7" t="s">
        <v>1167</v>
      </c>
      <c r="H266" s="7"/>
      <c r="I266" s="7" t="s">
        <v>151</v>
      </c>
      <c r="J266" s="7"/>
      <c r="K266" s="8"/>
      <c r="L266" s="8" t="s">
        <v>1171</v>
      </c>
      <c r="M266" s="7"/>
      <c r="N266" s="7"/>
      <c r="O266" s="8"/>
      <c r="P266" s="7"/>
      <c r="Q266" s="7"/>
      <c r="R266" s="9"/>
      <c r="S266" s="9"/>
      <c r="T266" s="7"/>
      <c r="U266" s="9"/>
      <c r="V266" s="9"/>
      <c r="W266" s="9"/>
      <c r="X266" s="9"/>
      <c r="Y266" s="9"/>
      <c r="Z266" s="9"/>
      <c r="AA266" s="9"/>
      <c r="AB266" s="9"/>
      <c r="AC266" s="9"/>
      <c r="AD266" s="9"/>
      <c r="AE266" s="9"/>
      <c r="AF266" s="9"/>
      <c r="AG266" s="9"/>
      <c r="AH266" s="9"/>
      <c r="AI266" s="9"/>
      <c r="AJ266" s="9"/>
    </row>
    <row r="267" ht="15.75" hidden="1" customHeight="1">
      <c r="A267" s="11" t="s">
        <v>641</v>
      </c>
      <c r="B267" s="11"/>
      <c r="C267" s="12" t="s">
        <v>1172</v>
      </c>
      <c r="D267" s="13" t="s">
        <v>1173</v>
      </c>
      <c r="E267" s="11" t="s">
        <v>25</v>
      </c>
      <c r="F267" s="11"/>
      <c r="G267" s="11" t="s">
        <v>1174</v>
      </c>
      <c r="H267" s="11"/>
      <c r="I267" s="11" t="s">
        <v>27</v>
      </c>
      <c r="J267" s="11" t="s">
        <v>1175</v>
      </c>
      <c r="K267" s="12"/>
      <c r="L267" s="11"/>
      <c r="M267" s="11"/>
      <c r="N267" s="11"/>
      <c r="O267" s="12"/>
      <c r="P267" s="11"/>
      <c r="Q267" s="11" t="s">
        <v>1176</v>
      </c>
      <c r="R267" s="13"/>
      <c r="S267" s="13"/>
      <c r="T267" s="11"/>
      <c r="U267" s="13"/>
      <c r="V267" s="13"/>
      <c r="W267" s="13"/>
      <c r="X267" s="13"/>
      <c r="Y267" s="13"/>
      <c r="Z267" s="13"/>
      <c r="AA267" s="13"/>
      <c r="AB267" s="13"/>
      <c r="AC267" s="13"/>
      <c r="AD267" s="13"/>
      <c r="AE267" s="13"/>
      <c r="AF267" s="13"/>
      <c r="AG267" s="13"/>
      <c r="AH267" s="13"/>
      <c r="AI267" s="13"/>
      <c r="AJ267" s="13"/>
    </row>
    <row r="268" ht="15.75" hidden="1" customHeight="1">
      <c r="A268" s="7" t="s">
        <v>641</v>
      </c>
      <c r="B268" s="10"/>
      <c r="C268" s="8" t="s">
        <v>1177</v>
      </c>
      <c r="D268" s="9" t="s">
        <v>1178</v>
      </c>
      <c r="E268" s="7" t="s">
        <v>25</v>
      </c>
      <c r="F268" s="15"/>
      <c r="G268" s="10" t="s">
        <v>1179</v>
      </c>
      <c r="H268" s="7"/>
      <c r="I268" s="7" t="s">
        <v>151</v>
      </c>
      <c r="J268" s="10" t="s">
        <v>641</v>
      </c>
      <c r="K268" s="9"/>
      <c r="L268" s="17" t="s">
        <v>1180</v>
      </c>
      <c r="M268" s="7"/>
      <c r="N268" s="7"/>
      <c r="O268" s="15"/>
      <c r="P268" s="7" t="s">
        <v>161</v>
      </c>
      <c r="Q268" s="7" t="s">
        <v>161</v>
      </c>
      <c r="R268" s="15"/>
      <c r="S268" s="9" t="s">
        <v>1181</v>
      </c>
      <c r="T268" s="7"/>
      <c r="U268" s="9"/>
      <c r="V268" s="9"/>
      <c r="W268" s="9"/>
      <c r="X268" s="9"/>
      <c r="Y268" s="9"/>
      <c r="Z268" s="9"/>
      <c r="AA268" s="9"/>
      <c r="AB268" s="9"/>
      <c r="AC268" s="9"/>
      <c r="AD268" s="9"/>
      <c r="AE268" s="9"/>
      <c r="AF268" s="9"/>
      <c r="AG268" s="9"/>
      <c r="AH268" s="9"/>
      <c r="AI268" s="9"/>
      <c r="AJ268" s="9"/>
    </row>
    <row r="269" ht="15.75" hidden="1" customHeight="1">
      <c r="A269" s="11" t="s">
        <v>641</v>
      </c>
      <c r="B269" s="11"/>
      <c r="C269" s="12" t="s">
        <v>1182</v>
      </c>
      <c r="D269" s="13" t="s">
        <v>1183</v>
      </c>
      <c r="E269" s="11" t="s">
        <v>25</v>
      </c>
      <c r="F269" s="11"/>
      <c r="G269" s="11" t="s">
        <v>1184</v>
      </c>
      <c r="H269" s="13"/>
      <c r="I269" s="11"/>
      <c r="J269" s="11" t="s">
        <v>836</v>
      </c>
      <c r="K269" s="12" t="s">
        <v>1185</v>
      </c>
      <c r="L269" s="11" t="s">
        <v>1186</v>
      </c>
      <c r="M269" s="11"/>
      <c r="N269" s="11"/>
      <c r="O269" s="12"/>
      <c r="P269" s="11"/>
      <c r="Q269" s="11"/>
      <c r="R269" s="13"/>
      <c r="S269" s="19"/>
      <c r="T269" s="13"/>
      <c r="U269" s="13"/>
      <c r="V269" s="13"/>
      <c r="W269" s="13"/>
      <c r="X269" s="13"/>
      <c r="Y269" s="13"/>
      <c r="Z269" s="13"/>
      <c r="AA269" s="13"/>
      <c r="AB269" s="13"/>
      <c r="AC269" s="13"/>
      <c r="AD269" s="13"/>
      <c r="AE269" s="13"/>
      <c r="AF269" s="13"/>
      <c r="AG269" s="13"/>
      <c r="AH269" s="13"/>
      <c r="AI269" s="13"/>
      <c r="AJ269" s="13"/>
    </row>
    <row r="270" ht="15.75" hidden="1" customHeight="1">
      <c r="A270" s="7" t="s">
        <v>641</v>
      </c>
      <c r="B270" s="7"/>
      <c r="C270" s="8" t="s">
        <v>1187</v>
      </c>
      <c r="D270" s="62" t="s">
        <v>1188</v>
      </c>
      <c r="E270" s="7" t="s">
        <v>25</v>
      </c>
      <c r="F270" s="7"/>
      <c r="G270" s="7" t="s">
        <v>1189</v>
      </c>
      <c r="H270" s="7"/>
      <c r="I270" s="7" t="s">
        <v>27</v>
      </c>
      <c r="J270" s="7" t="s">
        <v>1175</v>
      </c>
      <c r="K270" s="9" t="s">
        <v>1190</v>
      </c>
      <c r="L270" s="7"/>
      <c r="M270" s="7"/>
      <c r="N270" s="7"/>
      <c r="O270" s="8" t="s">
        <v>1191</v>
      </c>
      <c r="P270" s="10"/>
      <c r="Q270" s="7" t="s">
        <v>1192</v>
      </c>
      <c r="R270" s="9"/>
      <c r="S270" s="9" t="s">
        <v>1193</v>
      </c>
      <c r="T270" s="7"/>
      <c r="U270" s="9"/>
      <c r="V270" s="9"/>
      <c r="W270" s="9"/>
      <c r="X270" s="9"/>
      <c r="Y270" s="9"/>
      <c r="Z270" s="9"/>
      <c r="AA270" s="9"/>
      <c r="AB270" s="9"/>
      <c r="AC270" s="9"/>
      <c r="AD270" s="9"/>
      <c r="AE270" s="9"/>
      <c r="AF270" s="9"/>
      <c r="AG270" s="9"/>
      <c r="AH270" s="9"/>
      <c r="AI270" s="9"/>
      <c r="AJ270" s="9"/>
    </row>
    <row r="271" ht="15.75" hidden="1" customHeight="1">
      <c r="A271" s="11" t="s">
        <v>641</v>
      </c>
      <c r="B271" s="11"/>
      <c r="C271" s="12" t="s">
        <v>1194</v>
      </c>
      <c r="D271" s="13" t="s">
        <v>1195</v>
      </c>
      <c r="E271" s="11" t="s">
        <v>25</v>
      </c>
      <c r="F271" s="11"/>
      <c r="G271" s="11" t="s">
        <v>1196</v>
      </c>
      <c r="H271" s="11"/>
      <c r="I271" s="11" t="s">
        <v>27</v>
      </c>
      <c r="J271" s="11" t="s">
        <v>1175</v>
      </c>
      <c r="K271" s="12"/>
      <c r="L271" s="11"/>
      <c r="M271" s="11"/>
      <c r="N271" s="11"/>
      <c r="O271" s="12"/>
      <c r="P271" s="11"/>
      <c r="Q271" s="11" t="s">
        <v>1176</v>
      </c>
      <c r="R271" s="13"/>
      <c r="S271" s="13"/>
      <c r="T271" s="11"/>
      <c r="U271" s="13"/>
      <c r="V271" s="13"/>
      <c r="W271" s="13"/>
      <c r="X271" s="13"/>
      <c r="Y271" s="13"/>
      <c r="Z271" s="13"/>
      <c r="AA271" s="13"/>
      <c r="AB271" s="13"/>
      <c r="AC271" s="13"/>
      <c r="AD271" s="13"/>
      <c r="AE271" s="13"/>
      <c r="AF271" s="13"/>
      <c r="AG271" s="13"/>
      <c r="AH271" s="13"/>
      <c r="AI271" s="13"/>
      <c r="AJ271" s="13"/>
    </row>
    <row r="272" ht="15.75" hidden="1" customHeight="1">
      <c r="A272" s="7" t="s">
        <v>641</v>
      </c>
      <c r="B272" s="7" t="s">
        <v>1197</v>
      </c>
      <c r="C272" s="8" t="s">
        <v>1198</v>
      </c>
      <c r="D272" s="9" t="s">
        <v>1199</v>
      </c>
      <c r="E272" s="7" t="s">
        <v>49</v>
      </c>
      <c r="F272" s="7"/>
      <c r="G272" s="7" t="s">
        <v>1200</v>
      </c>
      <c r="H272" s="7" t="s">
        <v>39</v>
      </c>
      <c r="I272" s="7" t="s">
        <v>27</v>
      </c>
      <c r="J272" s="7" t="s">
        <v>1201</v>
      </c>
      <c r="K272" s="8" t="s">
        <v>1202</v>
      </c>
      <c r="L272" s="7"/>
      <c r="M272" s="7" t="s">
        <v>1203</v>
      </c>
      <c r="N272" s="7"/>
      <c r="O272" s="8"/>
      <c r="P272" s="7"/>
      <c r="Q272" s="7" t="s">
        <v>1204</v>
      </c>
      <c r="R272" s="9"/>
      <c r="S272" s="9"/>
      <c r="T272" s="7"/>
      <c r="U272" s="9"/>
      <c r="V272" s="9"/>
      <c r="W272" s="9"/>
      <c r="X272" s="9"/>
      <c r="Y272" s="9"/>
      <c r="Z272" s="9"/>
      <c r="AA272" s="9"/>
      <c r="AB272" s="9"/>
      <c r="AC272" s="9"/>
      <c r="AD272" s="9"/>
      <c r="AE272" s="9"/>
      <c r="AF272" s="9"/>
      <c r="AG272" s="9"/>
      <c r="AH272" s="9"/>
      <c r="AI272" s="9"/>
      <c r="AJ272" s="9"/>
    </row>
    <row r="273" ht="15.75" hidden="1" customHeight="1">
      <c r="A273" s="11" t="s">
        <v>641</v>
      </c>
      <c r="B273" s="11" t="s">
        <v>1197</v>
      </c>
      <c r="C273" s="12" t="s">
        <v>1205</v>
      </c>
      <c r="D273" s="13" t="s">
        <v>1206</v>
      </c>
      <c r="E273" s="11" t="s">
        <v>25</v>
      </c>
      <c r="F273" s="11"/>
      <c r="G273" s="11" t="s">
        <v>1207</v>
      </c>
      <c r="H273" s="13"/>
      <c r="I273" s="11"/>
      <c r="J273" s="11" t="s">
        <v>1208</v>
      </c>
      <c r="K273" s="12"/>
      <c r="L273" s="12" t="s">
        <v>1209</v>
      </c>
      <c r="M273" s="11"/>
      <c r="N273" s="11"/>
      <c r="O273" s="12"/>
      <c r="P273" s="11"/>
      <c r="Q273" s="11"/>
      <c r="R273" s="13"/>
      <c r="S273" s="19"/>
      <c r="T273" s="13"/>
      <c r="U273" s="13"/>
      <c r="V273" s="13"/>
      <c r="W273" s="13"/>
      <c r="X273" s="13"/>
      <c r="Y273" s="13"/>
      <c r="Z273" s="13"/>
      <c r="AA273" s="13"/>
      <c r="AB273" s="13"/>
      <c r="AC273" s="13"/>
      <c r="AD273" s="13"/>
      <c r="AE273" s="13"/>
      <c r="AF273" s="13"/>
      <c r="AG273" s="13"/>
      <c r="AH273" s="13"/>
      <c r="AI273" s="13"/>
      <c r="AJ273" s="13"/>
    </row>
    <row r="274" ht="15.75" hidden="1" customHeight="1">
      <c r="A274" s="7" t="s">
        <v>641</v>
      </c>
      <c r="B274" s="7"/>
      <c r="C274" s="8" t="s">
        <v>1210</v>
      </c>
      <c r="D274" s="9" t="s">
        <v>1211</v>
      </c>
      <c r="E274" s="7" t="s">
        <v>96</v>
      </c>
      <c r="F274" s="7"/>
      <c r="G274" s="7"/>
      <c r="H274" s="7"/>
      <c r="I274" s="7" t="s">
        <v>51</v>
      </c>
      <c r="J274" s="7"/>
      <c r="K274" s="8"/>
      <c r="L274" s="7"/>
      <c r="M274" s="7"/>
      <c r="N274" s="7"/>
      <c r="O274" s="8"/>
      <c r="P274" s="7"/>
      <c r="Q274" s="10" t="s">
        <v>231</v>
      </c>
      <c r="R274" s="9"/>
      <c r="S274" s="9"/>
      <c r="T274" s="7"/>
      <c r="U274" s="9"/>
      <c r="V274" s="9"/>
      <c r="W274" s="9"/>
      <c r="X274" s="9"/>
      <c r="Y274" s="9"/>
      <c r="Z274" s="9"/>
      <c r="AA274" s="9"/>
      <c r="AB274" s="9"/>
      <c r="AC274" s="9"/>
      <c r="AD274" s="9"/>
      <c r="AE274" s="9"/>
      <c r="AF274" s="9"/>
      <c r="AG274" s="9"/>
      <c r="AH274" s="9"/>
      <c r="AI274" s="9"/>
      <c r="AJ274" s="9"/>
    </row>
    <row r="275" ht="15.75" hidden="1" customHeight="1">
      <c r="A275" s="11" t="s">
        <v>641</v>
      </c>
      <c r="B275" s="11"/>
      <c r="C275" s="12" t="s">
        <v>1212</v>
      </c>
      <c r="D275" s="13" t="s">
        <v>1213</v>
      </c>
      <c r="E275" s="11" t="s">
        <v>49</v>
      </c>
      <c r="F275" s="80" t="s">
        <v>1214</v>
      </c>
      <c r="G275" s="11" t="s">
        <v>1189</v>
      </c>
      <c r="H275" s="11"/>
      <c r="I275" s="11" t="s">
        <v>51</v>
      </c>
      <c r="J275" s="11" t="s">
        <v>1215</v>
      </c>
      <c r="K275" s="12" t="s">
        <v>1216</v>
      </c>
      <c r="L275" s="11" t="s">
        <v>1217</v>
      </c>
      <c r="M275" s="11"/>
      <c r="N275" s="11"/>
      <c r="O275" s="59" t="s">
        <v>1218</v>
      </c>
      <c r="P275" s="11" t="s">
        <v>310</v>
      </c>
      <c r="Q275" s="48" t="s">
        <v>1219</v>
      </c>
      <c r="R275" s="13"/>
      <c r="S275" s="13" t="s">
        <v>1220</v>
      </c>
      <c r="T275" s="11"/>
      <c r="U275" s="13"/>
      <c r="V275" s="13"/>
      <c r="W275" s="13"/>
      <c r="X275" s="13"/>
      <c r="Y275" s="13"/>
      <c r="Z275" s="13"/>
      <c r="AA275" s="13"/>
      <c r="AB275" s="13"/>
      <c r="AC275" s="13"/>
      <c r="AD275" s="13"/>
      <c r="AE275" s="13"/>
      <c r="AF275" s="13"/>
      <c r="AG275" s="13"/>
      <c r="AH275" s="13"/>
      <c r="AI275" s="13"/>
      <c r="AJ275" s="13"/>
    </row>
    <row r="276" ht="15.75" hidden="1" customHeight="1">
      <c r="A276" s="7" t="s">
        <v>641</v>
      </c>
      <c r="B276" s="7"/>
      <c r="C276" s="8" t="s">
        <v>1221</v>
      </c>
      <c r="D276" s="9" t="s">
        <v>1222</v>
      </c>
      <c r="E276" s="7" t="s">
        <v>96</v>
      </c>
      <c r="F276" s="7"/>
      <c r="G276" s="7"/>
      <c r="H276" s="7" t="s">
        <v>39</v>
      </c>
      <c r="I276" s="7" t="s">
        <v>51</v>
      </c>
      <c r="J276" s="7"/>
      <c r="K276" s="8"/>
      <c r="L276" s="7"/>
      <c r="M276" s="7"/>
      <c r="N276" s="7"/>
      <c r="O276" s="8"/>
      <c r="P276" s="7"/>
      <c r="Q276" s="10" t="s">
        <v>1223</v>
      </c>
      <c r="R276" s="9"/>
      <c r="S276" s="9"/>
      <c r="T276" s="7"/>
      <c r="U276" s="9"/>
      <c r="V276" s="9"/>
      <c r="W276" s="9"/>
      <c r="X276" s="9"/>
      <c r="Y276" s="9"/>
      <c r="Z276" s="9"/>
      <c r="AA276" s="9"/>
      <c r="AB276" s="9"/>
      <c r="AC276" s="9"/>
      <c r="AD276" s="9"/>
      <c r="AE276" s="9"/>
      <c r="AF276" s="9"/>
      <c r="AG276" s="9"/>
      <c r="AH276" s="9"/>
      <c r="AI276" s="9"/>
      <c r="AJ276" s="9"/>
    </row>
    <row r="277" ht="15.75" hidden="1" customHeight="1">
      <c r="A277" s="11" t="s">
        <v>641</v>
      </c>
      <c r="B277" s="11"/>
      <c r="C277" s="12" t="s">
        <v>1224</v>
      </c>
      <c r="D277" s="13" t="s">
        <v>1225</v>
      </c>
      <c r="E277" s="11" t="s">
        <v>96</v>
      </c>
      <c r="F277" s="11"/>
      <c r="G277" s="11"/>
      <c r="H277" s="11"/>
      <c r="I277" s="11" t="s">
        <v>51</v>
      </c>
      <c r="J277" s="11"/>
      <c r="K277" s="12"/>
      <c r="L277" s="11"/>
      <c r="M277" s="11"/>
      <c r="N277" s="11"/>
      <c r="O277" s="12"/>
      <c r="P277" s="11"/>
      <c r="Q277" s="25" t="s">
        <v>1223</v>
      </c>
      <c r="R277" s="13"/>
      <c r="S277" s="13"/>
      <c r="T277" s="11"/>
      <c r="U277" s="13"/>
      <c r="V277" s="13"/>
      <c r="W277" s="13"/>
      <c r="X277" s="13"/>
      <c r="Y277" s="13"/>
      <c r="Z277" s="13"/>
      <c r="AA277" s="13"/>
      <c r="AB277" s="13"/>
      <c r="AC277" s="13"/>
      <c r="AD277" s="13"/>
      <c r="AE277" s="13"/>
      <c r="AF277" s="13"/>
      <c r="AG277" s="13"/>
      <c r="AH277" s="13"/>
      <c r="AI277" s="13"/>
      <c r="AJ277" s="13"/>
    </row>
    <row r="278" ht="15.75" hidden="1" customHeight="1">
      <c r="A278" s="7" t="s">
        <v>641</v>
      </c>
      <c r="B278" s="7"/>
      <c r="C278" s="8" t="s">
        <v>1226</v>
      </c>
      <c r="D278" s="9" t="s">
        <v>1227</v>
      </c>
      <c r="E278" s="7" t="s">
        <v>96</v>
      </c>
      <c r="F278" s="7"/>
      <c r="G278" s="7"/>
      <c r="H278" s="7" t="s">
        <v>39</v>
      </c>
      <c r="I278" s="7" t="s">
        <v>27</v>
      </c>
      <c r="J278" s="7"/>
      <c r="K278" s="8"/>
      <c r="L278" s="7"/>
      <c r="M278" s="7"/>
      <c r="N278" s="7"/>
      <c r="O278" s="8"/>
      <c r="P278" s="7"/>
      <c r="Q278" s="7" t="s">
        <v>1228</v>
      </c>
      <c r="R278" s="9"/>
      <c r="S278" s="9"/>
      <c r="T278" s="7"/>
      <c r="U278" s="9"/>
      <c r="V278" s="9"/>
      <c r="W278" s="9"/>
      <c r="X278" s="9"/>
      <c r="Y278" s="9"/>
      <c r="Z278" s="9"/>
      <c r="AA278" s="9"/>
      <c r="AB278" s="9"/>
      <c r="AC278" s="9"/>
      <c r="AD278" s="9"/>
      <c r="AE278" s="9"/>
      <c r="AF278" s="9"/>
      <c r="AG278" s="9"/>
      <c r="AH278" s="9"/>
      <c r="AI278" s="9"/>
      <c r="AJ278" s="9"/>
    </row>
    <row r="279" ht="15.75" hidden="1" customHeight="1">
      <c r="A279" s="11" t="s">
        <v>641</v>
      </c>
      <c r="B279" s="11"/>
      <c r="C279" s="12" t="s">
        <v>1229</v>
      </c>
      <c r="D279" s="13" t="s">
        <v>1230</v>
      </c>
      <c r="E279" s="11" t="s">
        <v>96</v>
      </c>
      <c r="F279" s="11"/>
      <c r="G279" s="11"/>
      <c r="H279" s="11"/>
      <c r="I279" s="11" t="s">
        <v>27</v>
      </c>
      <c r="J279" s="11"/>
      <c r="K279" s="12"/>
      <c r="L279" s="11"/>
      <c r="M279" s="11"/>
      <c r="N279" s="11"/>
      <c r="O279" s="12"/>
      <c r="P279" s="11" t="s">
        <v>1231</v>
      </c>
      <c r="Q279" s="11" t="s">
        <v>1232</v>
      </c>
      <c r="R279" s="13"/>
      <c r="S279" s="13"/>
      <c r="T279" s="11"/>
      <c r="U279" s="13"/>
      <c r="V279" s="13"/>
      <c r="W279" s="13"/>
      <c r="X279" s="13"/>
      <c r="Y279" s="13"/>
      <c r="Z279" s="13"/>
      <c r="AA279" s="13"/>
      <c r="AB279" s="13"/>
      <c r="AC279" s="13"/>
      <c r="AD279" s="13"/>
      <c r="AE279" s="13"/>
      <c r="AF279" s="13"/>
      <c r="AG279" s="13"/>
      <c r="AH279" s="13"/>
      <c r="AI279" s="13"/>
      <c r="AJ279" s="13"/>
    </row>
    <row r="280" ht="15.75" hidden="1" customHeight="1">
      <c r="A280" s="7" t="s">
        <v>641</v>
      </c>
      <c r="B280" s="7"/>
      <c r="C280" s="8" t="s">
        <v>1233</v>
      </c>
      <c r="D280" s="9" t="s">
        <v>1234</v>
      </c>
      <c r="E280" s="7" t="s">
        <v>96</v>
      </c>
      <c r="F280" s="7"/>
      <c r="G280" s="7"/>
      <c r="H280" s="7"/>
      <c r="I280" s="7" t="s">
        <v>27</v>
      </c>
      <c r="J280" s="7"/>
      <c r="K280" s="8"/>
      <c r="L280" s="7"/>
      <c r="M280" s="7"/>
      <c r="N280" s="7"/>
      <c r="O280" s="8"/>
      <c r="P280" s="7"/>
      <c r="Q280" s="7" t="s">
        <v>1235</v>
      </c>
      <c r="R280" s="9"/>
      <c r="S280" s="9"/>
      <c r="T280" s="7"/>
      <c r="U280" s="9"/>
      <c r="V280" s="9"/>
      <c r="W280" s="9"/>
      <c r="X280" s="9"/>
      <c r="Y280" s="9"/>
      <c r="Z280" s="9"/>
      <c r="AA280" s="9"/>
      <c r="AB280" s="9"/>
      <c r="AC280" s="9"/>
      <c r="AD280" s="9"/>
      <c r="AE280" s="9"/>
      <c r="AF280" s="9"/>
      <c r="AG280" s="9"/>
      <c r="AH280" s="9"/>
      <c r="AI280" s="9"/>
      <c r="AJ280" s="9"/>
    </row>
    <row r="281" ht="15.75" hidden="1" customHeight="1">
      <c r="A281" s="11" t="s">
        <v>641</v>
      </c>
      <c r="B281" s="11"/>
      <c r="C281" s="12" t="s">
        <v>1236</v>
      </c>
      <c r="D281" s="13" t="s">
        <v>1237</v>
      </c>
      <c r="E281" s="11" t="s">
        <v>96</v>
      </c>
      <c r="F281" s="11"/>
      <c r="G281" s="11"/>
      <c r="H281" s="11"/>
      <c r="I281" s="11" t="s">
        <v>51</v>
      </c>
      <c r="J281" s="11"/>
      <c r="K281" s="12"/>
      <c r="L281" s="11"/>
      <c r="M281" s="11"/>
      <c r="N281" s="11"/>
      <c r="O281" s="12"/>
      <c r="P281" s="11"/>
      <c r="Q281" s="11" t="s">
        <v>1238</v>
      </c>
      <c r="R281" s="13"/>
      <c r="S281" s="13"/>
      <c r="T281" s="11"/>
      <c r="U281" s="13"/>
      <c r="V281" s="13"/>
      <c r="W281" s="13"/>
      <c r="X281" s="13"/>
      <c r="Y281" s="13"/>
      <c r="Z281" s="13"/>
      <c r="AA281" s="13"/>
      <c r="AB281" s="13"/>
      <c r="AC281" s="13"/>
      <c r="AD281" s="13"/>
      <c r="AE281" s="13"/>
      <c r="AF281" s="13"/>
      <c r="AG281" s="13"/>
      <c r="AH281" s="13"/>
      <c r="AI281" s="13"/>
      <c r="AJ281" s="13"/>
    </row>
    <row r="282" ht="15.75" hidden="1" customHeight="1">
      <c r="A282" s="7" t="s">
        <v>641</v>
      </c>
      <c r="B282" s="7"/>
      <c r="C282" s="8" t="s">
        <v>1239</v>
      </c>
      <c r="D282" s="9" t="s">
        <v>1240</v>
      </c>
      <c r="E282" s="7" t="s">
        <v>96</v>
      </c>
      <c r="F282" s="7"/>
      <c r="G282" s="7"/>
      <c r="H282" s="7" t="s">
        <v>39</v>
      </c>
      <c r="I282" s="7" t="s">
        <v>51</v>
      </c>
      <c r="J282" s="7"/>
      <c r="K282" s="8"/>
      <c r="L282" s="7"/>
      <c r="M282" s="7"/>
      <c r="N282" s="7"/>
      <c r="O282" s="8"/>
      <c r="P282" s="7"/>
      <c r="Q282" s="7" t="s">
        <v>1238</v>
      </c>
      <c r="R282" s="9"/>
      <c r="S282" s="9"/>
      <c r="T282" s="7"/>
      <c r="U282" s="9"/>
      <c r="V282" s="9"/>
      <c r="W282" s="9"/>
      <c r="X282" s="9"/>
      <c r="Y282" s="9"/>
      <c r="Z282" s="9"/>
      <c r="AA282" s="9"/>
      <c r="AB282" s="9"/>
      <c r="AC282" s="9"/>
      <c r="AD282" s="9"/>
      <c r="AE282" s="9"/>
      <c r="AF282" s="9"/>
      <c r="AG282" s="9"/>
      <c r="AH282" s="9"/>
      <c r="AI282" s="9"/>
      <c r="AJ282" s="9"/>
    </row>
    <row r="283" ht="15.75" hidden="1" customHeight="1">
      <c r="A283" s="11" t="s">
        <v>641</v>
      </c>
      <c r="B283" s="11"/>
      <c r="C283" s="12" t="s">
        <v>1241</v>
      </c>
      <c r="D283" s="13" t="s">
        <v>1242</v>
      </c>
      <c r="E283" s="11" t="s">
        <v>96</v>
      </c>
      <c r="F283" s="11"/>
      <c r="G283" s="11"/>
      <c r="H283" s="11" t="s">
        <v>39</v>
      </c>
      <c r="I283" s="11"/>
      <c r="J283" s="11"/>
      <c r="K283" s="12"/>
      <c r="L283" s="11"/>
      <c r="M283" s="11"/>
      <c r="N283" s="11"/>
      <c r="O283" s="12" t="s">
        <v>1243</v>
      </c>
      <c r="P283" s="11"/>
      <c r="Q283" s="11" t="s">
        <v>1244</v>
      </c>
      <c r="R283" s="13"/>
      <c r="S283" s="13"/>
      <c r="T283" s="11"/>
      <c r="U283" s="13"/>
      <c r="V283" s="13"/>
      <c r="W283" s="13"/>
      <c r="X283" s="13"/>
      <c r="Y283" s="13"/>
      <c r="Z283" s="13"/>
      <c r="AA283" s="13"/>
      <c r="AB283" s="13"/>
      <c r="AC283" s="13"/>
      <c r="AD283" s="13"/>
      <c r="AE283" s="13"/>
      <c r="AF283" s="13"/>
      <c r="AG283" s="13"/>
      <c r="AH283" s="13"/>
      <c r="AI283" s="13"/>
      <c r="AJ283" s="13"/>
    </row>
    <row r="284" ht="15.75" hidden="1" customHeight="1">
      <c r="A284" s="7" t="s">
        <v>641</v>
      </c>
      <c r="B284" s="7"/>
      <c r="C284" s="8" t="s">
        <v>1245</v>
      </c>
      <c r="D284" s="9" t="s">
        <v>1246</v>
      </c>
      <c r="E284" s="7" t="s">
        <v>96</v>
      </c>
      <c r="F284" s="7"/>
      <c r="G284" s="7"/>
      <c r="H284" s="7" t="s">
        <v>39</v>
      </c>
      <c r="I284" s="7" t="s">
        <v>27</v>
      </c>
      <c r="J284" s="7"/>
      <c r="K284" s="8"/>
      <c r="L284" s="7"/>
      <c r="M284" s="7"/>
      <c r="N284" s="7"/>
      <c r="O284" s="8"/>
      <c r="P284" s="7"/>
      <c r="Q284" s="7" t="s">
        <v>1247</v>
      </c>
      <c r="R284" s="9"/>
      <c r="S284" s="9"/>
      <c r="T284" s="7"/>
      <c r="U284" s="9"/>
      <c r="V284" s="9"/>
      <c r="W284" s="9"/>
      <c r="X284" s="9"/>
      <c r="Y284" s="9"/>
      <c r="Z284" s="9"/>
      <c r="AA284" s="9"/>
      <c r="AB284" s="9"/>
      <c r="AC284" s="9"/>
      <c r="AD284" s="9"/>
      <c r="AE284" s="9"/>
      <c r="AF284" s="9"/>
      <c r="AG284" s="9"/>
      <c r="AH284" s="9"/>
      <c r="AI284" s="9"/>
      <c r="AJ284" s="9"/>
    </row>
    <row r="285" ht="15.75" hidden="1" customHeight="1">
      <c r="A285" s="11" t="s">
        <v>641</v>
      </c>
      <c r="B285" s="11"/>
      <c r="C285" s="12" t="s">
        <v>1248</v>
      </c>
      <c r="D285" s="13" t="s">
        <v>1249</v>
      </c>
      <c r="E285" s="11" t="s">
        <v>96</v>
      </c>
      <c r="F285" s="11"/>
      <c r="G285" s="11"/>
      <c r="H285" s="11"/>
      <c r="I285" s="11" t="s">
        <v>51</v>
      </c>
      <c r="J285" s="11"/>
      <c r="K285" s="12"/>
      <c r="L285" s="11"/>
      <c r="M285" s="11"/>
      <c r="N285" s="11"/>
      <c r="O285" s="12"/>
      <c r="P285" s="11"/>
      <c r="Q285" s="11" t="s">
        <v>1250</v>
      </c>
      <c r="R285" s="13"/>
      <c r="S285" s="13"/>
      <c r="T285" s="11"/>
      <c r="U285" s="13"/>
      <c r="V285" s="13"/>
      <c r="W285" s="13"/>
      <c r="X285" s="13"/>
      <c r="Y285" s="13"/>
      <c r="Z285" s="13"/>
      <c r="AA285" s="13"/>
      <c r="AB285" s="13"/>
      <c r="AC285" s="13"/>
      <c r="AD285" s="13"/>
      <c r="AE285" s="13"/>
      <c r="AF285" s="13"/>
      <c r="AG285" s="13"/>
      <c r="AH285" s="13"/>
      <c r="AI285" s="13"/>
      <c r="AJ285" s="13"/>
    </row>
    <row r="286" ht="15.75" hidden="1" customHeight="1">
      <c r="A286" s="7" t="s">
        <v>641</v>
      </c>
      <c r="B286" s="7"/>
      <c r="C286" s="8" t="s">
        <v>1251</v>
      </c>
      <c r="D286" s="9" t="s">
        <v>1252</v>
      </c>
      <c r="E286" s="7" t="s">
        <v>96</v>
      </c>
      <c r="F286" s="7"/>
      <c r="G286" s="7"/>
      <c r="H286" s="7" t="s">
        <v>39</v>
      </c>
      <c r="I286" s="7" t="s">
        <v>27</v>
      </c>
      <c r="J286" s="7"/>
      <c r="K286" s="8"/>
      <c r="L286" s="7"/>
      <c r="M286" s="7"/>
      <c r="N286" s="7"/>
      <c r="O286" s="73" t="s">
        <v>1253</v>
      </c>
      <c r="P286" s="7"/>
      <c r="Q286" s="7" t="s">
        <v>1254</v>
      </c>
      <c r="R286" s="9"/>
      <c r="S286" s="9"/>
      <c r="T286" s="7"/>
      <c r="U286" s="9"/>
      <c r="V286" s="9"/>
      <c r="W286" s="9"/>
      <c r="X286" s="9"/>
      <c r="Y286" s="9"/>
      <c r="Z286" s="9"/>
      <c r="AA286" s="9"/>
      <c r="AB286" s="9"/>
      <c r="AC286" s="9"/>
      <c r="AD286" s="9"/>
      <c r="AE286" s="9"/>
      <c r="AF286" s="9"/>
      <c r="AG286" s="9"/>
      <c r="AH286" s="9"/>
      <c r="AI286" s="9"/>
      <c r="AJ286" s="9"/>
    </row>
    <row r="287" ht="15.75" hidden="1" customHeight="1">
      <c r="A287" s="11" t="s">
        <v>641</v>
      </c>
      <c r="B287" s="11"/>
      <c r="C287" s="12" t="s">
        <v>1251</v>
      </c>
      <c r="D287" s="13" t="s">
        <v>1255</v>
      </c>
      <c r="E287" s="11" t="s">
        <v>96</v>
      </c>
      <c r="F287" s="11"/>
      <c r="G287" s="11"/>
      <c r="H287" s="11" t="s">
        <v>39</v>
      </c>
      <c r="I287" s="11" t="s">
        <v>51</v>
      </c>
      <c r="J287" s="11"/>
      <c r="K287" s="12"/>
      <c r="L287" s="11"/>
      <c r="M287" s="11"/>
      <c r="N287" s="11"/>
      <c r="O287" s="78" t="s">
        <v>1253</v>
      </c>
      <c r="P287" s="11"/>
      <c r="Q287" s="11" t="s">
        <v>1256</v>
      </c>
      <c r="R287" s="13"/>
      <c r="S287" s="13"/>
      <c r="T287" s="11"/>
      <c r="U287" s="13"/>
      <c r="V287" s="13"/>
      <c r="W287" s="13"/>
      <c r="X287" s="13"/>
      <c r="Y287" s="13"/>
      <c r="Z287" s="13"/>
      <c r="AA287" s="13"/>
      <c r="AB287" s="13"/>
      <c r="AC287" s="13"/>
      <c r="AD287" s="13"/>
      <c r="AE287" s="13"/>
      <c r="AF287" s="13"/>
      <c r="AG287" s="13"/>
      <c r="AH287" s="13"/>
      <c r="AI287" s="13"/>
      <c r="AJ287" s="13"/>
    </row>
    <row r="288" ht="15.75" hidden="1" customHeight="1">
      <c r="A288" s="7" t="s">
        <v>641</v>
      </c>
      <c r="B288" s="7"/>
      <c r="C288" s="8" t="s">
        <v>1251</v>
      </c>
      <c r="D288" s="9" t="s">
        <v>1257</v>
      </c>
      <c r="E288" s="7" t="s">
        <v>96</v>
      </c>
      <c r="F288" s="7"/>
      <c r="G288" s="7"/>
      <c r="H288" s="7" t="s">
        <v>39</v>
      </c>
      <c r="I288" s="7" t="s">
        <v>27</v>
      </c>
      <c r="J288" s="7"/>
      <c r="K288" s="8"/>
      <c r="L288" s="7"/>
      <c r="M288" s="7"/>
      <c r="N288" s="7"/>
      <c r="O288" s="8"/>
      <c r="P288" s="7"/>
      <c r="Q288" s="7" t="s">
        <v>1258</v>
      </c>
      <c r="R288" s="9"/>
      <c r="S288" s="9"/>
      <c r="T288" s="7"/>
      <c r="U288" s="9"/>
      <c r="V288" s="9"/>
      <c r="W288" s="9"/>
      <c r="X288" s="9"/>
      <c r="Y288" s="9"/>
      <c r="Z288" s="9"/>
      <c r="AA288" s="9"/>
      <c r="AB288" s="9"/>
      <c r="AC288" s="9"/>
      <c r="AD288" s="9"/>
      <c r="AE288" s="9"/>
      <c r="AF288" s="9"/>
      <c r="AG288" s="9"/>
      <c r="AH288" s="9"/>
      <c r="AI288" s="9"/>
      <c r="AJ288" s="9"/>
    </row>
    <row r="289" ht="15.75" hidden="1" customHeight="1">
      <c r="A289" s="11" t="s">
        <v>641</v>
      </c>
      <c r="B289" s="11"/>
      <c r="C289" s="12" t="s">
        <v>1259</v>
      </c>
      <c r="D289" s="13" t="s">
        <v>1260</v>
      </c>
      <c r="E289" s="11" t="s">
        <v>96</v>
      </c>
      <c r="F289" s="11"/>
      <c r="G289" s="11"/>
      <c r="H289" s="11" t="s">
        <v>39</v>
      </c>
      <c r="I289" s="11" t="s">
        <v>27</v>
      </c>
      <c r="J289" s="11"/>
      <c r="K289" s="12"/>
      <c r="L289" s="11"/>
      <c r="M289" s="11"/>
      <c r="N289" s="11"/>
      <c r="O289" s="12"/>
      <c r="P289" s="11"/>
      <c r="Q289" s="11" t="s">
        <v>1261</v>
      </c>
      <c r="R289" s="13"/>
      <c r="S289" s="13"/>
      <c r="T289" s="11"/>
      <c r="U289" s="13"/>
      <c r="V289" s="13"/>
      <c r="W289" s="13"/>
      <c r="X289" s="13"/>
      <c r="Y289" s="13"/>
      <c r="Z289" s="13"/>
      <c r="AA289" s="13"/>
      <c r="AB289" s="13"/>
      <c r="AC289" s="13"/>
      <c r="AD289" s="13"/>
      <c r="AE289" s="13"/>
      <c r="AF289" s="13"/>
      <c r="AG289" s="13"/>
      <c r="AH289" s="13"/>
      <c r="AI289" s="13"/>
      <c r="AJ289" s="13"/>
    </row>
    <row r="290" ht="15.75" hidden="1" customHeight="1">
      <c r="A290" s="7" t="s">
        <v>641</v>
      </c>
      <c r="B290" s="7"/>
      <c r="C290" s="8" t="s">
        <v>1262</v>
      </c>
      <c r="D290" s="9" t="s">
        <v>1263</v>
      </c>
      <c r="E290" s="7" t="s">
        <v>96</v>
      </c>
      <c r="F290" s="7"/>
      <c r="G290" s="7"/>
      <c r="H290" s="7" t="s">
        <v>39</v>
      </c>
      <c r="I290" s="7" t="s">
        <v>27</v>
      </c>
      <c r="J290" s="7"/>
      <c r="K290" s="8"/>
      <c r="L290" s="7"/>
      <c r="M290" s="7"/>
      <c r="N290" s="7"/>
      <c r="O290" s="8"/>
      <c r="P290" s="7"/>
      <c r="Q290" s="7" t="s">
        <v>1228</v>
      </c>
      <c r="R290" s="9"/>
      <c r="S290" s="9"/>
      <c r="T290" s="7"/>
      <c r="U290" s="9"/>
      <c r="V290" s="9"/>
      <c r="W290" s="9"/>
      <c r="X290" s="9"/>
      <c r="Y290" s="9"/>
      <c r="Z290" s="9"/>
      <c r="AA290" s="9"/>
      <c r="AB290" s="9"/>
      <c r="AC290" s="9"/>
      <c r="AD290" s="9"/>
      <c r="AE290" s="9"/>
      <c r="AF290" s="9"/>
      <c r="AG290" s="9"/>
      <c r="AH290" s="9"/>
      <c r="AI290" s="9"/>
      <c r="AJ290" s="9"/>
    </row>
    <row r="291" ht="15.75" hidden="1" customHeight="1">
      <c r="A291" s="11" t="s">
        <v>641</v>
      </c>
      <c r="B291" s="11"/>
      <c r="C291" s="12" t="s">
        <v>1264</v>
      </c>
      <c r="D291" s="13" t="s">
        <v>1265</v>
      </c>
      <c r="E291" s="11" t="s">
        <v>96</v>
      </c>
      <c r="F291" s="11"/>
      <c r="G291" s="11"/>
      <c r="H291" s="11"/>
      <c r="I291" s="11" t="s">
        <v>51</v>
      </c>
      <c r="J291" s="11"/>
      <c r="K291" s="12"/>
      <c r="L291" s="11"/>
      <c r="M291" s="11"/>
      <c r="N291" s="11"/>
      <c r="O291" s="12"/>
      <c r="P291" s="11"/>
      <c r="Q291" s="11" t="s">
        <v>1238</v>
      </c>
      <c r="R291" s="13"/>
      <c r="S291" s="13"/>
      <c r="T291" s="11"/>
      <c r="U291" s="13"/>
      <c r="V291" s="13"/>
      <c r="W291" s="13"/>
      <c r="X291" s="13"/>
      <c r="Y291" s="13"/>
      <c r="Z291" s="13"/>
      <c r="AA291" s="13"/>
      <c r="AB291" s="13"/>
      <c r="AC291" s="13"/>
      <c r="AD291" s="13"/>
      <c r="AE291" s="13"/>
      <c r="AF291" s="13"/>
      <c r="AG291" s="13"/>
      <c r="AH291" s="13"/>
      <c r="AI291" s="13"/>
      <c r="AJ291" s="13"/>
    </row>
    <row r="292" ht="15.75" hidden="1" customHeight="1">
      <c r="A292" s="7" t="s">
        <v>641</v>
      </c>
      <c r="B292" s="7"/>
      <c r="C292" s="8" t="s">
        <v>1266</v>
      </c>
      <c r="D292" s="9" t="s">
        <v>1267</v>
      </c>
      <c r="E292" s="7" t="s">
        <v>96</v>
      </c>
      <c r="F292" s="7"/>
      <c r="G292" s="7"/>
      <c r="H292" s="7" t="s">
        <v>39</v>
      </c>
      <c r="I292" s="7" t="s">
        <v>151</v>
      </c>
      <c r="J292" s="7"/>
      <c r="K292" s="8"/>
      <c r="L292" s="7"/>
      <c r="M292" s="7"/>
      <c r="N292" s="7"/>
      <c r="O292" s="8"/>
      <c r="P292" s="7"/>
      <c r="Q292" s="7" t="s">
        <v>310</v>
      </c>
      <c r="R292" s="9"/>
      <c r="S292" s="9"/>
      <c r="T292" s="7"/>
      <c r="U292" s="9"/>
      <c r="V292" s="9"/>
      <c r="W292" s="9"/>
      <c r="X292" s="9"/>
      <c r="Y292" s="9"/>
      <c r="Z292" s="9"/>
      <c r="AA292" s="9"/>
      <c r="AB292" s="9"/>
      <c r="AC292" s="9"/>
      <c r="AD292" s="9"/>
      <c r="AE292" s="9"/>
      <c r="AF292" s="9"/>
      <c r="AG292" s="9"/>
      <c r="AH292" s="9"/>
      <c r="AI292" s="9"/>
      <c r="AJ292" s="9"/>
    </row>
    <row r="293" ht="15.75" hidden="1" customHeight="1">
      <c r="A293" s="11" t="s">
        <v>641</v>
      </c>
      <c r="B293" s="11"/>
      <c r="C293" s="12" t="s">
        <v>1268</v>
      </c>
      <c r="D293" s="13" t="s">
        <v>1269</v>
      </c>
      <c r="E293" s="11" t="s">
        <v>96</v>
      </c>
      <c r="F293" s="11"/>
      <c r="G293" s="11"/>
      <c r="H293" s="11" t="s">
        <v>39</v>
      </c>
      <c r="I293" s="11" t="s">
        <v>51</v>
      </c>
      <c r="J293" s="11"/>
      <c r="K293" s="12"/>
      <c r="L293" s="11"/>
      <c r="M293" s="11"/>
      <c r="N293" s="11"/>
      <c r="O293" s="12"/>
      <c r="P293" s="11"/>
      <c r="Q293" s="25" t="s">
        <v>1270</v>
      </c>
      <c r="R293" s="13"/>
      <c r="S293" s="13"/>
      <c r="T293" s="11"/>
      <c r="U293" s="13"/>
      <c r="V293" s="13"/>
      <c r="W293" s="13"/>
      <c r="X293" s="13"/>
      <c r="Y293" s="13"/>
      <c r="Z293" s="13"/>
      <c r="AA293" s="13"/>
      <c r="AB293" s="13"/>
      <c r="AC293" s="13"/>
      <c r="AD293" s="13"/>
      <c r="AE293" s="13"/>
      <c r="AF293" s="13"/>
      <c r="AG293" s="13"/>
      <c r="AH293" s="13"/>
      <c r="AI293" s="13"/>
      <c r="AJ293" s="13"/>
    </row>
    <row r="294" ht="15.75" hidden="1" customHeight="1">
      <c r="A294" s="7" t="s">
        <v>641</v>
      </c>
      <c r="B294" s="7"/>
      <c r="C294" s="8" t="s">
        <v>1271</v>
      </c>
      <c r="D294" s="9" t="s">
        <v>1272</v>
      </c>
      <c r="E294" s="7" t="s">
        <v>96</v>
      </c>
      <c r="F294" s="7"/>
      <c r="G294" s="7" t="s">
        <v>1189</v>
      </c>
      <c r="H294" s="7" t="s">
        <v>39</v>
      </c>
      <c r="I294" s="7" t="s">
        <v>27</v>
      </c>
      <c r="J294" s="7" t="s">
        <v>1215</v>
      </c>
      <c r="K294" s="8" t="s">
        <v>1273</v>
      </c>
      <c r="L294" s="7"/>
      <c r="M294" s="7"/>
      <c r="N294" s="7"/>
      <c r="O294" s="8"/>
      <c r="P294" s="7"/>
      <c r="Q294" s="7" t="s">
        <v>1256</v>
      </c>
      <c r="R294" s="9"/>
      <c r="S294" s="9" t="s">
        <v>1193</v>
      </c>
      <c r="T294" s="7"/>
      <c r="U294" s="9"/>
      <c r="V294" s="9"/>
      <c r="W294" s="9"/>
      <c r="X294" s="9"/>
      <c r="Y294" s="9"/>
      <c r="Z294" s="9"/>
      <c r="AA294" s="9"/>
      <c r="AB294" s="9"/>
      <c r="AC294" s="9"/>
      <c r="AD294" s="9"/>
      <c r="AE294" s="9"/>
      <c r="AF294" s="9"/>
      <c r="AG294" s="9"/>
      <c r="AH294" s="9"/>
      <c r="AI294" s="9" t="s">
        <v>1274</v>
      </c>
      <c r="AJ294" s="9"/>
    </row>
    <row r="295" ht="15.75" hidden="1" customHeight="1">
      <c r="A295" s="11" t="s">
        <v>641</v>
      </c>
      <c r="B295" s="11"/>
      <c r="C295" s="12" t="s">
        <v>1275</v>
      </c>
      <c r="D295" s="13" t="s">
        <v>1276</v>
      </c>
      <c r="E295" s="11" t="s">
        <v>96</v>
      </c>
      <c r="F295" s="30" t="s">
        <v>1277</v>
      </c>
      <c r="G295" s="18" t="s">
        <v>1278</v>
      </c>
      <c r="H295" s="11"/>
      <c r="I295" s="11" t="s">
        <v>27</v>
      </c>
      <c r="J295" s="11"/>
      <c r="K295" s="12"/>
      <c r="L295" s="11"/>
      <c r="M295" s="11"/>
      <c r="N295" s="11"/>
      <c r="O295" s="12" t="s">
        <v>1279</v>
      </c>
      <c r="P295" s="11"/>
      <c r="Q295" s="11" t="s">
        <v>1247</v>
      </c>
      <c r="R295" s="13"/>
      <c r="S295" s="13"/>
      <c r="T295" s="11"/>
      <c r="U295" s="13"/>
      <c r="V295" s="13"/>
      <c r="W295" s="13"/>
      <c r="X295" s="13"/>
      <c r="Y295" s="13"/>
      <c r="Z295" s="13"/>
      <c r="AA295" s="13"/>
      <c r="AB295" s="13"/>
      <c r="AC295" s="13"/>
      <c r="AD295" s="13"/>
      <c r="AE295" s="13"/>
      <c r="AF295" s="13"/>
      <c r="AG295" s="13"/>
      <c r="AH295" s="13"/>
      <c r="AI295" s="13"/>
      <c r="AJ295" s="13"/>
    </row>
    <row r="296" ht="15.75" hidden="1" customHeight="1">
      <c r="A296" s="7" t="s">
        <v>641</v>
      </c>
      <c r="B296" s="7"/>
      <c r="C296" s="8" t="s">
        <v>1280</v>
      </c>
      <c r="D296" s="9" t="s">
        <v>1281</v>
      </c>
      <c r="E296" s="7" t="s">
        <v>96</v>
      </c>
      <c r="F296" s="7"/>
      <c r="G296" s="7"/>
      <c r="H296" s="7" t="s">
        <v>39</v>
      </c>
      <c r="I296" s="7" t="s">
        <v>51</v>
      </c>
      <c r="J296" s="7"/>
      <c r="K296" s="8"/>
      <c r="L296" s="7"/>
      <c r="M296" s="7"/>
      <c r="N296" s="7"/>
      <c r="O296" s="8"/>
      <c r="P296" s="7"/>
      <c r="Q296" s="7" t="s">
        <v>1282</v>
      </c>
      <c r="R296" s="9"/>
      <c r="S296" s="9"/>
      <c r="T296" s="7"/>
      <c r="U296" s="9"/>
      <c r="V296" s="9"/>
      <c r="W296" s="9"/>
      <c r="X296" s="9"/>
      <c r="Y296" s="9"/>
      <c r="Z296" s="9"/>
      <c r="AA296" s="9"/>
      <c r="AB296" s="9"/>
      <c r="AC296" s="9"/>
      <c r="AD296" s="9"/>
      <c r="AE296" s="9"/>
      <c r="AF296" s="9"/>
      <c r="AG296" s="9"/>
      <c r="AH296" s="9"/>
      <c r="AI296" s="9"/>
      <c r="AJ296" s="9"/>
    </row>
    <row r="297" ht="15.75" hidden="1" customHeight="1">
      <c r="A297" s="11" t="s">
        <v>641</v>
      </c>
      <c r="B297" s="11"/>
      <c r="C297" s="12" t="s">
        <v>1283</v>
      </c>
      <c r="D297" s="13" t="s">
        <v>1284</v>
      </c>
      <c r="E297" s="11" t="s">
        <v>96</v>
      </c>
      <c r="F297" s="11"/>
      <c r="G297" s="11"/>
      <c r="H297" s="11" t="s">
        <v>39</v>
      </c>
      <c r="I297" s="11" t="s">
        <v>27</v>
      </c>
      <c r="J297" s="11"/>
      <c r="K297" s="12"/>
      <c r="L297" s="11"/>
      <c r="M297" s="11"/>
      <c r="N297" s="11"/>
      <c r="O297" s="12"/>
      <c r="P297" s="11"/>
      <c r="Q297" s="25" t="s">
        <v>1270</v>
      </c>
      <c r="R297" s="13"/>
      <c r="S297" s="13"/>
      <c r="T297" s="11"/>
      <c r="U297" s="13"/>
      <c r="V297" s="13"/>
      <c r="W297" s="13"/>
      <c r="X297" s="13"/>
      <c r="Y297" s="13"/>
      <c r="Z297" s="13"/>
      <c r="AA297" s="13"/>
      <c r="AB297" s="13"/>
      <c r="AC297" s="13"/>
      <c r="AD297" s="13"/>
      <c r="AE297" s="13"/>
      <c r="AF297" s="13"/>
      <c r="AG297" s="13"/>
      <c r="AH297" s="13"/>
      <c r="AI297" s="13"/>
      <c r="AJ297" s="13"/>
    </row>
    <row r="298" ht="15.75" hidden="1" customHeight="1">
      <c r="A298" s="7" t="s">
        <v>641</v>
      </c>
      <c r="B298" s="7"/>
      <c r="C298" s="8" t="s">
        <v>1285</v>
      </c>
      <c r="D298" s="9" t="s">
        <v>1286</v>
      </c>
      <c r="E298" s="7" t="s">
        <v>49</v>
      </c>
      <c r="F298" s="7"/>
      <c r="G298" s="7" t="s">
        <v>1189</v>
      </c>
      <c r="H298" s="7"/>
      <c r="I298" s="7" t="s">
        <v>27</v>
      </c>
      <c r="J298" s="7" t="s">
        <v>1215</v>
      </c>
      <c r="K298" s="8"/>
      <c r="L298" s="7" t="s">
        <v>1287</v>
      </c>
      <c r="M298" s="7"/>
      <c r="N298" s="7"/>
      <c r="O298" s="8"/>
      <c r="P298" s="7"/>
      <c r="Q298" s="7" t="s">
        <v>1288</v>
      </c>
      <c r="R298" s="9"/>
      <c r="S298" s="9" t="s">
        <v>1289</v>
      </c>
      <c r="T298" s="7"/>
      <c r="U298" s="9"/>
      <c r="V298" s="9"/>
      <c r="W298" s="9"/>
      <c r="X298" s="9"/>
      <c r="Y298" s="9"/>
      <c r="Z298" s="9"/>
      <c r="AA298" s="9"/>
      <c r="AB298" s="9"/>
      <c r="AC298" s="9"/>
      <c r="AD298" s="9"/>
      <c r="AE298" s="9"/>
      <c r="AF298" s="9"/>
      <c r="AG298" s="9"/>
      <c r="AH298" s="9"/>
      <c r="AI298" s="9"/>
      <c r="AJ298" s="9"/>
    </row>
    <row r="299" ht="15.75" hidden="1" customHeight="1">
      <c r="A299" s="11" t="s">
        <v>641</v>
      </c>
      <c r="B299" s="11"/>
      <c r="C299" s="12" t="s">
        <v>1290</v>
      </c>
      <c r="D299" s="13" t="s">
        <v>1291</v>
      </c>
      <c r="E299" s="11" t="s">
        <v>49</v>
      </c>
      <c r="F299" s="30" t="s">
        <v>1292</v>
      </c>
      <c r="G299" s="11" t="s">
        <v>1189</v>
      </c>
      <c r="H299" s="13"/>
      <c r="I299" s="11" t="s">
        <v>151</v>
      </c>
      <c r="J299" s="11" t="s">
        <v>1215</v>
      </c>
      <c r="K299" s="12" t="s">
        <v>1293</v>
      </c>
      <c r="L299" s="11"/>
      <c r="M299" s="11"/>
      <c r="N299" s="11"/>
      <c r="O299" s="12" t="s">
        <v>1294</v>
      </c>
      <c r="P299" s="11" t="s">
        <v>323</v>
      </c>
      <c r="Q299" s="11" t="s">
        <v>1295</v>
      </c>
      <c r="R299" s="13"/>
      <c r="S299" s="13"/>
      <c r="T299" s="13"/>
      <c r="U299" s="13"/>
      <c r="V299" s="13"/>
      <c r="W299" s="13"/>
      <c r="X299" s="13"/>
      <c r="Y299" s="13"/>
      <c r="Z299" s="13"/>
      <c r="AA299" s="13"/>
      <c r="AB299" s="13"/>
      <c r="AC299" s="13"/>
      <c r="AD299" s="13"/>
      <c r="AE299" s="13"/>
      <c r="AF299" s="13"/>
      <c r="AG299" s="13"/>
      <c r="AH299" s="13"/>
      <c r="AI299" s="13"/>
      <c r="AJ299" s="13"/>
    </row>
    <row r="300" ht="15.75" hidden="1" customHeight="1">
      <c r="A300" s="7" t="s">
        <v>641</v>
      </c>
      <c r="B300" s="7"/>
      <c r="C300" s="8" t="s">
        <v>1296</v>
      </c>
      <c r="D300" s="9" t="s">
        <v>1297</v>
      </c>
      <c r="E300" s="7" t="s">
        <v>49</v>
      </c>
      <c r="F300" s="7"/>
      <c r="G300" s="7" t="s">
        <v>1298</v>
      </c>
      <c r="H300" s="9"/>
      <c r="I300" s="7" t="s">
        <v>51</v>
      </c>
      <c r="J300" s="7" t="s">
        <v>1299</v>
      </c>
      <c r="K300" s="8"/>
      <c r="L300" s="7"/>
      <c r="M300" s="7"/>
      <c r="N300" s="7"/>
      <c r="O300" s="8"/>
      <c r="P300" s="7" t="s">
        <v>1300</v>
      </c>
      <c r="Q300" s="7" t="s">
        <v>1301</v>
      </c>
      <c r="R300" s="9"/>
      <c r="S300" s="9"/>
      <c r="T300" s="9"/>
      <c r="U300" s="9"/>
      <c r="V300" s="9"/>
      <c r="W300" s="9"/>
      <c r="X300" s="9"/>
      <c r="Y300" s="9"/>
      <c r="Z300" s="9"/>
      <c r="AA300" s="9"/>
      <c r="AB300" s="9"/>
      <c r="AC300" s="9"/>
      <c r="AD300" s="9"/>
      <c r="AE300" s="9"/>
      <c r="AF300" s="9"/>
      <c r="AG300" s="9"/>
      <c r="AH300" s="9"/>
      <c r="AI300" s="9"/>
      <c r="AJ300" s="9"/>
    </row>
    <row r="301" ht="15.75" hidden="1" customHeight="1">
      <c r="A301" s="11" t="s">
        <v>641</v>
      </c>
      <c r="B301" s="11"/>
      <c r="C301" s="12" t="s">
        <v>1292</v>
      </c>
      <c r="D301" s="13" t="s">
        <v>1302</v>
      </c>
      <c r="E301" s="11" t="s">
        <v>49</v>
      </c>
      <c r="F301" s="11"/>
      <c r="G301" s="11" t="s">
        <v>1303</v>
      </c>
      <c r="H301" s="13"/>
      <c r="I301" s="11" t="s">
        <v>151</v>
      </c>
      <c r="J301" s="11" t="s">
        <v>641</v>
      </c>
      <c r="K301" s="12"/>
      <c r="L301" s="11"/>
      <c r="M301" s="11"/>
      <c r="N301" s="11"/>
      <c r="O301" s="12"/>
      <c r="P301" s="11" t="s">
        <v>161</v>
      </c>
      <c r="Q301" s="11" t="s">
        <v>161</v>
      </c>
      <c r="R301" s="13"/>
      <c r="S301" s="13"/>
      <c r="T301" s="13"/>
      <c r="U301" s="13"/>
      <c r="V301" s="13"/>
      <c r="W301" s="13"/>
      <c r="X301" s="13"/>
      <c r="Y301" s="13"/>
      <c r="Z301" s="13"/>
      <c r="AA301" s="13"/>
      <c r="AB301" s="13"/>
      <c r="AC301" s="13"/>
      <c r="AD301" s="13"/>
      <c r="AE301" s="13"/>
      <c r="AF301" s="13"/>
      <c r="AG301" s="13"/>
      <c r="AH301" s="13"/>
      <c r="AI301" s="13"/>
      <c r="AJ301" s="13"/>
    </row>
    <row r="302" ht="15.75" hidden="1" customHeight="1">
      <c r="A302" s="7" t="s">
        <v>641</v>
      </c>
      <c r="B302" s="7" t="s">
        <v>1197</v>
      </c>
      <c r="C302" s="8" t="s">
        <v>1304</v>
      </c>
      <c r="D302" s="9" t="s">
        <v>1305</v>
      </c>
      <c r="E302" s="7" t="s">
        <v>49</v>
      </c>
      <c r="F302" s="7"/>
      <c r="G302" s="7" t="s">
        <v>1306</v>
      </c>
      <c r="H302" s="9"/>
      <c r="I302" s="7" t="s">
        <v>151</v>
      </c>
      <c r="J302" s="7" t="s">
        <v>1208</v>
      </c>
      <c r="K302" s="8"/>
      <c r="L302" s="7"/>
      <c r="M302" s="7"/>
      <c r="N302" s="7"/>
      <c r="O302" s="8"/>
      <c r="P302" s="7" t="s">
        <v>161</v>
      </c>
      <c r="Q302" s="7" t="s">
        <v>161</v>
      </c>
      <c r="R302" s="9"/>
      <c r="S302" s="9"/>
      <c r="T302" s="9"/>
      <c r="U302" s="9"/>
      <c r="V302" s="9"/>
      <c r="W302" s="9"/>
      <c r="X302" s="9"/>
      <c r="Y302" s="9"/>
      <c r="Z302" s="9"/>
      <c r="AA302" s="9"/>
      <c r="AB302" s="9"/>
      <c r="AC302" s="9"/>
      <c r="AD302" s="9"/>
      <c r="AE302" s="9"/>
      <c r="AF302" s="9"/>
      <c r="AG302" s="9"/>
      <c r="AH302" s="9"/>
      <c r="AI302" s="9"/>
      <c r="AJ302" s="9"/>
    </row>
    <row r="303" ht="15.75" hidden="1" customHeight="1">
      <c r="A303" s="11" t="s">
        <v>641</v>
      </c>
      <c r="B303" s="11"/>
      <c r="C303" s="12" t="s">
        <v>1307</v>
      </c>
      <c r="D303" s="13" t="s">
        <v>1308</v>
      </c>
      <c r="E303" s="11" t="s">
        <v>49</v>
      </c>
      <c r="F303" s="11"/>
      <c r="G303" s="11" t="s">
        <v>1309</v>
      </c>
      <c r="H303" s="13"/>
      <c r="I303" s="11" t="s">
        <v>151</v>
      </c>
      <c r="J303" s="11" t="s">
        <v>641</v>
      </c>
      <c r="K303" s="12"/>
      <c r="L303" s="11"/>
      <c r="M303" s="11"/>
      <c r="N303" s="11"/>
      <c r="O303" s="12"/>
      <c r="P303" s="11" t="s">
        <v>161</v>
      </c>
      <c r="Q303" s="11" t="s">
        <v>161</v>
      </c>
      <c r="R303" s="13"/>
      <c r="S303" s="13" t="s">
        <v>1310</v>
      </c>
      <c r="T303" s="13"/>
      <c r="U303" s="13"/>
      <c r="V303" s="13"/>
      <c r="W303" s="13"/>
      <c r="X303" s="13"/>
      <c r="Y303" s="13"/>
      <c r="Z303" s="13"/>
      <c r="AA303" s="13"/>
      <c r="AB303" s="13"/>
      <c r="AC303" s="13"/>
      <c r="AD303" s="13"/>
      <c r="AE303" s="13"/>
      <c r="AF303" s="13"/>
      <c r="AG303" s="13"/>
      <c r="AH303" s="13"/>
      <c r="AI303" s="13"/>
      <c r="AJ303" s="13"/>
    </row>
    <row r="304" ht="15.75" hidden="1" customHeight="1">
      <c r="A304" s="7" t="s">
        <v>641</v>
      </c>
      <c r="B304" s="7"/>
      <c r="C304" s="8" t="s">
        <v>1311</v>
      </c>
      <c r="D304" s="9" t="s">
        <v>1312</v>
      </c>
      <c r="E304" s="7" t="s">
        <v>49</v>
      </c>
      <c r="F304" s="7"/>
      <c r="G304" s="7" t="s">
        <v>1313</v>
      </c>
      <c r="H304" s="9"/>
      <c r="I304" s="7" t="s">
        <v>151</v>
      </c>
      <c r="J304" s="7" t="s">
        <v>1314</v>
      </c>
      <c r="K304" s="8"/>
      <c r="L304" s="7"/>
      <c r="M304" s="7"/>
      <c r="N304" s="7"/>
      <c r="O304" s="8"/>
      <c r="P304" s="7" t="s">
        <v>161</v>
      </c>
      <c r="Q304" s="7" t="s">
        <v>161</v>
      </c>
      <c r="R304" s="9"/>
      <c r="S304" s="9"/>
      <c r="T304" s="9"/>
      <c r="U304" s="9"/>
      <c r="V304" s="9"/>
      <c r="W304" s="9"/>
      <c r="X304" s="9"/>
      <c r="Y304" s="9"/>
      <c r="Z304" s="9"/>
      <c r="AA304" s="9"/>
      <c r="AB304" s="9"/>
      <c r="AC304" s="9"/>
      <c r="AD304" s="9"/>
      <c r="AE304" s="9"/>
      <c r="AF304" s="9"/>
      <c r="AG304" s="9"/>
      <c r="AH304" s="9"/>
      <c r="AI304" s="9"/>
      <c r="AJ304" s="9"/>
    </row>
    <row r="305" ht="15.75" hidden="1" customHeight="1">
      <c r="A305" s="11" t="s">
        <v>641</v>
      </c>
      <c r="B305" s="11"/>
      <c r="C305" s="12" t="s">
        <v>1315</v>
      </c>
      <c r="D305" s="13" t="s">
        <v>1316</v>
      </c>
      <c r="E305" s="11" t="s">
        <v>49</v>
      </c>
      <c r="F305" s="11"/>
      <c r="G305" s="11" t="s">
        <v>1317</v>
      </c>
      <c r="H305" s="13"/>
      <c r="I305" s="11" t="s">
        <v>151</v>
      </c>
      <c r="J305" s="11" t="s">
        <v>1175</v>
      </c>
      <c r="K305" s="12"/>
      <c r="L305" s="11"/>
      <c r="M305" s="11"/>
      <c r="N305" s="11"/>
      <c r="O305" s="59" t="s">
        <v>1318</v>
      </c>
      <c r="P305" s="11"/>
      <c r="Q305" s="11" t="s">
        <v>161</v>
      </c>
      <c r="R305" s="13" t="s">
        <v>167</v>
      </c>
      <c r="S305" s="13"/>
      <c r="T305" s="13"/>
      <c r="U305" s="13"/>
      <c r="V305" s="13"/>
      <c r="W305" s="13"/>
      <c r="X305" s="13"/>
      <c r="Y305" s="13"/>
      <c r="Z305" s="13"/>
      <c r="AA305" s="13"/>
      <c r="AB305" s="13"/>
      <c r="AC305" s="13"/>
      <c r="AD305" s="13"/>
      <c r="AE305" s="13"/>
      <c r="AF305" s="13"/>
      <c r="AG305" s="13"/>
      <c r="AH305" s="13"/>
      <c r="AI305" s="13"/>
      <c r="AJ305" s="13"/>
    </row>
    <row r="306" ht="15.75" hidden="1" customHeight="1">
      <c r="A306" s="7" t="s">
        <v>641</v>
      </c>
      <c r="B306" s="7" t="s">
        <v>1319</v>
      </c>
      <c r="C306" s="8" t="s">
        <v>1320</v>
      </c>
      <c r="D306" s="9" t="s">
        <v>1321</v>
      </c>
      <c r="E306" s="7" t="s">
        <v>49</v>
      </c>
      <c r="F306" s="7"/>
      <c r="G306" s="7" t="s">
        <v>1298</v>
      </c>
      <c r="H306" s="9"/>
      <c r="I306" s="7" t="s">
        <v>151</v>
      </c>
      <c r="J306" s="7" t="s">
        <v>1322</v>
      </c>
      <c r="K306" s="8"/>
      <c r="L306" s="7"/>
      <c r="M306" s="7"/>
      <c r="N306" s="7"/>
      <c r="O306" s="8"/>
      <c r="P306" s="7" t="s">
        <v>161</v>
      </c>
      <c r="Q306" s="7" t="s">
        <v>161</v>
      </c>
      <c r="R306" s="9" t="s">
        <v>167</v>
      </c>
      <c r="S306" s="9"/>
      <c r="T306" s="9"/>
      <c r="U306" s="9"/>
      <c r="V306" s="9"/>
      <c r="W306" s="9"/>
      <c r="X306" s="9"/>
      <c r="Y306" s="9"/>
      <c r="Z306" s="9"/>
      <c r="AA306" s="9"/>
      <c r="AB306" s="9"/>
      <c r="AC306" s="9"/>
      <c r="AD306" s="9"/>
      <c r="AE306" s="9"/>
      <c r="AF306" s="9"/>
      <c r="AG306" s="9"/>
      <c r="AH306" s="9"/>
      <c r="AI306" s="9"/>
      <c r="AJ306" s="17"/>
    </row>
    <row r="307" ht="47.25" hidden="1" customHeight="1">
      <c r="A307" s="11" t="s">
        <v>641</v>
      </c>
      <c r="B307" s="11"/>
      <c r="C307" s="12" t="s">
        <v>1323</v>
      </c>
      <c r="D307" s="13" t="s">
        <v>1324</v>
      </c>
      <c r="E307" s="11" t="s">
        <v>49</v>
      </c>
      <c r="F307" s="11"/>
      <c r="G307" s="11" t="s">
        <v>1325</v>
      </c>
      <c r="H307" s="13"/>
      <c r="I307" s="11" t="s">
        <v>151</v>
      </c>
      <c r="J307" s="11" t="s">
        <v>1326</v>
      </c>
      <c r="K307" s="12"/>
      <c r="L307" s="11"/>
      <c r="M307" s="11"/>
      <c r="N307" s="11"/>
      <c r="O307" s="12"/>
      <c r="P307" s="11" t="s">
        <v>161</v>
      </c>
      <c r="Q307" s="11" t="s">
        <v>161</v>
      </c>
      <c r="R307" s="13" t="s">
        <v>167</v>
      </c>
      <c r="S307" s="13"/>
      <c r="T307" s="13"/>
      <c r="U307" s="13"/>
      <c r="V307" s="13"/>
      <c r="W307" s="13"/>
      <c r="X307" s="13"/>
      <c r="Y307" s="13"/>
      <c r="Z307" s="13"/>
      <c r="AA307" s="13"/>
      <c r="AB307" s="13"/>
      <c r="AC307" s="13"/>
      <c r="AD307" s="13"/>
      <c r="AE307" s="13"/>
      <c r="AF307" s="13"/>
      <c r="AG307" s="13"/>
      <c r="AH307" s="13"/>
      <c r="AI307" s="13"/>
      <c r="AJ307" s="13"/>
    </row>
    <row r="308" ht="40.5" hidden="1" customHeight="1">
      <c r="A308" s="7" t="s">
        <v>641</v>
      </c>
      <c r="B308" s="7"/>
      <c r="C308" s="8" t="s">
        <v>1327</v>
      </c>
      <c r="D308" s="9" t="s">
        <v>1328</v>
      </c>
      <c r="E308" s="7" t="s">
        <v>49</v>
      </c>
      <c r="F308" s="7"/>
      <c r="G308" s="7" t="s">
        <v>1207</v>
      </c>
      <c r="H308" s="9"/>
      <c r="I308" s="7" t="s">
        <v>151</v>
      </c>
      <c r="J308" s="7" t="s">
        <v>1208</v>
      </c>
      <c r="K308" s="8"/>
      <c r="L308" s="7"/>
      <c r="M308" s="7"/>
      <c r="N308" s="7"/>
      <c r="O308" s="8"/>
      <c r="P308" s="7" t="s">
        <v>161</v>
      </c>
      <c r="Q308" s="7" t="s">
        <v>161</v>
      </c>
      <c r="R308" s="9" t="s">
        <v>167</v>
      </c>
      <c r="S308" s="9"/>
      <c r="T308" s="9"/>
      <c r="U308" s="9"/>
      <c r="V308" s="9"/>
      <c r="W308" s="9"/>
      <c r="X308" s="9"/>
      <c r="Y308" s="9"/>
      <c r="Z308" s="9"/>
      <c r="AA308" s="9"/>
      <c r="AB308" s="9"/>
      <c r="AC308" s="9"/>
      <c r="AD308" s="9"/>
      <c r="AE308" s="9"/>
      <c r="AF308" s="9"/>
      <c r="AG308" s="9"/>
      <c r="AH308" s="9"/>
      <c r="AI308" s="9"/>
      <c r="AJ308" s="9"/>
    </row>
    <row r="309" ht="15.75" hidden="1" customHeight="1">
      <c r="A309" s="11" t="s">
        <v>641</v>
      </c>
      <c r="B309" s="11" t="s">
        <v>1329</v>
      </c>
      <c r="C309" s="12" t="s">
        <v>1330</v>
      </c>
      <c r="D309" s="13" t="s">
        <v>1331</v>
      </c>
      <c r="E309" s="11" t="s">
        <v>49</v>
      </c>
      <c r="F309" s="11"/>
      <c r="G309" s="11" t="s">
        <v>1298</v>
      </c>
      <c r="H309" s="13"/>
      <c r="I309" s="11" t="s">
        <v>51</v>
      </c>
      <c r="J309" s="11" t="s">
        <v>1332</v>
      </c>
      <c r="K309" s="12"/>
      <c r="L309" s="11"/>
      <c r="M309" s="11"/>
      <c r="N309" s="11"/>
      <c r="O309" s="12"/>
      <c r="P309" s="11" t="s">
        <v>1300</v>
      </c>
      <c r="Q309" s="11" t="s">
        <v>1300</v>
      </c>
      <c r="R309" s="13"/>
      <c r="S309" s="13"/>
      <c r="T309" s="13"/>
      <c r="U309" s="13"/>
      <c r="V309" s="13"/>
      <c r="W309" s="13"/>
      <c r="X309" s="13"/>
      <c r="Y309" s="13"/>
      <c r="Z309" s="13"/>
      <c r="AA309" s="13"/>
      <c r="AB309" s="13"/>
      <c r="AC309" s="13"/>
      <c r="AD309" s="13"/>
      <c r="AE309" s="13"/>
      <c r="AF309" s="13"/>
      <c r="AG309" s="13"/>
      <c r="AH309" s="13"/>
      <c r="AI309" s="13"/>
      <c r="AJ309" s="13"/>
    </row>
    <row r="310" ht="15.75" hidden="1" customHeight="1">
      <c r="A310" s="7" t="s">
        <v>641</v>
      </c>
      <c r="B310" s="7" t="s">
        <v>1333</v>
      </c>
      <c r="C310" s="8" t="s">
        <v>1334</v>
      </c>
      <c r="D310" s="9" t="s">
        <v>1335</v>
      </c>
      <c r="E310" s="7" t="s">
        <v>49</v>
      </c>
      <c r="F310" s="7"/>
      <c r="G310" s="7" t="s">
        <v>1309</v>
      </c>
      <c r="H310" s="9"/>
      <c r="I310" s="7" t="s">
        <v>151</v>
      </c>
      <c r="J310" s="7"/>
      <c r="K310" s="8"/>
      <c r="L310" s="7"/>
      <c r="M310" s="7"/>
      <c r="N310" s="7"/>
      <c r="O310" s="8"/>
      <c r="P310" s="7"/>
      <c r="Q310" s="7" t="s">
        <v>161</v>
      </c>
      <c r="R310" s="9"/>
      <c r="S310" s="9" t="s">
        <v>1336</v>
      </c>
      <c r="T310" s="9"/>
      <c r="U310" s="9"/>
      <c r="V310" s="9"/>
      <c r="W310" s="9"/>
      <c r="X310" s="9"/>
      <c r="Y310" s="9"/>
      <c r="Z310" s="9"/>
      <c r="AA310" s="9"/>
      <c r="AB310" s="9"/>
      <c r="AC310" s="9"/>
      <c r="AD310" s="9"/>
      <c r="AE310" s="9"/>
      <c r="AF310" s="9"/>
      <c r="AG310" s="9"/>
      <c r="AH310" s="9"/>
      <c r="AI310" s="9"/>
      <c r="AJ310" s="9"/>
    </row>
    <row r="311" ht="15.75" hidden="1" customHeight="1">
      <c r="A311" s="11" t="s">
        <v>641</v>
      </c>
      <c r="B311" s="11"/>
      <c r="C311" s="12" t="s">
        <v>1337</v>
      </c>
      <c r="D311" s="13" t="s">
        <v>1338</v>
      </c>
      <c r="E311" s="11" t="s">
        <v>49</v>
      </c>
      <c r="F311" s="11"/>
      <c r="G311" s="11" t="s">
        <v>750</v>
      </c>
      <c r="H311" s="13"/>
      <c r="I311" s="11" t="s">
        <v>151</v>
      </c>
      <c r="J311" s="11"/>
      <c r="K311" s="12"/>
      <c r="L311" s="11"/>
      <c r="M311" s="11"/>
      <c r="N311" s="11"/>
      <c r="O311" s="12"/>
      <c r="P311" s="11" t="s">
        <v>161</v>
      </c>
      <c r="Q311" s="11" t="s">
        <v>161</v>
      </c>
      <c r="R311" s="13"/>
      <c r="S311" s="13"/>
      <c r="T311" s="13"/>
      <c r="U311" s="13"/>
      <c r="V311" s="13"/>
      <c r="W311" s="13"/>
      <c r="X311" s="13"/>
      <c r="Y311" s="13"/>
      <c r="Z311" s="13"/>
      <c r="AA311" s="13"/>
      <c r="AB311" s="13"/>
      <c r="AC311" s="13"/>
      <c r="AD311" s="13"/>
      <c r="AE311" s="13"/>
      <c r="AF311" s="13"/>
      <c r="AG311" s="13"/>
      <c r="AH311" s="13"/>
      <c r="AI311" s="13"/>
      <c r="AJ311" s="13"/>
    </row>
    <row r="312" ht="15.75" hidden="1" customHeight="1">
      <c r="A312" s="7" t="s">
        <v>641</v>
      </c>
      <c r="B312" s="7" t="s">
        <v>1333</v>
      </c>
      <c r="C312" s="8" t="s">
        <v>1339</v>
      </c>
      <c r="D312" s="9" t="s">
        <v>1340</v>
      </c>
      <c r="E312" s="7" t="s">
        <v>49</v>
      </c>
      <c r="F312" s="7"/>
      <c r="G312" s="7" t="s">
        <v>1309</v>
      </c>
      <c r="H312" s="9"/>
      <c r="I312" s="7" t="s">
        <v>151</v>
      </c>
      <c r="J312" s="7"/>
      <c r="K312" s="8"/>
      <c r="L312" s="7"/>
      <c r="M312" s="7"/>
      <c r="N312" s="7"/>
      <c r="O312" s="8"/>
      <c r="P312" s="7"/>
      <c r="Q312" s="7" t="s">
        <v>161</v>
      </c>
      <c r="R312" s="9"/>
      <c r="S312" s="9" t="s">
        <v>1341</v>
      </c>
      <c r="T312" s="9"/>
      <c r="U312" s="9"/>
      <c r="V312" s="9"/>
      <c r="W312" s="9"/>
      <c r="X312" s="9"/>
      <c r="Y312" s="9"/>
      <c r="Z312" s="9"/>
      <c r="AA312" s="9"/>
      <c r="AB312" s="9"/>
      <c r="AC312" s="9"/>
      <c r="AD312" s="9"/>
      <c r="AE312" s="9"/>
      <c r="AF312" s="9"/>
      <c r="AG312" s="9"/>
      <c r="AH312" s="9"/>
      <c r="AI312" s="9"/>
      <c r="AJ312" s="9"/>
    </row>
    <row r="313" ht="15.75" hidden="1" customHeight="1">
      <c r="A313" s="11" t="s">
        <v>641</v>
      </c>
      <c r="B313" s="11" t="s">
        <v>1197</v>
      </c>
      <c r="C313" s="12" t="s">
        <v>1342</v>
      </c>
      <c r="D313" s="13" t="s">
        <v>1343</v>
      </c>
      <c r="E313" s="11" t="s">
        <v>49</v>
      </c>
      <c r="F313" s="11"/>
      <c r="G313" s="11" t="s">
        <v>1207</v>
      </c>
      <c r="H313" s="11" t="s">
        <v>39</v>
      </c>
      <c r="I313" s="11" t="s">
        <v>51</v>
      </c>
      <c r="J313" s="11" t="s">
        <v>1201</v>
      </c>
      <c r="K313" s="12" t="s">
        <v>1344</v>
      </c>
      <c r="L313" s="11"/>
      <c r="M313" s="11"/>
      <c r="N313" s="11"/>
      <c r="O313" s="12"/>
      <c r="P313" s="11"/>
      <c r="Q313" s="11" t="s">
        <v>1345</v>
      </c>
      <c r="R313" s="13"/>
      <c r="S313" s="13"/>
      <c r="T313" s="11"/>
      <c r="U313" s="13"/>
      <c r="V313" s="13"/>
      <c r="W313" s="13"/>
      <c r="X313" s="13"/>
      <c r="Y313" s="13"/>
      <c r="Z313" s="13"/>
      <c r="AA313" s="13"/>
      <c r="AB313" s="13"/>
      <c r="AC313" s="13"/>
      <c r="AD313" s="13"/>
      <c r="AE313" s="13"/>
      <c r="AF313" s="13"/>
      <c r="AG313" s="13"/>
      <c r="AH313" s="13"/>
      <c r="AI313" s="13"/>
      <c r="AJ313" s="13"/>
    </row>
    <row r="314" ht="15.75" hidden="1" customHeight="1">
      <c r="A314" s="7" t="s">
        <v>498</v>
      </c>
      <c r="B314" s="7"/>
      <c r="C314" s="8" t="s">
        <v>1346</v>
      </c>
      <c r="D314" s="9" t="s">
        <v>1347</v>
      </c>
      <c r="E314" s="7" t="s">
        <v>96</v>
      </c>
      <c r="F314" s="7"/>
      <c r="G314" s="7"/>
      <c r="H314" s="7"/>
      <c r="I314" s="7" t="s">
        <v>27</v>
      </c>
      <c r="J314" s="7"/>
      <c r="K314" s="8"/>
      <c r="L314" s="7"/>
      <c r="M314" s="7"/>
      <c r="N314" s="7"/>
      <c r="O314" s="8"/>
      <c r="P314" s="7"/>
      <c r="Q314" s="7" t="s">
        <v>102</v>
      </c>
      <c r="R314" s="9"/>
      <c r="S314" s="9" t="s">
        <v>1348</v>
      </c>
      <c r="T314" s="7"/>
      <c r="U314" s="9"/>
      <c r="V314" s="9"/>
      <c r="W314" s="9"/>
      <c r="X314" s="9"/>
      <c r="Y314" s="9"/>
      <c r="Z314" s="9"/>
      <c r="AA314" s="9"/>
      <c r="AB314" s="9"/>
      <c r="AC314" s="9"/>
      <c r="AD314" s="9"/>
      <c r="AE314" s="9"/>
      <c r="AF314" s="9"/>
      <c r="AG314" s="9"/>
      <c r="AH314" s="9"/>
      <c r="AI314" s="9"/>
      <c r="AJ314" s="9"/>
    </row>
    <row r="315" ht="15.75" hidden="1" customHeight="1">
      <c r="A315" s="11" t="s">
        <v>498</v>
      </c>
      <c r="B315" s="11"/>
      <c r="C315" s="12" t="s">
        <v>1349</v>
      </c>
      <c r="D315" s="13" t="s">
        <v>1350</v>
      </c>
      <c r="E315" s="11" t="s">
        <v>96</v>
      </c>
      <c r="F315" s="11"/>
      <c r="G315" s="11"/>
      <c r="H315" s="11"/>
      <c r="I315" s="11" t="s">
        <v>51</v>
      </c>
      <c r="J315" s="11"/>
      <c r="K315" s="12"/>
      <c r="L315" s="11"/>
      <c r="M315" s="11"/>
      <c r="N315" s="11"/>
      <c r="O315" s="12"/>
      <c r="P315" s="11"/>
      <c r="Q315" s="11" t="s">
        <v>1282</v>
      </c>
      <c r="R315" s="13"/>
      <c r="S315" s="13"/>
      <c r="T315" s="11"/>
      <c r="U315" s="13"/>
      <c r="V315" s="13"/>
      <c r="W315" s="13"/>
      <c r="X315" s="13"/>
      <c r="Y315" s="13"/>
      <c r="Z315" s="13"/>
      <c r="AA315" s="13"/>
      <c r="AB315" s="13"/>
      <c r="AC315" s="13"/>
      <c r="AD315" s="13"/>
      <c r="AE315" s="13"/>
      <c r="AF315" s="13"/>
      <c r="AG315" s="13"/>
      <c r="AH315" s="13"/>
      <c r="AI315" s="13"/>
      <c r="AJ315" s="13"/>
    </row>
    <row r="316" ht="15.75" hidden="1" customHeight="1">
      <c r="A316" s="7" t="s">
        <v>498</v>
      </c>
      <c r="B316" s="7"/>
      <c r="C316" s="8" t="s">
        <v>1351</v>
      </c>
      <c r="D316" s="9" t="s">
        <v>1352</v>
      </c>
      <c r="E316" s="7" t="s">
        <v>96</v>
      </c>
      <c r="F316" s="7"/>
      <c r="G316" s="7"/>
      <c r="H316" s="7"/>
      <c r="I316" s="7" t="s">
        <v>151</v>
      </c>
      <c r="J316" s="7"/>
      <c r="K316" s="8"/>
      <c r="L316" s="7"/>
      <c r="M316" s="7"/>
      <c r="N316" s="7"/>
      <c r="O316" s="8"/>
      <c r="P316" s="7" t="s">
        <v>161</v>
      </c>
      <c r="Q316" s="7" t="s">
        <v>1247</v>
      </c>
      <c r="R316" s="9"/>
      <c r="S316" s="9" t="s">
        <v>1341</v>
      </c>
      <c r="T316" s="7"/>
      <c r="U316" s="9"/>
      <c r="V316" s="9"/>
      <c r="W316" s="9"/>
      <c r="X316" s="9"/>
      <c r="Y316" s="9"/>
      <c r="Z316" s="9"/>
      <c r="AA316" s="9"/>
      <c r="AB316" s="9"/>
      <c r="AC316" s="9"/>
      <c r="AD316" s="9"/>
      <c r="AE316" s="9"/>
      <c r="AF316" s="9"/>
      <c r="AG316" s="9"/>
      <c r="AH316" s="9"/>
      <c r="AI316" s="9"/>
      <c r="AJ316" s="9"/>
    </row>
    <row r="317" ht="15.75" hidden="1" customHeight="1">
      <c r="A317" s="11" t="s">
        <v>498</v>
      </c>
      <c r="B317" s="11"/>
      <c r="C317" s="12" t="s">
        <v>1353</v>
      </c>
      <c r="D317" s="13" t="s">
        <v>1354</v>
      </c>
      <c r="E317" s="11" t="s">
        <v>49</v>
      </c>
      <c r="F317" s="11"/>
      <c r="G317" s="11" t="s">
        <v>1278</v>
      </c>
      <c r="H317" s="13"/>
      <c r="I317" s="11" t="s">
        <v>151</v>
      </c>
      <c r="J317" s="11" t="s">
        <v>498</v>
      </c>
      <c r="K317" s="12"/>
      <c r="L317" s="48"/>
      <c r="M317" s="11"/>
      <c r="N317" s="11"/>
      <c r="O317" s="12"/>
      <c r="P317" s="11"/>
      <c r="Q317" s="11" t="s">
        <v>161</v>
      </c>
      <c r="R317" s="13"/>
      <c r="S317" s="19" t="s">
        <v>189</v>
      </c>
      <c r="T317" s="19"/>
      <c r="U317" s="19"/>
      <c r="V317" s="19"/>
      <c r="W317" s="19"/>
      <c r="X317" s="19"/>
      <c r="Y317" s="19"/>
      <c r="Z317" s="19"/>
      <c r="AA317" s="19"/>
      <c r="AB317" s="19"/>
      <c r="AC317" s="19"/>
      <c r="AD317" s="19"/>
      <c r="AE317" s="19"/>
      <c r="AF317" s="19"/>
      <c r="AG317" s="19"/>
      <c r="AH317" s="19"/>
      <c r="AI317" s="19"/>
      <c r="AJ317" s="13"/>
    </row>
    <row r="318" ht="15.75" hidden="1" customHeight="1">
      <c r="A318" s="7" t="s">
        <v>498</v>
      </c>
      <c r="B318" s="7"/>
      <c r="C318" s="8" t="s">
        <v>1355</v>
      </c>
      <c r="D318" s="9" t="s">
        <v>1356</v>
      </c>
      <c r="E318" s="7" t="s">
        <v>49</v>
      </c>
      <c r="F318" s="28" t="s">
        <v>1357</v>
      </c>
      <c r="G318" s="7" t="s">
        <v>1358</v>
      </c>
      <c r="H318" s="9"/>
      <c r="I318" s="7" t="s">
        <v>151</v>
      </c>
      <c r="J318" s="7" t="s">
        <v>498</v>
      </c>
      <c r="K318" s="8"/>
      <c r="L318" s="7"/>
      <c r="M318" s="7"/>
      <c r="N318" s="7"/>
      <c r="O318" s="8"/>
      <c r="P318" s="7" t="s">
        <v>161</v>
      </c>
      <c r="Q318" s="7" t="s">
        <v>161</v>
      </c>
      <c r="R318" s="9" t="s">
        <v>167</v>
      </c>
      <c r="S318" s="17" t="s">
        <v>189</v>
      </c>
      <c r="T318" s="9"/>
      <c r="U318" s="9"/>
      <c r="V318" s="9"/>
      <c r="W318" s="9"/>
      <c r="X318" s="9"/>
      <c r="Y318" s="9"/>
      <c r="Z318" s="9"/>
      <c r="AA318" s="9"/>
      <c r="AB318" s="9"/>
      <c r="AC318" s="9"/>
      <c r="AD318" s="9"/>
      <c r="AE318" s="9"/>
      <c r="AF318" s="9"/>
      <c r="AG318" s="9"/>
      <c r="AH318" s="9"/>
      <c r="AI318" s="9"/>
      <c r="AJ318" s="9"/>
    </row>
    <row r="319" ht="15.75" hidden="1" customHeight="1">
      <c r="A319" s="11" t="s">
        <v>498</v>
      </c>
      <c r="B319" s="11"/>
      <c r="C319" s="12" t="s">
        <v>1359</v>
      </c>
      <c r="D319" s="13" t="s">
        <v>1360</v>
      </c>
      <c r="E319" s="11" t="s">
        <v>49</v>
      </c>
      <c r="F319" s="30" t="s">
        <v>1361</v>
      </c>
      <c r="G319" s="11" t="s">
        <v>1317</v>
      </c>
      <c r="H319" s="13"/>
      <c r="I319" s="11" t="s">
        <v>151</v>
      </c>
      <c r="J319" s="11" t="s">
        <v>498</v>
      </c>
      <c r="K319" s="12"/>
      <c r="L319" s="11"/>
      <c r="M319" s="11"/>
      <c r="N319" s="11"/>
      <c r="O319" s="12"/>
      <c r="P319" s="11"/>
      <c r="Q319" s="11" t="s">
        <v>310</v>
      </c>
      <c r="R319" s="13"/>
      <c r="S319" s="13" t="s">
        <v>1341</v>
      </c>
      <c r="T319" s="13"/>
      <c r="U319" s="13"/>
      <c r="V319" s="13"/>
      <c r="W319" s="13"/>
      <c r="X319" s="13"/>
      <c r="Y319" s="13"/>
      <c r="Z319" s="13"/>
      <c r="AA319" s="13"/>
      <c r="AB319" s="13"/>
      <c r="AC319" s="13"/>
      <c r="AD319" s="13"/>
      <c r="AE319" s="13"/>
      <c r="AF319" s="13"/>
      <c r="AG319" s="13"/>
      <c r="AH319" s="13"/>
      <c r="AI319" s="13"/>
      <c r="AJ319" s="13"/>
    </row>
    <row r="320" ht="15.75" hidden="1" customHeight="1">
      <c r="A320" s="7" t="s">
        <v>700</v>
      </c>
      <c r="B320" s="7" t="s">
        <v>713</v>
      </c>
      <c r="C320" s="8" t="s">
        <v>1362</v>
      </c>
      <c r="D320" s="9" t="s">
        <v>1363</v>
      </c>
      <c r="E320" s="7" t="s">
        <v>49</v>
      </c>
      <c r="F320" s="7"/>
      <c r="G320" s="7" t="s">
        <v>1364</v>
      </c>
      <c r="H320" s="9"/>
      <c r="I320" s="7" t="s">
        <v>151</v>
      </c>
      <c r="J320" s="7" t="s">
        <v>498</v>
      </c>
      <c r="K320" s="8"/>
      <c r="L320" s="7"/>
      <c r="M320" s="7"/>
      <c r="N320" s="7"/>
      <c r="O320" s="8" t="s">
        <v>1365</v>
      </c>
      <c r="P320" s="7"/>
      <c r="Q320" s="7" t="s">
        <v>161</v>
      </c>
      <c r="R320" s="9"/>
      <c r="S320" s="9"/>
      <c r="T320" s="9"/>
      <c r="U320" s="9"/>
      <c r="V320" s="9"/>
      <c r="W320" s="9"/>
      <c r="X320" s="9"/>
      <c r="Y320" s="9"/>
      <c r="Z320" s="9"/>
      <c r="AA320" s="9"/>
      <c r="AB320" s="9"/>
      <c r="AC320" s="9"/>
      <c r="AD320" s="9"/>
      <c r="AE320" s="9"/>
      <c r="AF320" s="9"/>
      <c r="AG320" s="9"/>
      <c r="AH320" s="9"/>
      <c r="AI320" s="9"/>
      <c r="AJ320" s="9"/>
    </row>
    <row r="321" ht="15.75" hidden="1" customHeight="1">
      <c r="A321" s="11" t="s">
        <v>641</v>
      </c>
      <c r="B321" s="11" t="s">
        <v>713</v>
      </c>
      <c r="C321" s="12" t="s">
        <v>1366</v>
      </c>
      <c r="D321" s="13" t="s">
        <v>1367</v>
      </c>
      <c r="E321" s="11" t="s">
        <v>49</v>
      </c>
      <c r="F321" s="11"/>
      <c r="G321" s="18" t="s">
        <v>1368</v>
      </c>
      <c r="H321" s="13" t="s">
        <v>39</v>
      </c>
      <c r="I321" s="11" t="s">
        <v>51</v>
      </c>
      <c r="J321" s="11"/>
      <c r="K321" s="12" t="s">
        <v>1369</v>
      </c>
      <c r="L321" s="11"/>
      <c r="M321" s="11" t="s">
        <v>49</v>
      </c>
      <c r="N321" s="11"/>
      <c r="O321" s="59" t="s">
        <v>1370</v>
      </c>
      <c r="P321" s="11"/>
      <c r="Q321" s="11" t="s">
        <v>1371</v>
      </c>
      <c r="R321" s="13"/>
      <c r="S321" s="13"/>
      <c r="T321" s="13"/>
      <c r="U321" s="13"/>
      <c r="V321" s="13"/>
      <c r="W321" s="13"/>
      <c r="X321" s="13"/>
      <c r="Y321" s="13"/>
      <c r="Z321" s="13"/>
      <c r="AA321" s="13"/>
      <c r="AB321" s="13"/>
      <c r="AC321" s="13"/>
      <c r="AD321" s="13"/>
      <c r="AE321" s="13"/>
      <c r="AF321" s="13"/>
      <c r="AG321" s="13"/>
      <c r="AH321" s="13"/>
      <c r="AI321" s="13"/>
      <c r="AJ321" s="13"/>
    </row>
    <row r="322" ht="15.75" hidden="1" customHeight="1">
      <c r="A322" s="7" t="s">
        <v>965</v>
      </c>
      <c r="B322" s="7" t="s">
        <v>974</v>
      </c>
      <c r="C322" s="7" t="s">
        <v>1372</v>
      </c>
      <c r="D322" s="7" t="s">
        <v>1373</v>
      </c>
      <c r="E322" s="7" t="s">
        <v>49</v>
      </c>
      <c r="F322" s="7"/>
      <c r="G322" s="7" t="s">
        <v>1374</v>
      </c>
      <c r="H322" s="7"/>
      <c r="I322" s="7" t="s">
        <v>151</v>
      </c>
      <c r="J322" s="7" t="s">
        <v>1375</v>
      </c>
      <c r="K322" s="50" t="s">
        <v>1376</v>
      </c>
      <c r="L322" s="7"/>
      <c r="M322" s="7"/>
      <c r="N322" s="7"/>
      <c r="O322" s="7"/>
      <c r="P322" s="7" t="s">
        <v>609</v>
      </c>
      <c r="Q322" s="7"/>
      <c r="R322" s="7"/>
      <c r="S322" s="7"/>
      <c r="T322" s="7"/>
      <c r="U322" s="7"/>
      <c r="V322" s="7"/>
      <c r="W322" s="7"/>
      <c r="X322" s="7"/>
      <c r="Y322" s="7"/>
      <c r="Z322" s="7"/>
      <c r="AA322" s="7"/>
      <c r="AB322" s="7"/>
      <c r="AC322" s="7"/>
      <c r="AD322" s="7"/>
      <c r="AE322" s="7"/>
      <c r="AF322" s="7"/>
      <c r="AG322" s="7"/>
      <c r="AH322" s="7"/>
      <c r="AI322" s="7"/>
      <c r="AJ322" s="7"/>
    </row>
    <row r="323" ht="15.75" hidden="1" customHeight="1">
      <c r="A323" s="11" t="s">
        <v>965</v>
      </c>
      <c r="B323" s="11" t="s">
        <v>974</v>
      </c>
      <c r="C323" s="11" t="s">
        <v>1377</v>
      </c>
      <c r="D323" s="11" t="s">
        <v>1378</v>
      </c>
      <c r="E323" s="11" t="s">
        <v>49</v>
      </c>
      <c r="F323" s="11"/>
      <c r="G323" s="11" t="s">
        <v>1374</v>
      </c>
      <c r="H323" s="11"/>
      <c r="I323" s="11" t="s">
        <v>151</v>
      </c>
      <c r="J323" s="11" t="s">
        <v>1375</v>
      </c>
      <c r="K323" s="47" t="s">
        <v>1379</v>
      </c>
      <c r="L323" s="11"/>
      <c r="M323" s="11"/>
      <c r="N323" s="11"/>
      <c r="O323" s="11"/>
      <c r="P323" s="11" t="s">
        <v>609</v>
      </c>
      <c r="Q323" s="11"/>
      <c r="R323" s="11"/>
      <c r="S323" s="11"/>
      <c r="T323" s="11"/>
      <c r="U323" s="11"/>
      <c r="V323" s="11"/>
      <c r="W323" s="11"/>
      <c r="X323" s="11"/>
      <c r="Y323" s="11"/>
      <c r="Z323" s="11"/>
      <c r="AA323" s="11"/>
      <c r="AB323" s="11"/>
      <c r="AC323" s="11"/>
      <c r="AD323" s="11"/>
      <c r="AE323" s="11"/>
      <c r="AF323" s="11"/>
      <c r="AG323" s="11"/>
      <c r="AH323" s="11"/>
      <c r="AI323" s="11"/>
      <c r="AJ323" s="11"/>
    </row>
    <row r="324" ht="15.75" hidden="1" customHeight="1">
      <c r="A324" s="7" t="s">
        <v>21</v>
      </c>
      <c r="B324" s="7" t="s">
        <v>1380</v>
      </c>
      <c r="C324" s="8" t="s">
        <v>1381</v>
      </c>
      <c r="D324" s="9" t="s">
        <v>1382</v>
      </c>
      <c r="E324" s="7" t="s">
        <v>49</v>
      </c>
      <c r="F324" s="7"/>
      <c r="G324" s="7" t="s">
        <v>1383</v>
      </c>
      <c r="H324" s="9"/>
      <c r="I324" s="7" t="s">
        <v>51</v>
      </c>
      <c r="J324" s="7" t="s">
        <v>1384</v>
      </c>
      <c r="K324" s="8" t="s">
        <v>1385</v>
      </c>
      <c r="L324" s="7"/>
      <c r="M324" s="7"/>
      <c r="N324" s="7"/>
      <c r="O324" s="8"/>
      <c r="P324" s="7" t="s">
        <v>1386</v>
      </c>
      <c r="Q324" s="7" t="s">
        <v>102</v>
      </c>
      <c r="R324" s="9"/>
      <c r="S324" s="17"/>
      <c r="T324" s="9"/>
      <c r="U324" s="9"/>
      <c r="V324" s="9"/>
      <c r="W324" s="9"/>
      <c r="X324" s="9"/>
      <c r="Y324" s="9"/>
      <c r="Z324" s="9"/>
      <c r="AA324" s="9"/>
      <c r="AB324" s="9"/>
      <c r="AC324" s="9"/>
      <c r="AD324" s="9"/>
      <c r="AE324" s="9"/>
      <c r="AF324" s="9"/>
      <c r="AG324" s="9"/>
      <c r="AH324" s="9"/>
      <c r="AI324" s="9"/>
      <c r="AJ324" s="9"/>
    </row>
    <row r="325" ht="15.75" hidden="1" customHeight="1">
      <c r="A325" s="11" t="s">
        <v>498</v>
      </c>
      <c r="B325" s="11"/>
      <c r="C325" s="13" t="s">
        <v>1387</v>
      </c>
      <c r="D325" s="13" t="s">
        <v>1388</v>
      </c>
      <c r="E325" s="11" t="s">
        <v>49</v>
      </c>
      <c r="F325" s="58" t="s">
        <v>1389</v>
      </c>
      <c r="G325" s="11" t="s">
        <v>1390</v>
      </c>
      <c r="H325" s="13"/>
      <c r="I325" s="11"/>
      <c r="J325" s="11" t="s">
        <v>498</v>
      </c>
      <c r="K325" s="12"/>
      <c r="L325" s="11"/>
      <c r="M325" s="11"/>
      <c r="N325" s="11"/>
      <c r="O325" s="12"/>
      <c r="P325" s="25" t="s">
        <v>960</v>
      </c>
      <c r="Q325" s="11" t="s">
        <v>161</v>
      </c>
      <c r="R325" s="13"/>
      <c r="S325" s="19"/>
      <c r="T325" s="13"/>
      <c r="U325" s="13"/>
      <c r="V325" s="13"/>
      <c r="W325" s="13"/>
      <c r="X325" s="13"/>
      <c r="Y325" s="13"/>
      <c r="Z325" s="13"/>
      <c r="AA325" s="13"/>
      <c r="AB325" s="13"/>
      <c r="AC325" s="13"/>
      <c r="AD325" s="13"/>
      <c r="AE325" s="13"/>
      <c r="AF325" s="13"/>
      <c r="AG325" s="13"/>
      <c r="AH325" s="13"/>
      <c r="AI325" s="13"/>
      <c r="AJ325" s="13"/>
    </row>
    <row r="326" ht="15.75" hidden="1" customHeight="1">
      <c r="A326" s="7" t="s">
        <v>498</v>
      </c>
      <c r="B326" s="7"/>
      <c r="C326" s="9" t="s">
        <v>1391</v>
      </c>
      <c r="D326" s="9" t="s">
        <v>1392</v>
      </c>
      <c r="E326" s="7" t="s">
        <v>49</v>
      </c>
      <c r="F326" s="22" t="s">
        <v>1393</v>
      </c>
      <c r="G326" s="7" t="s">
        <v>1390</v>
      </c>
      <c r="H326" s="9"/>
      <c r="I326" s="7"/>
      <c r="J326" s="7" t="s">
        <v>498</v>
      </c>
      <c r="K326" s="8"/>
      <c r="L326" s="7"/>
      <c r="M326" s="7"/>
      <c r="N326" s="7"/>
      <c r="O326" s="8"/>
      <c r="P326" s="10" t="s">
        <v>960</v>
      </c>
      <c r="Q326" s="7" t="s">
        <v>161</v>
      </c>
      <c r="R326" s="9"/>
      <c r="S326" s="17"/>
      <c r="T326" s="9"/>
      <c r="U326" s="9"/>
      <c r="V326" s="9"/>
      <c r="W326" s="9"/>
      <c r="X326" s="9"/>
      <c r="Y326" s="9"/>
      <c r="Z326" s="9"/>
      <c r="AA326" s="9"/>
      <c r="AB326" s="9"/>
      <c r="AC326" s="9"/>
      <c r="AD326" s="9"/>
      <c r="AE326" s="9"/>
      <c r="AF326" s="9"/>
      <c r="AG326" s="9"/>
      <c r="AH326" s="9"/>
      <c r="AI326" s="9"/>
      <c r="AJ326" s="9"/>
    </row>
    <row r="327" ht="15.75" hidden="1" customHeight="1">
      <c r="A327" s="11" t="s">
        <v>498</v>
      </c>
      <c r="B327" s="11"/>
      <c r="C327" s="13" t="s">
        <v>1394</v>
      </c>
      <c r="D327" s="13" t="s">
        <v>1395</v>
      </c>
      <c r="E327" s="11" t="s">
        <v>49</v>
      </c>
      <c r="F327" s="58" t="s">
        <v>1396</v>
      </c>
      <c r="G327" s="11" t="s">
        <v>1390</v>
      </c>
      <c r="H327" s="13"/>
      <c r="I327" s="11"/>
      <c r="J327" s="11" t="s">
        <v>498</v>
      </c>
      <c r="K327" s="12"/>
      <c r="L327" s="11"/>
      <c r="M327" s="11"/>
      <c r="N327" s="11"/>
      <c r="O327" s="12"/>
      <c r="P327" s="25" t="s">
        <v>960</v>
      </c>
      <c r="Q327" s="11" t="s">
        <v>161</v>
      </c>
      <c r="R327" s="13"/>
      <c r="S327" s="19"/>
      <c r="T327" s="13"/>
      <c r="U327" s="13"/>
      <c r="V327" s="13"/>
      <c r="W327" s="13"/>
      <c r="X327" s="13"/>
      <c r="Y327" s="13"/>
      <c r="Z327" s="13"/>
      <c r="AA327" s="13"/>
      <c r="AB327" s="13"/>
      <c r="AC327" s="13"/>
      <c r="AD327" s="13"/>
      <c r="AE327" s="13"/>
      <c r="AF327" s="13"/>
      <c r="AG327" s="13"/>
      <c r="AH327" s="13"/>
      <c r="AI327" s="13"/>
      <c r="AJ327" s="13"/>
    </row>
    <row r="328" ht="15.75" hidden="1" customHeight="1">
      <c r="A328" s="7" t="s">
        <v>498</v>
      </c>
      <c r="B328" s="7"/>
      <c r="C328" s="9" t="s">
        <v>1397</v>
      </c>
      <c r="D328" s="9" t="s">
        <v>1398</v>
      </c>
      <c r="E328" s="7" t="s">
        <v>49</v>
      </c>
      <c r="F328" s="22" t="s">
        <v>1399</v>
      </c>
      <c r="G328" s="7" t="s">
        <v>1390</v>
      </c>
      <c r="H328" s="9"/>
      <c r="I328" s="7"/>
      <c r="J328" s="7" t="s">
        <v>498</v>
      </c>
      <c r="K328" s="8"/>
      <c r="L328" s="7"/>
      <c r="M328" s="7"/>
      <c r="N328" s="7"/>
      <c r="O328" s="8"/>
      <c r="P328" s="10" t="s">
        <v>960</v>
      </c>
      <c r="Q328" s="7" t="s">
        <v>161</v>
      </c>
      <c r="R328" s="9"/>
      <c r="S328" s="17"/>
      <c r="T328" s="9"/>
      <c r="U328" s="9"/>
      <c r="V328" s="9"/>
      <c r="W328" s="9"/>
      <c r="X328" s="9"/>
      <c r="Y328" s="9"/>
      <c r="Z328" s="9"/>
      <c r="AA328" s="9"/>
      <c r="AB328" s="9"/>
      <c r="AC328" s="9"/>
      <c r="AD328" s="9"/>
      <c r="AE328" s="9"/>
      <c r="AF328" s="9"/>
      <c r="AG328" s="9"/>
      <c r="AH328" s="9"/>
      <c r="AI328" s="9"/>
      <c r="AJ328" s="9"/>
    </row>
    <row r="329" ht="15.75" hidden="1" customHeight="1">
      <c r="A329" s="11" t="s">
        <v>498</v>
      </c>
      <c r="B329" s="11"/>
      <c r="C329" s="13" t="s">
        <v>1400</v>
      </c>
      <c r="D329" s="13" t="s">
        <v>1401</v>
      </c>
      <c r="E329" s="11" t="s">
        <v>49</v>
      </c>
      <c r="F329" s="58" t="s">
        <v>1402</v>
      </c>
      <c r="G329" s="11" t="s">
        <v>1390</v>
      </c>
      <c r="H329" s="13"/>
      <c r="I329" s="11"/>
      <c r="J329" s="11" t="s">
        <v>498</v>
      </c>
      <c r="K329" s="12"/>
      <c r="L329" s="11"/>
      <c r="M329" s="11"/>
      <c r="N329" s="11"/>
      <c r="O329" s="12"/>
      <c r="P329" s="25" t="s">
        <v>960</v>
      </c>
      <c r="Q329" s="11" t="s">
        <v>161</v>
      </c>
      <c r="R329" s="13"/>
      <c r="S329" s="19"/>
      <c r="T329" s="13"/>
      <c r="U329" s="13"/>
      <c r="V329" s="13"/>
      <c r="W329" s="13"/>
      <c r="X329" s="13"/>
      <c r="Y329" s="13"/>
      <c r="Z329" s="13"/>
      <c r="AA329" s="13"/>
      <c r="AB329" s="13"/>
      <c r="AC329" s="13"/>
      <c r="AD329" s="13"/>
      <c r="AE329" s="13"/>
      <c r="AF329" s="13"/>
      <c r="AG329" s="13"/>
      <c r="AH329" s="13"/>
      <c r="AI329" s="13"/>
      <c r="AJ329" s="13"/>
    </row>
    <row r="330" ht="15.75" hidden="1" customHeight="1">
      <c r="A330" s="7" t="s">
        <v>498</v>
      </c>
      <c r="B330" s="7"/>
      <c r="C330" s="9" t="s">
        <v>1403</v>
      </c>
      <c r="D330" s="9" t="s">
        <v>1404</v>
      </c>
      <c r="E330" s="7" t="s">
        <v>49</v>
      </c>
      <c r="F330" s="22" t="s">
        <v>1405</v>
      </c>
      <c r="G330" s="7" t="s">
        <v>1390</v>
      </c>
      <c r="H330" s="9"/>
      <c r="I330" s="7"/>
      <c r="J330" s="7" t="s">
        <v>498</v>
      </c>
      <c r="K330" s="8"/>
      <c r="L330" s="7"/>
      <c r="M330" s="7"/>
      <c r="N330" s="7"/>
      <c r="O330" s="8"/>
      <c r="P330" s="10" t="s">
        <v>960</v>
      </c>
      <c r="Q330" s="7" t="s">
        <v>161</v>
      </c>
      <c r="R330" s="9"/>
      <c r="S330" s="17"/>
      <c r="T330" s="9"/>
      <c r="U330" s="9"/>
      <c r="V330" s="9"/>
      <c r="W330" s="9"/>
      <c r="X330" s="9"/>
      <c r="Y330" s="9"/>
      <c r="Z330" s="9"/>
      <c r="AA330" s="9"/>
      <c r="AB330" s="9"/>
      <c r="AC330" s="9"/>
      <c r="AD330" s="9"/>
      <c r="AE330" s="9"/>
      <c r="AF330" s="9"/>
      <c r="AG330" s="9"/>
      <c r="AH330" s="9"/>
      <c r="AI330" s="9"/>
      <c r="AJ330" s="9"/>
    </row>
    <row r="331" ht="15.75" hidden="1" customHeight="1">
      <c r="A331" s="11" t="s">
        <v>498</v>
      </c>
      <c r="B331" s="11"/>
      <c r="C331" s="13" t="s">
        <v>1406</v>
      </c>
      <c r="D331" s="13" t="s">
        <v>1407</v>
      </c>
      <c r="E331" s="11" t="s">
        <v>49</v>
      </c>
      <c r="F331" s="58" t="s">
        <v>1408</v>
      </c>
      <c r="G331" s="11" t="s">
        <v>1390</v>
      </c>
      <c r="H331" s="13"/>
      <c r="I331" s="11"/>
      <c r="J331" s="11" t="s">
        <v>498</v>
      </c>
      <c r="K331" s="12"/>
      <c r="L331" s="11"/>
      <c r="M331" s="11"/>
      <c r="N331" s="11"/>
      <c r="O331" s="12"/>
      <c r="P331" s="25" t="s">
        <v>960</v>
      </c>
      <c r="Q331" s="11" t="s">
        <v>161</v>
      </c>
      <c r="R331" s="13"/>
      <c r="S331" s="19"/>
      <c r="T331" s="13"/>
      <c r="U331" s="13"/>
      <c r="V331" s="13"/>
      <c r="W331" s="13"/>
      <c r="X331" s="13"/>
      <c r="Y331" s="13"/>
      <c r="Z331" s="13"/>
      <c r="AA331" s="13"/>
      <c r="AB331" s="13"/>
      <c r="AC331" s="13"/>
      <c r="AD331" s="13"/>
      <c r="AE331" s="13"/>
      <c r="AF331" s="13"/>
      <c r="AG331" s="13"/>
      <c r="AH331" s="13"/>
      <c r="AI331" s="13"/>
      <c r="AJ331" s="13"/>
    </row>
    <row r="332" ht="15.75" hidden="1" customHeight="1">
      <c r="A332" s="7" t="s">
        <v>498</v>
      </c>
      <c r="B332" s="7"/>
      <c r="C332" s="9" t="s">
        <v>1409</v>
      </c>
      <c r="D332" s="9" t="s">
        <v>1410</v>
      </c>
      <c r="E332" s="7" t="s">
        <v>49</v>
      </c>
      <c r="F332" s="22" t="s">
        <v>1411</v>
      </c>
      <c r="G332" s="7" t="s">
        <v>1390</v>
      </c>
      <c r="H332" s="9"/>
      <c r="I332" s="7"/>
      <c r="J332" s="7" t="s">
        <v>498</v>
      </c>
      <c r="K332" s="8"/>
      <c r="L332" s="7"/>
      <c r="M332" s="7"/>
      <c r="N332" s="7"/>
      <c r="O332" s="8"/>
      <c r="P332" s="10" t="s">
        <v>960</v>
      </c>
      <c r="Q332" s="7" t="s">
        <v>161</v>
      </c>
      <c r="R332" s="9"/>
      <c r="S332" s="17"/>
      <c r="T332" s="9"/>
      <c r="U332" s="9"/>
      <c r="V332" s="9"/>
      <c r="W332" s="9"/>
      <c r="X332" s="9"/>
      <c r="Y332" s="9"/>
      <c r="Z332" s="9"/>
      <c r="AA332" s="9"/>
      <c r="AB332" s="9"/>
      <c r="AC332" s="9"/>
      <c r="AD332" s="9"/>
      <c r="AE332" s="9"/>
      <c r="AF332" s="9"/>
      <c r="AG332" s="9"/>
      <c r="AH332" s="9"/>
      <c r="AI332" s="9"/>
      <c r="AJ332" s="9"/>
    </row>
    <row r="333" ht="15.75" hidden="1" customHeight="1">
      <c r="A333" s="11" t="s">
        <v>498</v>
      </c>
      <c r="B333" s="11"/>
      <c r="C333" s="13" t="s">
        <v>1412</v>
      </c>
      <c r="D333" s="13" t="s">
        <v>1413</v>
      </c>
      <c r="E333" s="11" t="s">
        <v>49</v>
      </c>
      <c r="F333" s="58" t="s">
        <v>1414</v>
      </c>
      <c r="G333" s="11" t="s">
        <v>1390</v>
      </c>
      <c r="H333" s="13"/>
      <c r="I333" s="11"/>
      <c r="J333" s="11" t="s">
        <v>498</v>
      </c>
      <c r="K333" s="12"/>
      <c r="L333" s="11"/>
      <c r="M333" s="11"/>
      <c r="N333" s="11"/>
      <c r="O333" s="12"/>
      <c r="P333" s="25" t="s">
        <v>960</v>
      </c>
      <c r="Q333" s="11" t="s">
        <v>161</v>
      </c>
      <c r="R333" s="13"/>
      <c r="S333" s="19"/>
      <c r="T333" s="13"/>
      <c r="U333" s="13"/>
      <c r="V333" s="13"/>
      <c r="W333" s="13"/>
      <c r="X333" s="13"/>
      <c r="Y333" s="13"/>
      <c r="Z333" s="13"/>
      <c r="AA333" s="13"/>
      <c r="AB333" s="13"/>
      <c r="AC333" s="13"/>
      <c r="AD333" s="13"/>
      <c r="AE333" s="13"/>
      <c r="AF333" s="13"/>
      <c r="AG333" s="13"/>
      <c r="AH333" s="13"/>
      <c r="AI333" s="13"/>
      <c r="AJ333" s="13"/>
    </row>
    <row r="334" ht="15.75" hidden="1" customHeight="1">
      <c r="A334" s="7" t="s">
        <v>498</v>
      </c>
      <c r="B334" s="7"/>
      <c r="C334" s="9" t="s">
        <v>1415</v>
      </c>
      <c r="D334" s="9" t="s">
        <v>1416</v>
      </c>
      <c r="E334" s="7" t="s">
        <v>49</v>
      </c>
      <c r="F334" s="22" t="s">
        <v>1417</v>
      </c>
      <c r="G334" s="7" t="s">
        <v>1390</v>
      </c>
      <c r="H334" s="9"/>
      <c r="I334" s="7"/>
      <c r="J334" s="7" t="s">
        <v>498</v>
      </c>
      <c r="K334" s="8"/>
      <c r="L334" s="7"/>
      <c r="M334" s="7"/>
      <c r="N334" s="7"/>
      <c r="O334" s="8"/>
      <c r="P334" s="10" t="s">
        <v>960</v>
      </c>
      <c r="Q334" s="7" t="s">
        <v>161</v>
      </c>
      <c r="R334" s="9"/>
      <c r="S334" s="17"/>
      <c r="T334" s="9"/>
      <c r="U334" s="9"/>
      <c r="V334" s="9"/>
      <c r="W334" s="9"/>
      <c r="X334" s="9"/>
      <c r="Y334" s="9"/>
      <c r="Z334" s="9"/>
      <c r="AA334" s="9"/>
      <c r="AB334" s="9"/>
      <c r="AC334" s="9"/>
      <c r="AD334" s="9"/>
      <c r="AE334" s="9"/>
      <c r="AF334" s="9"/>
      <c r="AG334" s="9"/>
      <c r="AH334" s="9"/>
      <c r="AI334" s="9"/>
      <c r="AJ334" s="9"/>
    </row>
    <row r="335" ht="15.75" hidden="1" customHeight="1">
      <c r="A335" s="11" t="s">
        <v>498</v>
      </c>
      <c r="B335" s="11"/>
      <c r="C335" s="13" t="s">
        <v>1418</v>
      </c>
      <c r="D335" s="13" t="s">
        <v>1419</v>
      </c>
      <c r="E335" s="11" t="s">
        <v>49</v>
      </c>
      <c r="F335" s="58" t="s">
        <v>1420</v>
      </c>
      <c r="G335" s="11" t="s">
        <v>1390</v>
      </c>
      <c r="H335" s="13"/>
      <c r="I335" s="11"/>
      <c r="J335" s="11" t="s">
        <v>498</v>
      </c>
      <c r="K335" s="12"/>
      <c r="L335" s="11"/>
      <c r="M335" s="11"/>
      <c r="N335" s="11"/>
      <c r="O335" s="12"/>
      <c r="P335" s="25" t="s">
        <v>960</v>
      </c>
      <c r="Q335" s="11" t="s">
        <v>161</v>
      </c>
      <c r="R335" s="13"/>
      <c r="S335" s="19"/>
      <c r="T335" s="13"/>
      <c r="U335" s="13"/>
      <c r="V335" s="13"/>
      <c r="W335" s="13"/>
      <c r="X335" s="13"/>
      <c r="Y335" s="13"/>
      <c r="Z335" s="13"/>
      <c r="AA335" s="13"/>
      <c r="AB335" s="13"/>
      <c r="AC335" s="13"/>
      <c r="AD335" s="13"/>
      <c r="AE335" s="13"/>
      <c r="AF335" s="13"/>
      <c r="AG335" s="13"/>
      <c r="AH335" s="13"/>
      <c r="AI335" s="13"/>
      <c r="AJ335" s="13"/>
    </row>
    <row r="336" ht="15.75" hidden="1" customHeight="1">
      <c r="A336" s="7" t="s">
        <v>498</v>
      </c>
      <c r="B336" s="7"/>
      <c r="C336" s="9" t="s">
        <v>1421</v>
      </c>
      <c r="D336" s="9" t="s">
        <v>1422</v>
      </c>
      <c r="E336" s="7" t="s">
        <v>49</v>
      </c>
      <c r="F336" s="22" t="s">
        <v>1423</v>
      </c>
      <c r="G336" s="7" t="s">
        <v>1390</v>
      </c>
      <c r="H336" s="9"/>
      <c r="I336" s="7"/>
      <c r="J336" s="7" t="s">
        <v>498</v>
      </c>
      <c r="K336" s="8"/>
      <c r="L336" s="7"/>
      <c r="M336" s="7"/>
      <c r="N336" s="7"/>
      <c r="O336" s="8"/>
      <c r="P336" s="10" t="s">
        <v>960</v>
      </c>
      <c r="Q336" s="7" t="s">
        <v>161</v>
      </c>
      <c r="R336" s="9"/>
      <c r="S336" s="17"/>
      <c r="T336" s="9"/>
      <c r="U336" s="9"/>
      <c r="V336" s="9"/>
      <c r="W336" s="9"/>
      <c r="X336" s="9"/>
      <c r="Y336" s="9"/>
      <c r="Z336" s="9"/>
      <c r="AA336" s="9"/>
      <c r="AB336" s="9"/>
      <c r="AC336" s="9"/>
      <c r="AD336" s="9"/>
      <c r="AE336" s="9"/>
      <c r="AF336" s="9"/>
      <c r="AG336" s="9"/>
      <c r="AH336" s="9"/>
      <c r="AI336" s="9"/>
      <c r="AJ336" s="9"/>
    </row>
    <row r="337" ht="15.75" hidden="1" customHeight="1">
      <c r="A337" s="11" t="s">
        <v>34</v>
      </c>
      <c r="B337" s="11" t="s">
        <v>86</v>
      </c>
      <c r="C337" s="12" t="s">
        <v>1424</v>
      </c>
      <c r="D337" s="13" t="s">
        <v>1425</v>
      </c>
      <c r="E337" s="11"/>
      <c r="F337" s="11"/>
      <c r="G337" s="18" t="s">
        <v>1426</v>
      </c>
      <c r="H337" s="13"/>
      <c r="I337" s="11" t="s">
        <v>27</v>
      </c>
      <c r="J337" s="11"/>
      <c r="K337" s="13" t="s">
        <v>1427</v>
      </c>
      <c r="L337" s="11"/>
      <c r="M337" s="11"/>
      <c r="N337" s="11" t="s">
        <v>1428</v>
      </c>
      <c r="O337" s="12"/>
      <c r="P337" s="11" t="s">
        <v>102</v>
      </c>
      <c r="Q337" s="11"/>
      <c r="R337" s="13"/>
      <c r="S337" s="19"/>
      <c r="T337" s="13"/>
      <c r="U337" s="13"/>
      <c r="V337" s="13"/>
      <c r="W337" s="13"/>
      <c r="X337" s="13"/>
      <c r="Y337" s="13"/>
      <c r="Z337" s="13"/>
      <c r="AA337" s="13"/>
      <c r="AB337" s="13"/>
      <c r="AC337" s="13"/>
      <c r="AD337" s="13"/>
      <c r="AE337" s="13"/>
      <c r="AF337" s="13"/>
      <c r="AG337" s="13"/>
      <c r="AH337" s="13"/>
      <c r="AI337" s="13"/>
      <c r="AJ337" s="13"/>
    </row>
    <row r="338" ht="15.75" hidden="1" customHeight="1">
      <c r="A338" s="7" t="s">
        <v>329</v>
      </c>
      <c r="B338" s="7"/>
      <c r="C338" s="8" t="s">
        <v>1429</v>
      </c>
      <c r="D338" s="9" t="s">
        <v>1430</v>
      </c>
      <c r="E338" s="7" t="s">
        <v>49</v>
      </c>
      <c r="F338" s="28" t="s">
        <v>1431</v>
      </c>
      <c r="G338" s="7" t="s">
        <v>1432</v>
      </c>
      <c r="H338" s="7" t="s">
        <v>39</v>
      </c>
      <c r="I338" s="7" t="s">
        <v>151</v>
      </c>
      <c r="J338" s="7" t="s">
        <v>498</v>
      </c>
      <c r="K338" s="8"/>
      <c r="L338" s="7"/>
      <c r="M338" s="7"/>
      <c r="N338" s="7"/>
      <c r="O338" s="8"/>
      <c r="P338" s="7" t="s">
        <v>323</v>
      </c>
      <c r="Q338" s="7" t="s">
        <v>161</v>
      </c>
      <c r="R338" s="9"/>
      <c r="S338" s="9" t="s">
        <v>189</v>
      </c>
      <c r="T338" s="7"/>
      <c r="U338" s="9"/>
      <c r="V338" s="9"/>
      <c r="W338" s="9"/>
      <c r="X338" s="9"/>
      <c r="Y338" s="9"/>
      <c r="Z338" s="9"/>
      <c r="AA338" s="9"/>
      <c r="AB338" s="9"/>
      <c r="AC338" s="9"/>
      <c r="AD338" s="9"/>
      <c r="AE338" s="9"/>
      <c r="AF338" s="9"/>
      <c r="AG338" s="9"/>
      <c r="AH338" s="9"/>
      <c r="AI338" s="9"/>
      <c r="AJ338" s="9"/>
    </row>
    <row r="339" ht="69.0" hidden="1" customHeight="1">
      <c r="A339" s="11" t="s">
        <v>641</v>
      </c>
      <c r="B339" s="7" t="s">
        <v>1433</v>
      </c>
      <c r="C339" s="7" t="s">
        <v>1434</v>
      </c>
      <c r="D339" s="7" t="s">
        <v>1435</v>
      </c>
      <c r="E339" s="11" t="s">
        <v>49</v>
      </c>
      <c r="F339" s="10"/>
      <c r="G339" s="7" t="s">
        <v>1436</v>
      </c>
      <c r="H339" s="10"/>
      <c r="I339" s="10"/>
      <c r="J339" s="10"/>
      <c r="K339" s="7" t="s">
        <v>1437</v>
      </c>
      <c r="L339" s="10"/>
      <c r="M339" s="10"/>
      <c r="N339" s="10"/>
      <c r="O339" s="25"/>
      <c r="P339" s="10"/>
      <c r="Q339" s="29" t="s">
        <v>1438</v>
      </c>
      <c r="R339" s="10"/>
      <c r="S339" s="10"/>
      <c r="T339" s="10"/>
      <c r="U339" s="10"/>
      <c r="V339" s="10"/>
      <c r="W339" s="10"/>
      <c r="X339" s="10"/>
      <c r="Y339" s="10"/>
      <c r="Z339" s="10"/>
      <c r="AA339" s="10"/>
      <c r="AB339" s="10"/>
      <c r="AC339" s="10"/>
      <c r="AD339" s="10"/>
      <c r="AE339" s="10"/>
      <c r="AF339" s="10"/>
      <c r="AG339" s="10"/>
      <c r="AH339" s="10"/>
      <c r="AI339" s="10"/>
      <c r="AJ339" s="10"/>
    </row>
    <row r="340" ht="15.75" hidden="1" customHeight="1">
      <c r="A340" s="7" t="s">
        <v>641</v>
      </c>
      <c r="B340" s="7" t="s">
        <v>1433</v>
      </c>
      <c r="C340" s="7" t="s">
        <v>1439</v>
      </c>
      <c r="D340" s="7" t="s">
        <v>1440</v>
      </c>
      <c r="E340" s="7" t="s">
        <v>49</v>
      </c>
      <c r="F340" s="10"/>
      <c r="G340" s="7" t="s">
        <v>1436</v>
      </c>
      <c r="H340" s="10"/>
      <c r="I340" s="10"/>
      <c r="J340" s="10"/>
      <c r="K340" s="7" t="s">
        <v>1437</v>
      </c>
      <c r="L340" s="10"/>
      <c r="M340" s="10"/>
      <c r="N340" s="10"/>
      <c r="O340" s="10"/>
      <c r="P340" s="10"/>
      <c r="Q340" s="29" t="s">
        <v>1438</v>
      </c>
      <c r="R340" s="10"/>
      <c r="S340" s="10"/>
      <c r="T340" s="10"/>
      <c r="U340" s="10"/>
      <c r="V340" s="10"/>
      <c r="W340" s="10"/>
      <c r="X340" s="10"/>
      <c r="Y340" s="10"/>
      <c r="Z340" s="10"/>
      <c r="AA340" s="10"/>
      <c r="AB340" s="10"/>
      <c r="AC340" s="10"/>
      <c r="AD340" s="10"/>
      <c r="AE340" s="10"/>
      <c r="AF340" s="10"/>
      <c r="AG340" s="10"/>
      <c r="AH340" s="10"/>
      <c r="AI340" s="10"/>
      <c r="AJ340" s="10"/>
    </row>
    <row r="341" ht="15.75" hidden="1" customHeight="1">
      <c r="A341" s="11" t="s">
        <v>250</v>
      </c>
      <c r="B341" s="11" t="s">
        <v>251</v>
      </c>
      <c r="C341" s="12" t="s">
        <v>1441</v>
      </c>
      <c r="D341" s="13" t="s">
        <v>1442</v>
      </c>
      <c r="E341" s="11" t="s">
        <v>49</v>
      </c>
      <c r="F341" s="30" t="s">
        <v>1443</v>
      </c>
      <c r="G341" s="56" t="s">
        <v>1444</v>
      </c>
      <c r="H341" s="11"/>
      <c r="I341" s="11" t="s">
        <v>151</v>
      </c>
      <c r="J341" s="11"/>
      <c r="K341" s="12"/>
      <c r="L341" s="11"/>
      <c r="M341" s="11"/>
      <c r="N341" s="11"/>
      <c r="O341" s="11"/>
      <c r="P341" s="11"/>
      <c r="Q341" s="30" t="s">
        <v>1445</v>
      </c>
      <c r="R341" s="13"/>
      <c r="S341" s="21"/>
      <c r="T341" s="11"/>
      <c r="U341" s="13"/>
      <c r="V341" s="13"/>
      <c r="W341" s="13"/>
      <c r="X341" s="13"/>
      <c r="Y341" s="13"/>
      <c r="Z341" s="13"/>
      <c r="AA341" s="13"/>
      <c r="AB341" s="13"/>
      <c r="AC341" s="13"/>
      <c r="AD341" s="13"/>
      <c r="AE341" s="13"/>
      <c r="AF341" s="13"/>
      <c r="AG341" s="13"/>
      <c r="AH341" s="13"/>
      <c r="AI341" s="13"/>
      <c r="AJ341" s="13"/>
    </row>
    <row r="342" ht="15.75" hidden="1" customHeight="1">
      <c r="A342" s="7" t="s">
        <v>250</v>
      </c>
      <c r="B342" s="7" t="s">
        <v>263</v>
      </c>
      <c r="C342" s="8" t="s">
        <v>1446</v>
      </c>
      <c r="D342" s="9" t="s">
        <v>1447</v>
      </c>
      <c r="E342" s="7" t="s">
        <v>49</v>
      </c>
      <c r="F342" s="28" t="s">
        <v>315</v>
      </c>
      <c r="G342" s="29" t="s">
        <v>316</v>
      </c>
      <c r="H342" s="7" t="s">
        <v>39</v>
      </c>
      <c r="I342" s="7" t="s">
        <v>151</v>
      </c>
      <c r="J342" s="7" t="s">
        <v>317</v>
      </c>
      <c r="K342" s="8"/>
      <c r="L342" s="7"/>
      <c r="M342" s="7"/>
      <c r="N342" s="7"/>
      <c r="O342" s="8"/>
      <c r="P342" s="7" t="s">
        <v>318</v>
      </c>
      <c r="Q342" s="7" t="s">
        <v>323</v>
      </c>
      <c r="R342" s="9"/>
      <c r="S342" s="15"/>
      <c r="T342" s="7"/>
      <c r="U342" s="9"/>
      <c r="V342" s="9"/>
      <c r="W342" s="9"/>
      <c r="X342" s="9"/>
      <c r="Y342" s="9"/>
      <c r="Z342" s="9"/>
      <c r="AA342" s="9"/>
      <c r="AB342" s="9"/>
      <c r="AC342" s="9"/>
      <c r="AD342" s="9"/>
      <c r="AE342" s="9"/>
      <c r="AF342" s="9"/>
      <c r="AG342" s="9"/>
      <c r="AH342" s="9"/>
      <c r="AI342" s="9"/>
      <c r="AJ342" s="9"/>
    </row>
    <row r="343" ht="15.75" hidden="1" customHeight="1">
      <c r="A343" s="11" t="s">
        <v>965</v>
      </c>
      <c r="B343" s="11" t="s">
        <v>974</v>
      </c>
      <c r="C343" s="11" t="s">
        <v>1448</v>
      </c>
      <c r="D343" s="12" t="s">
        <v>1449</v>
      </c>
      <c r="E343" s="11" t="s">
        <v>96</v>
      </c>
      <c r="F343" s="11"/>
      <c r="G343" s="11" t="s">
        <v>977</v>
      </c>
      <c r="H343" s="11"/>
      <c r="I343" s="11" t="s">
        <v>27</v>
      </c>
      <c r="J343" s="11" t="s">
        <v>1450</v>
      </c>
      <c r="K343" s="47" t="s">
        <v>107</v>
      </c>
      <c r="L343" s="12" t="s">
        <v>1451</v>
      </c>
      <c r="M343" s="11"/>
      <c r="N343" s="11"/>
      <c r="O343" s="11" t="s">
        <v>1452</v>
      </c>
      <c r="P343" s="11"/>
      <c r="Q343" s="11" t="s">
        <v>1453</v>
      </c>
      <c r="R343" s="11"/>
      <c r="S343" s="11"/>
      <c r="T343" s="11"/>
      <c r="U343" s="11"/>
      <c r="V343" s="11"/>
      <c r="W343" s="11"/>
      <c r="X343" s="11"/>
      <c r="Y343" s="11"/>
      <c r="Z343" s="11"/>
      <c r="AA343" s="11"/>
      <c r="AB343" s="11"/>
      <c r="AC343" s="11"/>
      <c r="AD343" s="11"/>
      <c r="AE343" s="11"/>
      <c r="AF343" s="11"/>
      <c r="AG343" s="11"/>
      <c r="AH343" s="11"/>
      <c r="AI343" s="11"/>
      <c r="AJ343" s="11"/>
    </row>
    <row r="344" ht="15.75" hidden="1" customHeight="1">
      <c r="A344" s="7" t="s">
        <v>965</v>
      </c>
      <c r="B344" s="7" t="s">
        <v>974</v>
      </c>
      <c r="C344" s="7" t="s">
        <v>1454</v>
      </c>
      <c r="D344" s="8" t="s">
        <v>1455</v>
      </c>
      <c r="E344" s="7" t="s">
        <v>96</v>
      </c>
      <c r="F344" s="7"/>
      <c r="G344" s="7" t="s">
        <v>1456</v>
      </c>
      <c r="H344" s="7" t="s">
        <v>39</v>
      </c>
      <c r="I344" s="7" t="s">
        <v>27</v>
      </c>
      <c r="J344" s="7" t="s">
        <v>1457</v>
      </c>
      <c r="K344" s="7" t="s">
        <v>1458</v>
      </c>
      <c r="L344" s="8" t="s">
        <v>1459</v>
      </c>
      <c r="M344" s="7"/>
      <c r="N344" s="7"/>
      <c r="O344" s="7" t="s">
        <v>1460</v>
      </c>
      <c r="P344" s="7"/>
      <c r="Q344" s="7" t="s">
        <v>1461</v>
      </c>
      <c r="R344" s="7"/>
      <c r="S344" s="7"/>
      <c r="T344" s="7"/>
      <c r="U344" s="7"/>
      <c r="V344" s="7"/>
      <c r="W344" s="7"/>
      <c r="X344" s="7"/>
      <c r="Y344" s="7"/>
      <c r="Z344" s="7"/>
      <c r="AA344" s="7"/>
      <c r="AB344" s="7"/>
      <c r="AC344" s="7"/>
      <c r="AD344" s="7"/>
      <c r="AE344" s="7"/>
      <c r="AF344" s="7"/>
      <c r="AG344" s="7"/>
      <c r="AH344" s="7"/>
      <c r="AI344" s="7"/>
      <c r="AJ344" s="7"/>
    </row>
    <row r="345" ht="15.75" hidden="1" customHeight="1">
      <c r="A345" s="11" t="s">
        <v>965</v>
      </c>
      <c r="B345" s="11" t="s">
        <v>974</v>
      </c>
      <c r="C345" s="11" t="s">
        <v>1462</v>
      </c>
      <c r="D345" s="12" t="s">
        <v>1463</v>
      </c>
      <c r="E345" s="11" t="s">
        <v>96</v>
      </c>
      <c r="F345" s="11"/>
      <c r="G345" s="11" t="s">
        <v>1039</v>
      </c>
      <c r="H345" s="11"/>
      <c r="I345" s="11"/>
      <c r="J345" s="11" t="s">
        <v>1034</v>
      </c>
      <c r="K345" s="11" t="s">
        <v>1464</v>
      </c>
      <c r="L345" s="12" t="s">
        <v>1465</v>
      </c>
      <c r="M345" s="11"/>
      <c r="N345" s="11"/>
      <c r="O345" s="11"/>
      <c r="P345" s="11"/>
      <c r="Q345" s="11"/>
      <c r="R345" s="11"/>
      <c r="S345" s="48"/>
      <c r="T345" s="11"/>
      <c r="U345" s="11"/>
      <c r="V345" s="11"/>
      <c r="W345" s="11"/>
      <c r="X345" s="11"/>
      <c r="Y345" s="11"/>
      <c r="Z345" s="11"/>
      <c r="AA345" s="11"/>
      <c r="AB345" s="11"/>
      <c r="AC345" s="11"/>
      <c r="AD345" s="11"/>
      <c r="AE345" s="11"/>
      <c r="AF345" s="11"/>
      <c r="AG345" s="11"/>
      <c r="AH345" s="11"/>
      <c r="AI345" s="11"/>
      <c r="AJ345" s="11"/>
    </row>
    <row r="346" ht="15.75" hidden="1" customHeight="1">
      <c r="A346" s="7" t="s">
        <v>398</v>
      </c>
      <c r="B346" s="7" t="s">
        <v>399</v>
      </c>
      <c r="C346" s="7" t="s">
        <v>1466</v>
      </c>
      <c r="D346" s="9" t="s">
        <v>1467</v>
      </c>
      <c r="E346" s="7" t="s">
        <v>96</v>
      </c>
      <c r="F346" s="7"/>
      <c r="G346" s="7" t="s">
        <v>427</v>
      </c>
      <c r="H346" s="9"/>
      <c r="I346" s="7"/>
      <c r="J346" s="7"/>
      <c r="K346" s="8"/>
      <c r="L346" s="8"/>
      <c r="M346" s="7"/>
      <c r="N346" s="7"/>
      <c r="O346" s="8"/>
      <c r="P346" s="7"/>
      <c r="Q346" s="7"/>
      <c r="R346" s="9"/>
      <c r="S346" s="17"/>
      <c r="T346" s="9"/>
      <c r="U346" s="9"/>
      <c r="V346" s="9"/>
      <c r="W346" s="9"/>
      <c r="X346" s="9"/>
      <c r="Y346" s="9"/>
      <c r="Z346" s="9"/>
      <c r="AA346" s="9"/>
      <c r="AB346" s="9"/>
      <c r="AC346" s="9"/>
      <c r="AD346" s="9"/>
      <c r="AE346" s="9"/>
      <c r="AF346" s="9"/>
      <c r="AG346" s="9"/>
      <c r="AH346" s="9"/>
      <c r="AI346" s="9"/>
      <c r="AJ346" s="9"/>
    </row>
    <row r="347" ht="15.75" hidden="1" customHeight="1">
      <c r="A347" s="11"/>
      <c r="B347" s="11"/>
      <c r="C347" s="81"/>
      <c r="D347" s="82"/>
      <c r="E347" s="11"/>
      <c r="F347" s="11"/>
      <c r="G347" s="11"/>
      <c r="H347" s="13"/>
      <c r="I347" s="11"/>
      <c r="J347" s="11"/>
      <c r="K347" s="12"/>
      <c r="L347" s="12"/>
      <c r="M347" s="11"/>
      <c r="N347" s="11"/>
      <c r="O347" s="12"/>
      <c r="P347" s="11"/>
      <c r="Q347" s="11"/>
      <c r="R347" s="13"/>
      <c r="S347" s="19"/>
      <c r="T347" s="13"/>
      <c r="U347" s="13"/>
      <c r="V347" s="13"/>
      <c r="W347" s="13"/>
      <c r="X347" s="13"/>
      <c r="Y347" s="13"/>
      <c r="Z347" s="13"/>
      <c r="AA347" s="13"/>
      <c r="AB347" s="13"/>
      <c r="AC347" s="13"/>
      <c r="AD347" s="13"/>
      <c r="AE347" s="13"/>
      <c r="AF347" s="13"/>
      <c r="AG347" s="13"/>
      <c r="AH347" s="13"/>
      <c r="AI347" s="13"/>
      <c r="AJ347" s="13"/>
    </row>
    <row r="348" ht="15.75" hidden="1" customHeight="1">
      <c r="A348" s="7" t="s">
        <v>700</v>
      </c>
      <c r="B348" s="7" t="s">
        <v>1468</v>
      </c>
      <c r="C348" s="7" t="s">
        <v>1469</v>
      </c>
      <c r="D348" s="9" t="s">
        <v>1470</v>
      </c>
      <c r="E348" s="7" t="s">
        <v>25</v>
      </c>
      <c r="F348" s="7"/>
      <c r="G348" s="7" t="s">
        <v>1471</v>
      </c>
      <c r="H348" s="9" t="s">
        <v>51</v>
      </c>
      <c r="I348" s="7" t="s">
        <v>51</v>
      </c>
      <c r="J348" s="7" t="s">
        <v>1472</v>
      </c>
      <c r="K348" s="8" t="s">
        <v>1473</v>
      </c>
      <c r="L348" s="8"/>
      <c r="M348" s="7"/>
      <c r="N348" s="7"/>
      <c r="O348" s="8"/>
      <c r="P348" s="7"/>
      <c r="Q348" s="7"/>
      <c r="R348" s="9"/>
      <c r="S348" s="17"/>
      <c r="T348" s="9"/>
      <c r="U348" s="9"/>
      <c r="V348" s="9"/>
      <c r="W348" s="9"/>
      <c r="X348" s="9"/>
      <c r="Y348" s="9"/>
      <c r="Z348" s="9"/>
      <c r="AA348" s="9"/>
      <c r="AB348" s="9"/>
      <c r="AC348" s="9"/>
      <c r="AD348" s="9"/>
      <c r="AE348" s="9"/>
      <c r="AF348" s="9"/>
      <c r="AG348" s="9"/>
      <c r="AH348" s="9"/>
      <c r="AI348" s="9"/>
      <c r="AJ348" s="9"/>
    </row>
    <row r="349" ht="15.75" hidden="1" customHeight="1">
      <c r="A349" s="11" t="s">
        <v>965</v>
      </c>
      <c r="B349" s="11" t="s">
        <v>1474</v>
      </c>
      <c r="C349" s="11" t="s">
        <v>1475</v>
      </c>
      <c r="D349" s="13" t="s">
        <v>1476</v>
      </c>
      <c r="E349" s="11" t="s">
        <v>49</v>
      </c>
      <c r="F349" s="11"/>
      <c r="G349" s="11" t="s">
        <v>1071</v>
      </c>
      <c r="H349" s="13" t="s">
        <v>51</v>
      </c>
      <c r="I349" s="11" t="s">
        <v>151</v>
      </c>
      <c r="J349" s="11" t="s">
        <v>1477</v>
      </c>
      <c r="K349" s="12" t="s">
        <v>1478</v>
      </c>
      <c r="L349" s="12" t="s">
        <v>1479</v>
      </c>
      <c r="M349" s="11" t="s">
        <v>49</v>
      </c>
      <c r="N349" s="11"/>
      <c r="O349" s="12"/>
      <c r="P349" s="11" t="s">
        <v>323</v>
      </c>
      <c r="Q349" s="11"/>
      <c r="R349" s="13"/>
      <c r="S349" s="19"/>
      <c r="T349" s="13"/>
      <c r="U349" s="13"/>
      <c r="V349" s="13"/>
      <c r="W349" s="13"/>
      <c r="X349" s="13"/>
      <c r="Y349" s="13"/>
      <c r="Z349" s="13"/>
      <c r="AA349" s="13"/>
      <c r="AB349" s="13"/>
      <c r="AC349" s="13"/>
      <c r="AD349" s="13"/>
      <c r="AE349" s="13"/>
      <c r="AF349" s="13"/>
      <c r="AG349" s="13"/>
      <c r="AH349" s="13"/>
      <c r="AI349" s="13"/>
      <c r="AJ349" s="13"/>
    </row>
    <row r="350" ht="15.75" hidden="1" customHeight="1">
      <c r="A350" s="7" t="s">
        <v>965</v>
      </c>
      <c r="B350" s="7" t="s">
        <v>1474</v>
      </c>
      <c r="C350" s="7" t="s">
        <v>162</v>
      </c>
      <c r="D350" s="9" t="s">
        <v>1480</v>
      </c>
      <c r="E350" s="7" t="s">
        <v>49</v>
      </c>
      <c r="F350" s="7"/>
      <c r="G350" s="7" t="s">
        <v>1071</v>
      </c>
      <c r="H350" s="9" t="s">
        <v>39</v>
      </c>
      <c r="I350" s="7" t="s">
        <v>51</v>
      </c>
      <c r="J350" s="7" t="s">
        <v>1481</v>
      </c>
      <c r="K350" s="8" t="s">
        <v>1482</v>
      </c>
      <c r="L350" s="8" t="s">
        <v>1483</v>
      </c>
      <c r="M350" s="7" t="s">
        <v>49</v>
      </c>
      <c r="N350" s="7"/>
      <c r="O350" s="8"/>
      <c r="P350" s="7" t="s">
        <v>166</v>
      </c>
      <c r="Q350" s="7" t="s">
        <v>1484</v>
      </c>
      <c r="R350" s="9" t="s">
        <v>1485</v>
      </c>
      <c r="S350" s="17"/>
      <c r="T350" s="9"/>
      <c r="U350" s="9"/>
      <c r="V350" s="9"/>
      <c r="W350" s="9"/>
      <c r="X350" s="9"/>
      <c r="Y350" s="9"/>
      <c r="Z350" s="9"/>
      <c r="AA350" s="9"/>
      <c r="AB350" s="9"/>
      <c r="AC350" s="9"/>
      <c r="AD350" s="9"/>
      <c r="AE350" s="9"/>
      <c r="AF350" s="9"/>
      <c r="AG350" s="9"/>
      <c r="AH350" s="9"/>
      <c r="AI350" s="9"/>
      <c r="AJ350" s="9"/>
    </row>
    <row r="351" ht="15.75" hidden="1" customHeight="1">
      <c r="A351" s="11" t="s">
        <v>1486</v>
      </c>
      <c r="B351" s="11"/>
      <c r="C351" s="11" t="s">
        <v>1487</v>
      </c>
      <c r="D351" s="13" t="s">
        <v>1488</v>
      </c>
      <c r="E351" s="11" t="s">
        <v>96</v>
      </c>
      <c r="F351" s="11"/>
      <c r="G351" s="11" t="s">
        <v>1489</v>
      </c>
      <c r="H351" s="13" t="s">
        <v>39</v>
      </c>
      <c r="I351" s="11" t="s">
        <v>27</v>
      </c>
      <c r="J351" s="11" t="s">
        <v>28</v>
      </c>
      <c r="K351" s="12"/>
      <c r="L351" s="12"/>
      <c r="M351" s="11" t="s">
        <v>96</v>
      </c>
      <c r="N351" s="11"/>
      <c r="O351" s="12"/>
      <c r="P351" s="11"/>
      <c r="Q351" s="11"/>
      <c r="R351" s="13"/>
      <c r="S351" s="19"/>
      <c r="T351" s="13" t="s">
        <v>1490</v>
      </c>
      <c r="U351" s="13"/>
      <c r="V351" s="13"/>
      <c r="W351" s="13"/>
      <c r="X351" s="13"/>
      <c r="Y351" s="13"/>
      <c r="Z351" s="13"/>
      <c r="AA351" s="13"/>
      <c r="AB351" s="13"/>
      <c r="AC351" s="13"/>
      <c r="AD351" s="13"/>
      <c r="AE351" s="13"/>
      <c r="AF351" s="13"/>
      <c r="AG351" s="13"/>
      <c r="AH351" s="13"/>
      <c r="AI351" s="13"/>
      <c r="AJ351" s="13"/>
    </row>
    <row r="352" ht="15.75" hidden="1" customHeight="1">
      <c r="A352" s="7" t="s">
        <v>1486</v>
      </c>
      <c r="B352" s="7"/>
      <c r="C352" s="7" t="s">
        <v>1491</v>
      </c>
      <c r="D352" s="9" t="s">
        <v>1492</v>
      </c>
      <c r="E352" s="7" t="s">
        <v>96</v>
      </c>
      <c r="F352" s="7"/>
      <c r="G352" s="7" t="s">
        <v>1493</v>
      </c>
      <c r="H352" s="9" t="s">
        <v>39</v>
      </c>
      <c r="I352" s="7" t="s">
        <v>27</v>
      </c>
      <c r="J352" s="7"/>
      <c r="K352" s="8"/>
      <c r="L352" s="8"/>
      <c r="M352" s="7"/>
      <c r="N352" s="7"/>
      <c r="O352" s="8"/>
      <c r="P352" s="7"/>
      <c r="Q352" s="7"/>
      <c r="R352" s="9"/>
      <c r="S352" s="17"/>
      <c r="T352" s="9"/>
      <c r="U352" s="9"/>
      <c r="V352" s="9"/>
      <c r="W352" s="9"/>
      <c r="X352" s="9"/>
      <c r="Y352" s="9"/>
      <c r="Z352" s="9"/>
      <c r="AA352" s="9"/>
      <c r="AB352" s="9"/>
      <c r="AC352" s="9"/>
      <c r="AD352" s="9"/>
      <c r="AE352" s="9"/>
      <c r="AF352" s="9"/>
      <c r="AG352" s="9"/>
      <c r="AH352" s="9"/>
      <c r="AI352" s="9"/>
      <c r="AJ352" s="9"/>
    </row>
    <row r="353" ht="15.75" hidden="1" customHeight="1">
      <c r="A353" s="11" t="s">
        <v>1486</v>
      </c>
      <c r="B353" s="11"/>
      <c r="C353" s="11" t="s">
        <v>1494</v>
      </c>
      <c r="D353" s="80" t="s">
        <v>1495</v>
      </c>
      <c r="E353" s="11" t="s">
        <v>96</v>
      </c>
      <c r="F353" s="11"/>
      <c r="G353" s="11" t="s">
        <v>1496</v>
      </c>
      <c r="H353" s="13" t="s">
        <v>39</v>
      </c>
      <c r="I353" s="11" t="s">
        <v>51</v>
      </c>
      <c r="J353" s="11"/>
      <c r="K353" s="12"/>
      <c r="L353" s="12"/>
      <c r="M353" s="11"/>
      <c r="N353" s="11"/>
      <c r="O353" s="12"/>
      <c r="P353" s="11"/>
      <c r="Q353" s="11"/>
      <c r="R353" s="13"/>
      <c r="S353" s="19"/>
      <c r="T353" s="13"/>
      <c r="U353" s="13"/>
      <c r="V353" s="13"/>
      <c r="W353" s="13"/>
      <c r="X353" s="13"/>
      <c r="Y353" s="13"/>
      <c r="Z353" s="13"/>
      <c r="AA353" s="13"/>
      <c r="AB353" s="13"/>
      <c r="AC353" s="13"/>
      <c r="AD353" s="13"/>
      <c r="AE353" s="13"/>
      <c r="AF353" s="13"/>
      <c r="AG353" s="13"/>
      <c r="AH353" s="13"/>
      <c r="AI353" s="13"/>
      <c r="AJ353" s="13"/>
    </row>
    <row r="354" ht="15.75" hidden="1" customHeight="1">
      <c r="A354" s="7" t="s">
        <v>1486</v>
      </c>
      <c r="B354" s="7"/>
      <c r="C354" s="8" t="s">
        <v>149</v>
      </c>
      <c r="D354" s="9" t="s">
        <v>1497</v>
      </c>
      <c r="E354" s="7" t="s">
        <v>25</v>
      </c>
      <c r="F354" s="7"/>
      <c r="G354" s="7" t="s">
        <v>1498</v>
      </c>
      <c r="H354" s="9" t="s">
        <v>39</v>
      </c>
      <c r="I354" s="7" t="s">
        <v>51</v>
      </c>
      <c r="J354" s="7"/>
      <c r="K354" s="8"/>
      <c r="L354" s="8"/>
      <c r="M354" s="7"/>
      <c r="N354" s="7"/>
      <c r="O354" s="8"/>
      <c r="P354" s="7"/>
      <c r="Q354" s="7"/>
      <c r="R354" s="9"/>
      <c r="S354" s="17"/>
      <c r="T354" s="9"/>
      <c r="U354" s="9"/>
      <c r="V354" s="9"/>
      <c r="W354" s="9"/>
      <c r="X354" s="9"/>
      <c r="Y354" s="9"/>
      <c r="Z354" s="9"/>
      <c r="AA354" s="9"/>
      <c r="AB354" s="9"/>
      <c r="AC354" s="9"/>
      <c r="AD354" s="9"/>
      <c r="AE354" s="9"/>
      <c r="AF354" s="9"/>
      <c r="AG354" s="9"/>
      <c r="AH354" s="9"/>
      <c r="AI354" s="9"/>
      <c r="AJ354" s="9"/>
    </row>
    <row r="355" ht="15.75" hidden="1" customHeight="1">
      <c r="A355" s="11" t="s">
        <v>1486</v>
      </c>
      <c r="B355" s="11"/>
      <c r="C355" s="11" t="s">
        <v>1499</v>
      </c>
      <c r="D355" s="13" t="s">
        <v>1500</v>
      </c>
      <c r="E355" s="11" t="s">
        <v>25</v>
      </c>
      <c r="F355" s="11"/>
      <c r="G355" s="11" t="s">
        <v>1493</v>
      </c>
      <c r="H355" s="13" t="s">
        <v>39</v>
      </c>
      <c r="I355" s="11" t="s">
        <v>27</v>
      </c>
      <c r="J355" s="11"/>
      <c r="K355" s="12"/>
      <c r="L355" s="12"/>
      <c r="M355" s="11"/>
      <c r="N355" s="11"/>
      <c r="O355" s="12"/>
      <c r="P355" s="11"/>
      <c r="Q355" s="11"/>
      <c r="R355" s="13"/>
      <c r="S355" s="19"/>
      <c r="T355" s="13"/>
      <c r="U355" s="13"/>
      <c r="V355" s="13"/>
      <c r="W355" s="13"/>
      <c r="X355" s="13"/>
      <c r="Y355" s="13"/>
      <c r="Z355" s="13"/>
      <c r="AA355" s="13"/>
      <c r="AB355" s="13"/>
      <c r="AC355" s="13"/>
      <c r="AD355" s="13"/>
      <c r="AE355" s="13"/>
      <c r="AF355" s="13"/>
      <c r="AG355" s="13"/>
      <c r="AH355" s="13"/>
      <c r="AI355" s="13"/>
      <c r="AJ355" s="13"/>
    </row>
    <row r="356" ht="15.75" customHeight="1">
      <c r="A356" s="7" t="s">
        <v>398</v>
      </c>
      <c r="B356" s="10" t="s">
        <v>513</v>
      </c>
      <c r="C356" s="15" t="s">
        <v>1501</v>
      </c>
      <c r="D356" s="9" t="s">
        <v>1502</v>
      </c>
      <c r="E356" s="10" t="s">
        <v>96</v>
      </c>
      <c r="F356" s="15"/>
      <c r="G356" s="29" t="s">
        <v>515</v>
      </c>
      <c r="H356" s="15" t="s">
        <v>51</v>
      </c>
      <c r="I356" s="15" t="s">
        <v>51</v>
      </c>
      <c r="J356" s="10" t="s">
        <v>513</v>
      </c>
      <c r="K356" s="15" t="s">
        <v>1503</v>
      </c>
      <c r="L356" s="15" t="s">
        <v>1504</v>
      </c>
      <c r="M356" s="15"/>
      <c r="N356" s="15"/>
      <c r="O356" s="15" t="s">
        <v>1505</v>
      </c>
      <c r="P356" s="15"/>
      <c r="Q356" s="15"/>
      <c r="R356" s="15"/>
      <c r="S356" s="15"/>
      <c r="T356" s="15"/>
      <c r="U356" s="9"/>
      <c r="V356" s="9"/>
      <c r="W356" s="9"/>
      <c r="X356" s="9"/>
      <c r="Y356" s="9"/>
      <c r="Z356" s="9"/>
      <c r="AA356" s="9"/>
      <c r="AB356" s="9"/>
      <c r="AC356" s="9"/>
      <c r="AD356" s="9"/>
      <c r="AE356" s="9"/>
      <c r="AF356" s="9"/>
      <c r="AG356" s="9"/>
      <c r="AH356" s="9"/>
      <c r="AI356" s="9"/>
      <c r="AJ356" s="9"/>
    </row>
    <row r="357" ht="15.75" customHeight="1">
      <c r="A357" s="11" t="s">
        <v>398</v>
      </c>
      <c r="B357" s="25" t="s">
        <v>513</v>
      </c>
      <c r="C357" s="21" t="s">
        <v>1506</v>
      </c>
      <c r="D357" s="13" t="s">
        <v>1507</v>
      </c>
      <c r="E357" s="25" t="s">
        <v>96</v>
      </c>
      <c r="F357" s="21"/>
      <c r="G357" s="56" t="s">
        <v>515</v>
      </c>
      <c r="H357" s="21" t="s">
        <v>51</v>
      </c>
      <c r="I357" s="21" t="s">
        <v>27</v>
      </c>
      <c r="J357" s="25" t="s">
        <v>513</v>
      </c>
      <c r="K357" s="21" t="s">
        <v>1508</v>
      </c>
      <c r="L357" s="21" t="s">
        <v>1509</v>
      </c>
      <c r="M357" s="21"/>
      <c r="N357" s="21"/>
      <c r="O357" s="21"/>
      <c r="P357" s="21"/>
      <c r="Q357" s="21"/>
      <c r="R357" s="21"/>
      <c r="S357" s="21"/>
      <c r="T357" s="21"/>
      <c r="U357" s="13"/>
      <c r="V357" s="13"/>
      <c r="W357" s="13"/>
      <c r="X357" s="13"/>
      <c r="Y357" s="13"/>
      <c r="Z357" s="13"/>
      <c r="AA357" s="13"/>
      <c r="AB357" s="13"/>
      <c r="AC357" s="13"/>
      <c r="AD357" s="13"/>
      <c r="AE357" s="13"/>
      <c r="AF357" s="13"/>
      <c r="AG357" s="13"/>
      <c r="AH357" s="13"/>
      <c r="AI357" s="13"/>
      <c r="AJ357" s="13"/>
    </row>
    <row r="358" ht="15.75" customHeight="1">
      <c r="A358" s="7" t="s">
        <v>398</v>
      </c>
      <c r="B358" s="10" t="s">
        <v>513</v>
      </c>
      <c r="C358" s="83" t="s">
        <v>1510</v>
      </c>
      <c r="D358" s="9" t="s">
        <v>1511</v>
      </c>
      <c r="E358" s="10" t="s">
        <v>96</v>
      </c>
      <c r="F358" s="15"/>
      <c r="G358" s="29" t="s">
        <v>515</v>
      </c>
      <c r="H358" s="15" t="s">
        <v>51</v>
      </c>
      <c r="I358" s="15" t="s">
        <v>27</v>
      </c>
      <c r="J358" s="10" t="s">
        <v>513</v>
      </c>
      <c r="K358" s="15"/>
      <c r="L358" s="15" t="s">
        <v>1509</v>
      </c>
      <c r="M358" s="15"/>
      <c r="N358" s="15"/>
      <c r="O358" s="15" t="s">
        <v>1512</v>
      </c>
      <c r="P358" s="15"/>
      <c r="Q358" s="15"/>
      <c r="R358" s="15"/>
      <c r="S358" s="15"/>
      <c r="T358" s="15"/>
      <c r="U358" s="9"/>
      <c r="V358" s="9"/>
      <c r="W358" s="9"/>
      <c r="X358" s="9"/>
      <c r="Y358" s="9"/>
      <c r="Z358" s="9"/>
      <c r="AA358" s="9"/>
      <c r="AB358" s="9"/>
      <c r="AC358" s="9"/>
      <c r="AD358" s="9"/>
      <c r="AE358" s="9"/>
      <c r="AF358" s="9"/>
      <c r="AG358" s="9"/>
      <c r="AH358" s="9"/>
      <c r="AI358" s="9"/>
      <c r="AJ358" s="9"/>
    </row>
    <row r="359" ht="15.75" customHeight="1">
      <c r="A359" s="11" t="s">
        <v>398</v>
      </c>
      <c r="B359" s="25" t="s">
        <v>513</v>
      </c>
      <c r="C359" s="84" t="s">
        <v>1513</v>
      </c>
      <c r="D359" s="13" t="s">
        <v>1514</v>
      </c>
      <c r="E359" s="25" t="s">
        <v>96</v>
      </c>
      <c r="F359" s="21"/>
      <c r="G359" s="56" t="s">
        <v>515</v>
      </c>
      <c r="H359" s="21" t="s">
        <v>51</v>
      </c>
      <c r="I359" s="21" t="s">
        <v>27</v>
      </c>
      <c r="J359" s="25" t="s">
        <v>513</v>
      </c>
      <c r="K359" s="21"/>
      <c r="L359" s="21" t="s">
        <v>1509</v>
      </c>
      <c r="M359" s="21"/>
      <c r="N359" s="21"/>
      <c r="O359" s="21"/>
      <c r="P359" s="21"/>
      <c r="Q359" s="21"/>
      <c r="R359" s="21"/>
      <c r="S359" s="21"/>
      <c r="T359" s="21"/>
      <c r="U359" s="13"/>
      <c r="V359" s="13"/>
      <c r="W359" s="13"/>
      <c r="X359" s="13"/>
      <c r="Y359" s="13"/>
      <c r="Z359" s="13"/>
      <c r="AA359" s="13"/>
      <c r="AB359" s="13"/>
      <c r="AC359" s="13"/>
      <c r="AD359" s="13"/>
      <c r="AE359" s="13"/>
      <c r="AF359" s="13"/>
      <c r="AG359" s="13"/>
      <c r="AH359" s="13"/>
      <c r="AI359" s="13"/>
      <c r="AJ359" s="13"/>
    </row>
    <row r="360" ht="15.75" customHeight="1">
      <c r="A360" s="7" t="s">
        <v>398</v>
      </c>
      <c r="B360" s="10" t="s">
        <v>513</v>
      </c>
      <c r="C360" s="85" t="s">
        <v>1515</v>
      </c>
      <c r="D360" s="9" t="s">
        <v>1516</v>
      </c>
      <c r="E360" s="10" t="s">
        <v>96</v>
      </c>
      <c r="F360" s="15"/>
      <c r="G360" s="29" t="s">
        <v>515</v>
      </c>
      <c r="H360" s="15" t="s">
        <v>51</v>
      </c>
      <c r="I360" s="15" t="s">
        <v>27</v>
      </c>
      <c r="J360" s="10" t="s">
        <v>513</v>
      </c>
      <c r="K360" s="15"/>
      <c r="L360" s="15" t="s">
        <v>1517</v>
      </c>
      <c r="M360" s="15"/>
      <c r="N360" s="15"/>
      <c r="O360" s="15"/>
      <c r="P360" s="15"/>
      <c r="Q360" s="15"/>
      <c r="R360" s="15"/>
      <c r="S360" s="15"/>
      <c r="T360" s="15"/>
      <c r="U360" s="9"/>
      <c r="V360" s="9"/>
      <c r="W360" s="9"/>
      <c r="X360" s="9"/>
      <c r="Y360" s="9"/>
      <c r="Z360" s="9"/>
      <c r="AA360" s="9"/>
      <c r="AB360" s="9"/>
      <c r="AC360" s="9"/>
      <c r="AD360" s="9"/>
      <c r="AE360" s="9"/>
      <c r="AF360" s="9"/>
      <c r="AG360" s="9"/>
      <c r="AH360" s="9"/>
      <c r="AI360" s="9"/>
      <c r="AJ360" s="9"/>
    </row>
    <row r="361" ht="15.75" customHeight="1">
      <c r="A361" s="11" t="s">
        <v>398</v>
      </c>
      <c r="B361" s="25" t="s">
        <v>513</v>
      </c>
      <c r="C361" s="85" t="s">
        <v>1518</v>
      </c>
      <c r="D361" s="13" t="s">
        <v>1519</v>
      </c>
      <c r="E361" s="25" t="s">
        <v>96</v>
      </c>
      <c r="F361" s="21"/>
      <c r="G361" s="56" t="s">
        <v>515</v>
      </c>
      <c r="H361" s="21" t="s">
        <v>51</v>
      </c>
      <c r="I361" s="21" t="s">
        <v>51</v>
      </c>
      <c r="J361" s="25" t="s">
        <v>513</v>
      </c>
      <c r="K361" s="13" t="s">
        <v>1520</v>
      </c>
      <c r="L361" s="21" t="s">
        <v>1517</v>
      </c>
      <c r="M361" s="21"/>
      <c r="N361" s="21"/>
      <c r="O361" s="21"/>
      <c r="P361" s="21"/>
      <c r="Q361" s="21"/>
      <c r="R361" s="21"/>
      <c r="S361" s="21"/>
      <c r="T361" s="21"/>
      <c r="U361" s="13"/>
      <c r="V361" s="13"/>
      <c r="W361" s="13"/>
      <c r="X361" s="13"/>
      <c r="Y361" s="13"/>
      <c r="Z361" s="13"/>
      <c r="AA361" s="13"/>
      <c r="AB361" s="13"/>
      <c r="AC361" s="13"/>
      <c r="AD361" s="13"/>
      <c r="AE361" s="13"/>
      <c r="AF361" s="13"/>
      <c r="AG361" s="13"/>
      <c r="AH361" s="13"/>
      <c r="AI361" s="13"/>
      <c r="AJ361" s="13"/>
    </row>
    <row r="362" ht="15.75" customHeight="1">
      <c r="A362" s="7" t="s">
        <v>398</v>
      </c>
      <c r="B362" s="10" t="s">
        <v>513</v>
      </c>
      <c r="C362" s="15" t="s">
        <v>1521</v>
      </c>
      <c r="D362" s="9" t="s">
        <v>1522</v>
      </c>
      <c r="E362" s="10" t="s">
        <v>96</v>
      </c>
      <c r="F362" s="15"/>
      <c r="G362" s="29" t="s">
        <v>515</v>
      </c>
      <c r="H362" s="15" t="s">
        <v>39</v>
      </c>
      <c r="I362" s="15" t="s">
        <v>51</v>
      </c>
      <c r="J362" s="10" t="s">
        <v>513</v>
      </c>
      <c r="K362" s="15" t="s">
        <v>1523</v>
      </c>
      <c r="L362" s="15" t="s">
        <v>1504</v>
      </c>
      <c r="M362" s="15"/>
      <c r="N362" s="15"/>
      <c r="O362" s="15" t="s">
        <v>1524</v>
      </c>
      <c r="P362" s="15"/>
      <c r="Q362" s="15"/>
      <c r="R362" s="15"/>
      <c r="S362" s="15"/>
      <c r="T362" s="15"/>
      <c r="U362" s="9"/>
      <c r="V362" s="9"/>
      <c r="W362" s="9"/>
      <c r="X362" s="9"/>
      <c r="Y362" s="9"/>
      <c r="Z362" s="9"/>
      <c r="AA362" s="9"/>
      <c r="AB362" s="9"/>
      <c r="AC362" s="9"/>
      <c r="AD362" s="9"/>
      <c r="AE362" s="9"/>
      <c r="AF362" s="9"/>
      <c r="AG362" s="9"/>
      <c r="AH362" s="9"/>
      <c r="AI362" s="9"/>
      <c r="AJ362" s="9"/>
    </row>
    <row r="363" ht="15.75" customHeight="1">
      <c r="A363" s="86" t="s">
        <v>398</v>
      </c>
      <c r="B363" s="87" t="s">
        <v>513</v>
      </c>
      <c r="C363" s="88" t="s">
        <v>1525</v>
      </c>
      <c r="D363" s="89" t="s">
        <v>1526</v>
      </c>
      <c r="E363" s="87" t="s">
        <v>96</v>
      </c>
      <c r="F363" s="88"/>
      <c r="G363" s="90" t="s">
        <v>515</v>
      </c>
      <c r="H363" s="88" t="s">
        <v>39</v>
      </c>
      <c r="I363" s="88" t="s">
        <v>27</v>
      </c>
      <c r="J363" s="87" t="s">
        <v>513</v>
      </c>
      <c r="K363" s="88"/>
      <c r="L363" s="88"/>
      <c r="M363" s="88"/>
      <c r="N363" s="88"/>
      <c r="O363" s="88"/>
      <c r="P363" s="88"/>
      <c r="Q363" s="88"/>
      <c r="R363" s="88"/>
      <c r="S363" s="88"/>
      <c r="T363" s="88"/>
      <c r="U363" s="89"/>
      <c r="V363" s="89"/>
      <c r="W363" s="89"/>
      <c r="X363" s="89"/>
      <c r="Y363" s="89"/>
      <c r="Z363" s="89"/>
      <c r="AA363" s="89"/>
      <c r="AB363" s="89"/>
      <c r="AC363" s="89"/>
      <c r="AD363" s="89"/>
      <c r="AE363" s="89"/>
      <c r="AF363" s="89"/>
      <c r="AG363" s="89"/>
      <c r="AH363" s="89"/>
      <c r="AI363" s="89"/>
      <c r="AJ363" s="89"/>
    </row>
    <row r="364" ht="15.75" hidden="1" customHeight="1">
      <c r="A364" s="7" t="s">
        <v>398</v>
      </c>
      <c r="B364" s="10" t="s">
        <v>513</v>
      </c>
      <c r="C364" s="15" t="s">
        <v>1527</v>
      </c>
      <c r="D364" s="9" t="s">
        <v>1528</v>
      </c>
      <c r="E364" s="10" t="s">
        <v>96</v>
      </c>
      <c r="F364" s="15"/>
      <c r="G364" s="10" t="s">
        <v>1529</v>
      </c>
      <c r="H364" s="15" t="s">
        <v>59</v>
      </c>
      <c r="I364" s="15" t="s">
        <v>151</v>
      </c>
      <c r="J364" s="10" t="s">
        <v>513</v>
      </c>
      <c r="K364" s="15" t="s">
        <v>1530</v>
      </c>
      <c r="L364" s="15"/>
      <c r="M364" s="15"/>
      <c r="N364" s="15"/>
      <c r="O364" s="15"/>
      <c r="P364" s="15"/>
      <c r="Q364" s="15"/>
      <c r="R364" s="15"/>
      <c r="S364" s="15"/>
      <c r="T364" s="15"/>
      <c r="U364" s="9"/>
      <c r="V364" s="9"/>
      <c r="W364" s="9"/>
      <c r="X364" s="9"/>
      <c r="Y364" s="9"/>
      <c r="Z364" s="9"/>
      <c r="AA364" s="9"/>
      <c r="AB364" s="9"/>
      <c r="AC364" s="9"/>
      <c r="AD364" s="9"/>
      <c r="AE364" s="9"/>
      <c r="AF364" s="9"/>
      <c r="AG364" s="9"/>
      <c r="AH364" s="9"/>
      <c r="AI364" s="9"/>
      <c r="AJ364" s="9"/>
    </row>
    <row r="365" ht="15.75" hidden="1" customHeight="1">
      <c r="A365" s="11" t="s">
        <v>398</v>
      </c>
      <c r="B365" s="25" t="s">
        <v>513</v>
      </c>
      <c r="C365" s="21" t="s">
        <v>1531</v>
      </c>
      <c r="D365" s="13" t="s">
        <v>1532</v>
      </c>
      <c r="E365" s="25" t="s">
        <v>96</v>
      </c>
      <c r="F365" s="21"/>
      <c r="G365" s="25" t="s">
        <v>1529</v>
      </c>
      <c r="H365" s="21" t="s">
        <v>59</v>
      </c>
      <c r="I365" s="21" t="s">
        <v>151</v>
      </c>
      <c r="J365" s="25" t="s">
        <v>513</v>
      </c>
      <c r="K365" s="21"/>
      <c r="L365" s="21"/>
      <c r="M365" s="21"/>
      <c r="N365" s="21"/>
      <c r="O365" s="21"/>
      <c r="P365" s="21"/>
      <c r="Q365" s="21"/>
      <c r="R365" s="21"/>
      <c r="S365" s="21"/>
      <c r="T365" s="21"/>
      <c r="U365" s="13"/>
      <c r="V365" s="13"/>
      <c r="W365" s="13"/>
      <c r="X365" s="13"/>
      <c r="Y365" s="13"/>
      <c r="Z365" s="13"/>
      <c r="AA365" s="13"/>
      <c r="AB365" s="13"/>
      <c r="AC365" s="13"/>
      <c r="AD365" s="13"/>
      <c r="AE365" s="13"/>
      <c r="AF365" s="13"/>
      <c r="AG365" s="13"/>
      <c r="AH365" s="13"/>
      <c r="AI365" s="13"/>
      <c r="AJ365" s="13"/>
    </row>
    <row r="366" ht="15.75" hidden="1" customHeight="1">
      <c r="A366" s="7" t="s">
        <v>398</v>
      </c>
      <c r="B366" s="10" t="s">
        <v>513</v>
      </c>
      <c r="C366" s="15" t="s">
        <v>1533</v>
      </c>
      <c r="D366" s="9" t="s">
        <v>1534</v>
      </c>
      <c r="E366" s="10" t="s">
        <v>96</v>
      </c>
      <c r="F366" s="15"/>
      <c r="G366" s="10" t="s">
        <v>1529</v>
      </c>
      <c r="H366" s="15" t="s">
        <v>59</v>
      </c>
      <c r="I366" s="15" t="s">
        <v>51</v>
      </c>
      <c r="J366" s="10" t="s">
        <v>513</v>
      </c>
      <c r="K366" s="15"/>
      <c r="L366" s="15"/>
      <c r="M366" s="15"/>
      <c r="N366" s="15"/>
      <c r="O366" s="15"/>
      <c r="P366" s="15"/>
      <c r="Q366" s="15"/>
      <c r="R366" s="15"/>
      <c r="S366" s="15"/>
      <c r="T366" s="15"/>
      <c r="U366" s="9"/>
      <c r="V366" s="9"/>
      <c r="W366" s="9"/>
      <c r="X366" s="9"/>
      <c r="Y366" s="9"/>
      <c r="Z366" s="9"/>
      <c r="AA366" s="9"/>
      <c r="AB366" s="9"/>
      <c r="AC366" s="9"/>
      <c r="AD366" s="9"/>
      <c r="AE366" s="9"/>
      <c r="AF366" s="9"/>
      <c r="AG366" s="9"/>
      <c r="AH366" s="9"/>
      <c r="AI366" s="9"/>
      <c r="AJ366" s="9"/>
    </row>
    <row r="367" ht="15.75" hidden="1" customHeight="1">
      <c r="A367" s="11" t="s">
        <v>398</v>
      </c>
      <c r="B367" s="25" t="s">
        <v>513</v>
      </c>
      <c r="C367" s="21" t="s">
        <v>1535</v>
      </c>
      <c r="D367" s="13" t="s">
        <v>1536</v>
      </c>
      <c r="E367" s="25" t="s">
        <v>96</v>
      </c>
      <c r="F367" s="21"/>
      <c r="G367" s="25" t="s">
        <v>1529</v>
      </c>
      <c r="H367" s="21" t="s">
        <v>59</v>
      </c>
      <c r="I367" s="21" t="s">
        <v>51</v>
      </c>
      <c r="J367" s="25" t="s">
        <v>513</v>
      </c>
      <c r="K367" s="21"/>
      <c r="L367" s="21"/>
      <c r="M367" s="21"/>
      <c r="N367" s="21"/>
      <c r="O367" s="21"/>
      <c r="P367" s="21"/>
      <c r="Q367" s="21"/>
      <c r="R367" s="21"/>
      <c r="S367" s="21"/>
      <c r="T367" s="21"/>
      <c r="U367" s="13"/>
      <c r="V367" s="13"/>
      <c r="W367" s="13"/>
      <c r="X367" s="13"/>
      <c r="Y367" s="13"/>
      <c r="Z367" s="13"/>
      <c r="AA367" s="13"/>
      <c r="AB367" s="13"/>
      <c r="AC367" s="13"/>
      <c r="AD367" s="13"/>
      <c r="AE367" s="13"/>
      <c r="AF367" s="13"/>
      <c r="AG367" s="13"/>
      <c r="AH367" s="13"/>
      <c r="AI367" s="13"/>
      <c r="AJ367" s="13"/>
    </row>
    <row r="368" ht="15.75" hidden="1" customHeight="1">
      <c r="A368" s="7" t="s">
        <v>398</v>
      </c>
      <c r="B368" s="10" t="s">
        <v>513</v>
      </c>
      <c r="C368" s="15" t="s">
        <v>1537</v>
      </c>
      <c r="D368" s="9" t="s">
        <v>1538</v>
      </c>
      <c r="E368" s="10" t="s">
        <v>96</v>
      </c>
      <c r="F368" s="15"/>
      <c r="G368" s="10" t="s">
        <v>1539</v>
      </c>
      <c r="H368" s="15" t="s">
        <v>59</v>
      </c>
      <c r="I368" s="15" t="s">
        <v>51</v>
      </c>
      <c r="J368" s="10" t="s">
        <v>513</v>
      </c>
      <c r="K368" s="15"/>
      <c r="L368" s="15"/>
      <c r="M368" s="15"/>
      <c r="N368" s="15"/>
      <c r="O368" s="15"/>
      <c r="P368" s="15"/>
      <c r="Q368" s="15"/>
      <c r="R368" s="15"/>
      <c r="S368" s="15"/>
      <c r="T368" s="15"/>
      <c r="U368" s="9"/>
      <c r="V368" s="9"/>
      <c r="W368" s="9"/>
      <c r="X368" s="9"/>
      <c r="Y368" s="9"/>
      <c r="Z368" s="9"/>
      <c r="AA368" s="9"/>
      <c r="AB368" s="9"/>
      <c r="AC368" s="9"/>
      <c r="AD368" s="9"/>
      <c r="AE368" s="9"/>
      <c r="AF368" s="9"/>
      <c r="AG368" s="9"/>
      <c r="AH368" s="9"/>
      <c r="AI368" s="9"/>
      <c r="AJ368" s="9"/>
    </row>
    <row r="369" ht="15.75" hidden="1" customHeight="1">
      <c r="A369" s="11" t="s">
        <v>398</v>
      </c>
      <c r="B369" s="25" t="s">
        <v>513</v>
      </c>
      <c r="C369" s="21" t="s">
        <v>1540</v>
      </c>
      <c r="D369" s="13" t="s">
        <v>1541</v>
      </c>
      <c r="E369" s="25" t="s">
        <v>96</v>
      </c>
      <c r="F369" s="21"/>
      <c r="G369" s="25" t="s">
        <v>1539</v>
      </c>
      <c r="H369" s="21" t="s">
        <v>59</v>
      </c>
      <c r="I369" s="21" t="s">
        <v>51</v>
      </c>
      <c r="J369" s="25" t="s">
        <v>513</v>
      </c>
      <c r="K369" s="13" t="s">
        <v>1542</v>
      </c>
      <c r="L369" s="21"/>
      <c r="M369" s="21"/>
      <c r="N369" s="21"/>
      <c r="O369" s="21"/>
      <c r="P369" s="21"/>
      <c r="Q369" s="21"/>
      <c r="R369" s="21"/>
      <c r="S369" s="21"/>
      <c r="T369" s="21"/>
      <c r="U369" s="13"/>
      <c r="V369" s="13"/>
      <c r="W369" s="13"/>
      <c r="X369" s="13"/>
      <c r="Y369" s="13"/>
      <c r="Z369" s="13"/>
      <c r="AA369" s="13"/>
      <c r="AB369" s="13"/>
      <c r="AC369" s="13"/>
      <c r="AD369" s="13"/>
      <c r="AE369" s="13"/>
      <c r="AF369" s="13"/>
      <c r="AG369" s="13"/>
      <c r="AH369" s="13"/>
      <c r="AI369" s="13"/>
      <c r="AJ369" s="13"/>
    </row>
    <row r="370" ht="15.75" hidden="1" customHeight="1">
      <c r="A370" s="7" t="s">
        <v>641</v>
      </c>
      <c r="B370" s="7"/>
      <c r="C370" s="7" t="s">
        <v>1543</v>
      </c>
      <c r="D370" s="9" t="s">
        <v>1544</v>
      </c>
      <c r="E370" s="7" t="s">
        <v>49</v>
      </c>
      <c r="F370" s="7"/>
      <c r="G370" s="16" t="s">
        <v>1545</v>
      </c>
      <c r="H370" s="9" t="s">
        <v>59</v>
      </c>
      <c r="I370" s="7" t="s">
        <v>151</v>
      </c>
      <c r="J370" s="7" t="s">
        <v>862</v>
      </c>
      <c r="K370" s="8"/>
      <c r="L370" s="8"/>
      <c r="M370" s="7"/>
      <c r="N370" s="7"/>
      <c r="O370" s="8"/>
      <c r="P370" s="7"/>
      <c r="Q370" s="7"/>
      <c r="R370" s="9"/>
      <c r="S370" s="17"/>
      <c r="T370" s="9"/>
      <c r="U370" s="9"/>
      <c r="V370" s="9"/>
      <c r="W370" s="9"/>
      <c r="X370" s="9"/>
      <c r="Y370" s="9"/>
      <c r="Z370" s="9"/>
      <c r="AA370" s="9"/>
      <c r="AB370" s="9"/>
      <c r="AC370" s="9"/>
      <c r="AD370" s="9"/>
      <c r="AE370" s="9"/>
      <c r="AF370" s="9"/>
      <c r="AG370" s="9"/>
      <c r="AH370" s="9"/>
      <c r="AI370" s="9"/>
      <c r="AJ370" s="9"/>
    </row>
    <row r="371" ht="15.75" hidden="1" customHeight="1">
      <c r="A371" s="11" t="s">
        <v>700</v>
      </c>
      <c r="B371" s="11" t="s">
        <v>700</v>
      </c>
      <c r="C371" s="11" t="s">
        <v>1546</v>
      </c>
      <c r="D371" s="13" t="s">
        <v>1547</v>
      </c>
      <c r="E371" s="11" t="s">
        <v>49</v>
      </c>
      <c r="F371" s="30" t="s">
        <v>1548</v>
      </c>
      <c r="G371" s="18" t="s">
        <v>772</v>
      </c>
      <c r="H371" s="13" t="s">
        <v>51</v>
      </c>
      <c r="I371" s="11" t="s">
        <v>51</v>
      </c>
      <c r="J371" s="11" t="s">
        <v>1549</v>
      </c>
      <c r="K371" s="12"/>
      <c r="L371" s="12"/>
      <c r="M371" s="11"/>
      <c r="N371" s="11"/>
      <c r="O371" s="12"/>
      <c r="P371" s="11" t="s">
        <v>256</v>
      </c>
      <c r="Q371" s="11"/>
      <c r="R371" s="13"/>
      <c r="S371" s="19"/>
      <c r="T371" s="13"/>
      <c r="U371" s="13"/>
      <c r="V371" s="13"/>
      <c r="W371" s="13"/>
      <c r="X371" s="13"/>
      <c r="Y371" s="13"/>
      <c r="Z371" s="13"/>
      <c r="AA371" s="13"/>
      <c r="AB371" s="13"/>
      <c r="AC371" s="13"/>
      <c r="AD371" s="13"/>
      <c r="AE371" s="13"/>
      <c r="AF371" s="13"/>
      <c r="AG371" s="13"/>
      <c r="AH371" s="13"/>
      <c r="AI371" s="13"/>
      <c r="AJ371" s="13"/>
    </row>
    <row r="372" ht="15.75" hidden="1" customHeight="1">
      <c r="A372" s="7" t="s">
        <v>641</v>
      </c>
      <c r="B372" s="7" t="s">
        <v>713</v>
      </c>
      <c r="C372" s="7" t="s">
        <v>1550</v>
      </c>
      <c r="D372" s="9" t="s">
        <v>1551</v>
      </c>
      <c r="E372" s="7" t="s">
        <v>25</v>
      </c>
      <c r="F372" s="7"/>
      <c r="G372" s="16" t="s">
        <v>1552</v>
      </c>
      <c r="H372" s="9"/>
      <c r="I372" s="7"/>
      <c r="J372" s="7"/>
      <c r="K372" s="8"/>
      <c r="L372" s="8"/>
      <c r="M372" s="7"/>
      <c r="N372" s="7"/>
      <c r="O372" s="8" t="s">
        <v>1553</v>
      </c>
      <c r="P372" s="7" t="s">
        <v>256</v>
      </c>
      <c r="Q372" s="7"/>
      <c r="R372" s="9"/>
      <c r="S372" s="17"/>
      <c r="T372" s="9"/>
      <c r="U372" s="9"/>
      <c r="V372" s="9"/>
      <c r="W372" s="9"/>
      <c r="X372" s="9"/>
      <c r="Y372" s="9"/>
      <c r="Z372" s="9"/>
      <c r="AA372" s="9"/>
      <c r="AB372" s="9"/>
      <c r="AC372" s="9"/>
      <c r="AD372" s="9"/>
      <c r="AE372" s="9"/>
      <c r="AF372" s="9"/>
      <c r="AG372" s="9"/>
      <c r="AH372" s="9"/>
      <c r="AI372" s="9"/>
      <c r="AJ372" s="9"/>
    </row>
    <row r="373" ht="15.75" hidden="1" customHeight="1">
      <c r="A373" s="11" t="s">
        <v>641</v>
      </c>
      <c r="B373" s="11" t="s">
        <v>713</v>
      </c>
      <c r="C373" s="11" t="s">
        <v>1554</v>
      </c>
      <c r="D373" s="13" t="s">
        <v>1555</v>
      </c>
      <c r="E373" s="11" t="s">
        <v>25</v>
      </c>
      <c r="F373" s="11"/>
      <c r="G373" s="18" t="s">
        <v>1556</v>
      </c>
      <c r="H373" s="13"/>
      <c r="I373" s="11"/>
      <c r="J373" s="11"/>
      <c r="K373" s="12"/>
      <c r="L373" s="12"/>
      <c r="M373" s="11"/>
      <c r="N373" s="11"/>
      <c r="O373" s="12" t="s">
        <v>1553</v>
      </c>
      <c r="P373" s="11" t="s">
        <v>256</v>
      </c>
      <c r="Q373" s="11"/>
      <c r="R373" s="13"/>
      <c r="S373" s="19"/>
      <c r="T373" s="13"/>
      <c r="U373" s="13"/>
      <c r="V373" s="13"/>
      <c r="W373" s="13"/>
      <c r="X373" s="13"/>
      <c r="Y373" s="13"/>
      <c r="Z373" s="13"/>
      <c r="AA373" s="13"/>
      <c r="AB373" s="13"/>
      <c r="AC373" s="13"/>
      <c r="AD373" s="13"/>
      <c r="AE373" s="13"/>
      <c r="AF373" s="13"/>
      <c r="AG373" s="13"/>
      <c r="AH373" s="13"/>
      <c r="AI373" s="13"/>
      <c r="AJ373" s="13"/>
    </row>
    <row r="374" ht="15.75" hidden="1" customHeight="1">
      <c r="A374" s="7" t="s">
        <v>700</v>
      </c>
      <c r="B374" s="7" t="s">
        <v>713</v>
      </c>
      <c r="C374" s="7" t="s">
        <v>1557</v>
      </c>
      <c r="D374" s="9" t="s">
        <v>1558</v>
      </c>
      <c r="E374" s="7" t="s">
        <v>49</v>
      </c>
      <c r="F374" s="28" t="s">
        <v>1559</v>
      </c>
      <c r="G374" s="16" t="s">
        <v>822</v>
      </c>
      <c r="H374" s="9" t="s">
        <v>59</v>
      </c>
      <c r="I374" s="7" t="s">
        <v>151</v>
      </c>
      <c r="J374" s="7" t="s">
        <v>1560</v>
      </c>
      <c r="K374" s="8"/>
      <c r="L374" s="8"/>
      <c r="M374" s="7" t="s">
        <v>49</v>
      </c>
      <c r="N374" s="7"/>
      <c r="O374" s="69" t="s">
        <v>1561</v>
      </c>
      <c r="P374" s="7" t="s">
        <v>1562</v>
      </c>
      <c r="Q374" s="7"/>
      <c r="R374" s="9"/>
      <c r="S374" s="17"/>
      <c r="T374" s="9"/>
      <c r="U374" s="9"/>
      <c r="V374" s="9"/>
      <c r="W374" s="9"/>
      <c r="X374" s="9"/>
      <c r="Y374" s="9"/>
      <c r="Z374" s="9"/>
      <c r="AA374" s="9"/>
      <c r="AB374" s="9"/>
      <c r="AC374" s="9"/>
      <c r="AD374" s="9"/>
      <c r="AE374" s="9"/>
      <c r="AF374" s="9"/>
      <c r="AG374" s="9"/>
      <c r="AH374" s="9"/>
      <c r="AI374" s="9"/>
      <c r="AJ374" s="9"/>
    </row>
    <row r="375" ht="15.75" hidden="1" customHeight="1">
      <c r="A375" s="11"/>
      <c r="B375" s="11"/>
      <c r="C375" s="11"/>
      <c r="D375" s="13"/>
      <c r="E375" s="11"/>
      <c r="F375" s="11"/>
      <c r="G375" s="11"/>
      <c r="H375" s="13"/>
      <c r="I375" s="11"/>
      <c r="J375" s="11"/>
      <c r="K375" s="12"/>
      <c r="L375" s="12"/>
      <c r="M375" s="11"/>
      <c r="N375" s="11"/>
      <c r="O375" s="12"/>
      <c r="P375" s="11"/>
      <c r="Q375" s="11"/>
      <c r="R375" s="13"/>
      <c r="S375" s="19"/>
      <c r="T375" s="13"/>
      <c r="U375" s="13"/>
      <c r="V375" s="13"/>
      <c r="W375" s="13"/>
      <c r="X375" s="13"/>
      <c r="Y375" s="13"/>
      <c r="Z375" s="13"/>
      <c r="AA375" s="13"/>
      <c r="AB375" s="13"/>
      <c r="AC375" s="13"/>
      <c r="AD375" s="13"/>
      <c r="AE375" s="13"/>
      <c r="AF375" s="13"/>
      <c r="AG375" s="13"/>
      <c r="AH375" s="13"/>
      <c r="AI375" s="13"/>
      <c r="AJ375" s="13"/>
    </row>
    <row r="376" ht="15.75" hidden="1" customHeight="1">
      <c r="A376" s="7"/>
      <c r="B376" s="7"/>
      <c r="C376" s="7"/>
      <c r="D376" s="9"/>
      <c r="E376" s="7"/>
      <c r="F376" s="7"/>
      <c r="G376" s="7"/>
      <c r="H376" s="9"/>
      <c r="I376" s="7"/>
      <c r="J376" s="7"/>
      <c r="K376" s="8"/>
      <c r="L376" s="8"/>
      <c r="M376" s="7"/>
      <c r="N376" s="7"/>
      <c r="O376" s="8"/>
      <c r="P376" s="7"/>
      <c r="Q376" s="7"/>
      <c r="R376" s="9"/>
      <c r="S376" s="17"/>
      <c r="T376" s="9"/>
      <c r="U376" s="9"/>
      <c r="V376" s="9"/>
      <c r="W376" s="9"/>
      <c r="X376" s="9"/>
      <c r="Y376" s="9"/>
      <c r="Z376" s="9"/>
      <c r="AA376" s="9"/>
      <c r="AB376" s="9"/>
      <c r="AC376" s="9"/>
      <c r="AD376" s="9"/>
      <c r="AE376" s="9"/>
      <c r="AF376" s="9"/>
      <c r="AG376" s="9"/>
      <c r="AH376" s="9"/>
      <c r="AI376" s="9"/>
      <c r="AJ376" s="9"/>
    </row>
    <row r="377" ht="15.75" hidden="1" customHeight="1">
      <c r="A377" s="11"/>
      <c r="B377" s="11"/>
      <c r="C377" s="11"/>
      <c r="D377" s="13"/>
      <c r="E377" s="11"/>
      <c r="F377" s="11"/>
      <c r="G377" s="11"/>
      <c r="H377" s="13"/>
      <c r="I377" s="11"/>
      <c r="J377" s="11"/>
      <c r="K377" s="12"/>
      <c r="L377" s="12"/>
      <c r="M377" s="11"/>
      <c r="N377" s="11"/>
      <c r="O377" s="12"/>
      <c r="P377" s="11"/>
      <c r="Q377" s="11"/>
      <c r="R377" s="13"/>
      <c r="S377" s="19"/>
      <c r="T377" s="13"/>
      <c r="U377" s="13"/>
      <c r="V377" s="13"/>
      <c r="W377" s="13"/>
      <c r="X377" s="13"/>
      <c r="Y377" s="13"/>
      <c r="Z377" s="13"/>
      <c r="AA377" s="13"/>
      <c r="AB377" s="13"/>
      <c r="AC377" s="13"/>
      <c r="AD377" s="13"/>
      <c r="AE377" s="13"/>
      <c r="AF377" s="13"/>
      <c r="AG377" s="13"/>
      <c r="AH377" s="13"/>
      <c r="AI377" s="13"/>
      <c r="AJ377" s="13"/>
    </row>
    <row r="378" ht="15.75" hidden="1" customHeight="1">
      <c r="A378" s="7"/>
      <c r="B378" s="7"/>
      <c r="C378" s="7"/>
      <c r="D378" s="9"/>
      <c r="E378" s="7"/>
      <c r="F378" s="7"/>
      <c r="G378" s="7"/>
      <c r="H378" s="9"/>
      <c r="I378" s="7"/>
      <c r="J378" s="7"/>
      <c r="K378" s="8"/>
      <c r="L378" s="8"/>
      <c r="M378" s="7"/>
      <c r="N378" s="7"/>
      <c r="O378" s="8"/>
      <c r="P378" s="7"/>
      <c r="Q378" s="7"/>
      <c r="R378" s="9"/>
      <c r="S378" s="17"/>
      <c r="T378" s="9"/>
      <c r="U378" s="9"/>
      <c r="V378" s="9"/>
      <c r="W378" s="9"/>
      <c r="X378" s="9"/>
      <c r="Y378" s="9"/>
      <c r="Z378" s="9"/>
      <c r="AA378" s="9"/>
      <c r="AB378" s="9"/>
      <c r="AC378" s="9"/>
      <c r="AD378" s="9"/>
      <c r="AE378" s="9"/>
      <c r="AF378" s="9"/>
      <c r="AG378" s="9"/>
      <c r="AH378" s="9"/>
      <c r="AI378" s="9"/>
      <c r="AJ378" s="9"/>
    </row>
    <row r="379" ht="15.75" hidden="1" customHeight="1">
      <c r="A379" s="11"/>
      <c r="B379" s="11"/>
      <c r="C379" s="11"/>
      <c r="D379" s="13"/>
      <c r="E379" s="11"/>
      <c r="F379" s="11"/>
      <c r="G379" s="11"/>
      <c r="H379" s="13"/>
      <c r="I379" s="11"/>
      <c r="J379" s="11"/>
      <c r="K379" s="12"/>
      <c r="L379" s="12"/>
      <c r="M379" s="11"/>
      <c r="N379" s="11"/>
      <c r="O379" s="12"/>
      <c r="P379" s="11"/>
      <c r="Q379" s="11"/>
      <c r="R379" s="13"/>
      <c r="S379" s="19"/>
      <c r="T379" s="13"/>
      <c r="U379" s="13"/>
      <c r="V379" s="13"/>
      <c r="W379" s="13"/>
      <c r="X379" s="13"/>
      <c r="Y379" s="13"/>
      <c r="Z379" s="13"/>
      <c r="AA379" s="13"/>
      <c r="AB379" s="13"/>
      <c r="AC379" s="13"/>
      <c r="AD379" s="13"/>
      <c r="AE379" s="13"/>
      <c r="AF379" s="13"/>
      <c r="AG379" s="13"/>
      <c r="AH379" s="13"/>
      <c r="AI379" s="13"/>
      <c r="AJ379" s="13"/>
    </row>
    <row r="380" ht="15.75" hidden="1" customHeight="1">
      <c r="A380" s="7"/>
      <c r="B380" s="7"/>
      <c r="C380" s="7"/>
      <c r="D380" s="9"/>
      <c r="E380" s="7"/>
      <c r="F380" s="7"/>
      <c r="G380" s="7"/>
      <c r="H380" s="9"/>
      <c r="I380" s="7"/>
      <c r="J380" s="7"/>
      <c r="K380" s="8"/>
      <c r="L380" s="8"/>
      <c r="M380" s="7"/>
      <c r="N380" s="7"/>
      <c r="O380" s="8"/>
      <c r="P380" s="7"/>
      <c r="Q380" s="7"/>
      <c r="R380" s="9"/>
      <c r="S380" s="17"/>
      <c r="T380" s="9"/>
      <c r="U380" s="9"/>
      <c r="V380" s="9"/>
      <c r="W380" s="9"/>
      <c r="X380" s="9"/>
      <c r="Y380" s="9"/>
      <c r="Z380" s="9"/>
      <c r="AA380" s="9"/>
      <c r="AB380" s="9"/>
      <c r="AC380" s="9"/>
      <c r="AD380" s="9"/>
      <c r="AE380" s="9"/>
      <c r="AF380" s="9"/>
      <c r="AG380" s="9"/>
      <c r="AH380" s="9"/>
      <c r="AI380" s="9"/>
      <c r="AJ380" s="9"/>
    </row>
    <row r="381" ht="15.75" hidden="1" customHeight="1">
      <c r="A381" s="11"/>
      <c r="B381" s="11"/>
      <c r="C381" s="11"/>
      <c r="D381" s="13"/>
      <c r="E381" s="11"/>
      <c r="F381" s="11"/>
      <c r="G381" s="11"/>
      <c r="H381" s="13"/>
      <c r="I381" s="11"/>
      <c r="J381" s="11"/>
      <c r="K381" s="12"/>
      <c r="L381" s="12"/>
      <c r="M381" s="11"/>
      <c r="N381" s="11"/>
      <c r="O381" s="12"/>
      <c r="P381" s="11"/>
      <c r="Q381" s="11"/>
      <c r="R381" s="13"/>
      <c r="S381" s="19"/>
      <c r="T381" s="13"/>
      <c r="U381" s="13"/>
      <c r="V381" s="13"/>
      <c r="W381" s="13"/>
      <c r="X381" s="13"/>
      <c r="Y381" s="13"/>
      <c r="Z381" s="13"/>
      <c r="AA381" s="13"/>
      <c r="AB381" s="13"/>
      <c r="AC381" s="13"/>
      <c r="AD381" s="13"/>
      <c r="AE381" s="13"/>
      <c r="AF381" s="13"/>
      <c r="AG381" s="13"/>
      <c r="AH381" s="13"/>
      <c r="AI381" s="13"/>
      <c r="AJ381" s="13"/>
    </row>
    <row r="382" ht="15.75" hidden="1" customHeight="1">
      <c r="A382" s="7"/>
      <c r="B382" s="7"/>
      <c r="C382" s="7"/>
      <c r="D382" s="9"/>
      <c r="E382" s="7"/>
      <c r="F382" s="7"/>
      <c r="G382" s="7"/>
      <c r="H382" s="9"/>
      <c r="I382" s="7"/>
      <c r="J382" s="7"/>
      <c r="K382" s="8"/>
      <c r="L382" s="8"/>
      <c r="M382" s="7"/>
      <c r="N382" s="7"/>
      <c r="O382" s="8"/>
      <c r="P382" s="7"/>
      <c r="Q382" s="7"/>
      <c r="R382" s="9"/>
      <c r="S382" s="17"/>
      <c r="T382" s="9"/>
      <c r="U382" s="9"/>
      <c r="V382" s="9"/>
      <c r="W382" s="9"/>
      <c r="X382" s="9"/>
      <c r="Y382" s="9"/>
      <c r="Z382" s="9"/>
      <c r="AA382" s="9"/>
      <c r="AB382" s="9"/>
      <c r="AC382" s="9"/>
      <c r="AD382" s="9"/>
      <c r="AE382" s="9"/>
      <c r="AF382" s="9"/>
      <c r="AG382" s="9"/>
      <c r="AH382" s="9"/>
      <c r="AI382" s="9"/>
      <c r="AJ382" s="9"/>
    </row>
    <row r="383" ht="15.75" hidden="1" customHeight="1">
      <c r="A383" s="11"/>
      <c r="B383" s="11"/>
      <c r="C383" s="11"/>
      <c r="D383" s="13"/>
      <c r="E383" s="11"/>
      <c r="F383" s="11"/>
      <c r="G383" s="11"/>
      <c r="H383" s="13"/>
      <c r="I383" s="11"/>
      <c r="J383" s="11"/>
      <c r="K383" s="12"/>
      <c r="L383" s="12"/>
      <c r="M383" s="11"/>
      <c r="N383" s="11"/>
      <c r="O383" s="12"/>
      <c r="P383" s="11"/>
      <c r="Q383" s="11"/>
      <c r="R383" s="13"/>
      <c r="S383" s="19"/>
      <c r="T383" s="13"/>
      <c r="U383" s="13"/>
      <c r="V383" s="13"/>
      <c r="W383" s="13"/>
      <c r="X383" s="13"/>
      <c r="Y383" s="13"/>
      <c r="Z383" s="13"/>
      <c r="AA383" s="13"/>
      <c r="AB383" s="13"/>
      <c r="AC383" s="13"/>
      <c r="AD383" s="13"/>
      <c r="AE383" s="13"/>
      <c r="AF383" s="13"/>
      <c r="AG383" s="13"/>
      <c r="AH383" s="13"/>
      <c r="AI383" s="13"/>
      <c r="AJ383" s="13"/>
    </row>
    <row r="384" ht="15.75" hidden="1" customHeight="1">
      <c r="A384" s="7"/>
      <c r="B384" s="7"/>
      <c r="C384" s="7"/>
      <c r="D384" s="9"/>
      <c r="E384" s="7"/>
      <c r="F384" s="7"/>
      <c r="G384" s="7"/>
      <c r="H384" s="9"/>
      <c r="I384" s="7"/>
      <c r="J384" s="7"/>
      <c r="K384" s="8"/>
      <c r="L384" s="8"/>
      <c r="M384" s="7"/>
      <c r="N384" s="7"/>
      <c r="O384" s="8"/>
      <c r="P384" s="7"/>
      <c r="Q384" s="7"/>
      <c r="R384" s="9"/>
      <c r="S384" s="17"/>
      <c r="T384" s="9"/>
      <c r="U384" s="9"/>
      <c r="V384" s="9"/>
      <c r="W384" s="9"/>
      <c r="X384" s="9"/>
      <c r="Y384" s="9"/>
      <c r="Z384" s="9"/>
      <c r="AA384" s="9"/>
      <c r="AB384" s="9"/>
      <c r="AC384" s="9"/>
      <c r="AD384" s="9"/>
      <c r="AE384" s="9"/>
      <c r="AF384" s="9"/>
      <c r="AG384" s="9"/>
      <c r="AH384" s="9"/>
      <c r="AI384" s="9"/>
      <c r="AJ384" s="9"/>
    </row>
    <row r="385" ht="15.75" hidden="1" customHeight="1">
      <c r="A385" s="11"/>
      <c r="B385" s="11"/>
      <c r="C385" s="11"/>
      <c r="D385" s="13"/>
      <c r="E385" s="11"/>
      <c r="F385" s="11"/>
      <c r="G385" s="11"/>
      <c r="H385" s="13"/>
      <c r="I385" s="11"/>
      <c r="J385" s="11"/>
      <c r="K385" s="12"/>
      <c r="L385" s="12"/>
      <c r="M385" s="11"/>
      <c r="N385" s="11"/>
      <c r="O385" s="12"/>
      <c r="P385" s="11"/>
      <c r="Q385" s="11"/>
      <c r="R385" s="13"/>
      <c r="S385" s="19"/>
      <c r="T385" s="13"/>
      <c r="U385" s="13"/>
      <c r="V385" s="13"/>
      <c r="W385" s="13"/>
      <c r="X385" s="13"/>
      <c r="Y385" s="13"/>
      <c r="Z385" s="13"/>
      <c r="AA385" s="13"/>
      <c r="AB385" s="13"/>
      <c r="AC385" s="13"/>
      <c r="AD385" s="13"/>
      <c r="AE385" s="13"/>
      <c r="AF385" s="13"/>
      <c r="AG385" s="13"/>
      <c r="AH385" s="13"/>
      <c r="AI385" s="13"/>
      <c r="AJ385" s="13"/>
    </row>
    <row r="386" ht="15.75" hidden="1" customHeight="1">
      <c r="A386" s="7"/>
      <c r="B386" s="7"/>
      <c r="C386" s="7"/>
      <c r="D386" s="9"/>
      <c r="E386" s="7"/>
      <c r="F386" s="7"/>
      <c r="G386" s="7"/>
      <c r="H386" s="9"/>
      <c r="I386" s="7"/>
      <c r="J386" s="7"/>
      <c r="K386" s="8"/>
      <c r="L386" s="8"/>
      <c r="M386" s="7"/>
      <c r="N386" s="7"/>
      <c r="O386" s="8"/>
      <c r="P386" s="7"/>
      <c r="Q386" s="7"/>
      <c r="R386" s="9"/>
      <c r="S386" s="17"/>
      <c r="T386" s="9"/>
      <c r="U386" s="9"/>
      <c r="V386" s="9"/>
      <c r="W386" s="9"/>
      <c r="X386" s="9"/>
      <c r="Y386" s="9"/>
      <c r="Z386" s="9"/>
      <c r="AA386" s="9"/>
      <c r="AB386" s="9"/>
      <c r="AC386" s="9"/>
      <c r="AD386" s="9"/>
      <c r="AE386" s="9"/>
      <c r="AF386" s="9"/>
      <c r="AG386" s="9"/>
      <c r="AH386" s="9"/>
      <c r="AI386" s="9"/>
      <c r="AJ386" s="9"/>
    </row>
    <row r="387" ht="15.75" hidden="1" customHeight="1">
      <c r="A387" s="11"/>
      <c r="B387" s="11"/>
      <c r="C387" s="11"/>
      <c r="D387" s="13"/>
      <c r="E387" s="11"/>
      <c r="F387" s="11"/>
      <c r="G387" s="11"/>
      <c r="H387" s="13"/>
      <c r="I387" s="11"/>
      <c r="J387" s="11"/>
      <c r="K387" s="12"/>
      <c r="L387" s="12"/>
      <c r="M387" s="11"/>
      <c r="N387" s="11"/>
      <c r="O387" s="12"/>
      <c r="P387" s="11"/>
      <c r="Q387" s="11"/>
      <c r="R387" s="13"/>
      <c r="S387" s="19"/>
      <c r="T387" s="13"/>
      <c r="U387" s="13"/>
      <c r="V387" s="13"/>
      <c r="W387" s="13"/>
      <c r="X387" s="13"/>
      <c r="Y387" s="13"/>
      <c r="Z387" s="13"/>
      <c r="AA387" s="13"/>
      <c r="AB387" s="13"/>
      <c r="AC387" s="13"/>
      <c r="AD387" s="13"/>
      <c r="AE387" s="13"/>
      <c r="AF387" s="13"/>
      <c r="AG387" s="13"/>
      <c r="AH387" s="13"/>
      <c r="AI387" s="13"/>
      <c r="AJ387" s="13"/>
    </row>
    <row r="388" ht="15.75" hidden="1" customHeight="1">
      <c r="A388" s="7"/>
      <c r="B388" s="7"/>
      <c r="C388" s="7"/>
      <c r="D388" s="9"/>
      <c r="E388" s="7"/>
      <c r="F388" s="7"/>
      <c r="G388" s="7"/>
      <c r="H388" s="9"/>
      <c r="I388" s="7"/>
      <c r="J388" s="7"/>
      <c r="K388" s="8"/>
      <c r="L388" s="8"/>
      <c r="M388" s="7"/>
      <c r="N388" s="7"/>
      <c r="O388" s="8"/>
      <c r="P388" s="7"/>
      <c r="Q388" s="7"/>
      <c r="R388" s="9"/>
      <c r="S388" s="17"/>
      <c r="T388" s="9"/>
      <c r="U388" s="9"/>
      <c r="V388" s="9"/>
      <c r="W388" s="9"/>
      <c r="X388" s="9"/>
      <c r="Y388" s="9"/>
      <c r="Z388" s="9"/>
      <c r="AA388" s="9"/>
      <c r="AB388" s="9"/>
      <c r="AC388" s="9"/>
      <c r="AD388" s="9"/>
      <c r="AE388" s="9"/>
      <c r="AF388" s="9"/>
      <c r="AG388" s="9"/>
      <c r="AH388" s="9"/>
      <c r="AI388" s="9"/>
      <c r="AJ388" s="9"/>
    </row>
    <row r="389" ht="15.75" hidden="1" customHeight="1">
      <c r="A389" s="11"/>
      <c r="B389" s="11"/>
      <c r="C389" s="11"/>
      <c r="D389" s="13"/>
      <c r="E389" s="11"/>
      <c r="F389" s="11"/>
      <c r="G389" s="11"/>
      <c r="H389" s="13"/>
      <c r="I389" s="11"/>
      <c r="J389" s="11"/>
      <c r="K389" s="12"/>
      <c r="L389" s="12"/>
      <c r="M389" s="11"/>
      <c r="N389" s="11"/>
      <c r="O389" s="12"/>
      <c r="P389" s="11"/>
      <c r="Q389" s="11"/>
      <c r="R389" s="13"/>
      <c r="S389" s="19"/>
      <c r="T389" s="13"/>
      <c r="U389" s="13"/>
      <c r="V389" s="13"/>
      <c r="W389" s="13"/>
      <c r="X389" s="13"/>
      <c r="Y389" s="13"/>
      <c r="Z389" s="13"/>
      <c r="AA389" s="13"/>
      <c r="AB389" s="13"/>
      <c r="AC389" s="13"/>
      <c r="AD389" s="13"/>
      <c r="AE389" s="13"/>
      <c r="AF389" s="13"/>
      <c r="AG389" s="13"/>
      <c r="AH389" s="13"/>
      <c r="AI389" s="13"/>
      <c r="AJ389" s="13"/>
    </row>
    <row r="390" ht="15.75" hidden="1" customHeight="1">
      <c r="A390" s="7"/>
      <c r="B390" s="7"/>
      <c r="C390" s="7"/>
      <c r="D390" s="9"/>
      <c r="E390" s="7"/>
      <c r="F390" s="7"/>
      <c r="G390" s="7"/>
      <c r="H390" s="9"/>
      <c r="I390" s="7"/>
      <c r="J390" s="7"/>
      <c r="K390" s="8"/>
      <c r="L390" s="8"/>
      <c r="M390" s="7"/>
      <c r="N390" s="7"/>
      <c r="O390" s="8"/>
      <c r="P390" s="7"/>
      <c r="Q390" s="7"/>
      <c r="R390" s="9"/>
      <c r="S390" s="17"/>
      <c r="T390" s="9"/>
      <c r="U390" s="9"/>
      <c r="V390" s="9"/>
      <c r="W390" s="9"/>
      <c r="X390" s="9"/>
      <c r="Y390" s="9"/>
      <c r="Z390" s="9"/>
      <c r="AA390" s="9"/>
      <c r="AB390" s="9"/>
      <c r="AC390" s="9"/>
      <c r="AD390" s="9"/>
      <c r="AE390" s="9"/>
      <c r="AF390" s="9"/>
      <c r="AG390" s="9"/>
      <c r="AH390" s="9"/>
      <c r="AI390" s="9"/>
      <c r="AJ390" s="9"/>
    </row>
    <row r="391" ht="15.75" hidden="1" customHeight="1">
      <c r="A391" s="11"/>
      <c r="B391" s="11"/>
      <c r="C391" s="11"/>
      <c r="D391" s="13"/>
      <c r="E391" s="11"/>
      <c r="F391" s="11"/>
      <c r="G391" s="11"/>
      <c r="H391" s="13"/>
      <c r="I391" s="11"/>
      <c r="J391" s="11"/>
      <c r="K391" s="12"/>
      <c r="L391" s="12"/>
      <c r="M391" s="11"/>
      <c r="N391" s="11"/>
      <c r="O391" s="12"/>
      <c r="P391" s="11"/>
      <c r="Q391" s="11"/>
      <c r="R391" s="13"/>
      <c r="S391" s="19"/>
      <c r="T391" s="13"/>
      <c r="U391" s="13"/>
      <c r="V391" s="13"/>
      <c r="W391" s="13"/>
      <c r="X391" s="13"/>
      <c r="Y391" s="13"/>
      <c r="Z391" s="13"/>
      <c r="AA391" s="13"/>
      <c r="AB391" s="13"/>
      <c r="AC391" s="13"/>
      <c r="AD391" s="13"/>
      <c r="AE391" s="13"/>
      <c r="AF391" s="13"/>
      <c r="AG391" s="13"/>
      <c r="AH391" s="13"/>
      <c r="AI391" s="13"/>
      <c r="AJ391" s="13"/>
    </row>
    <row r="392" ht="15.75" hidden="1" customHeight="1">
      <c r="A392" s="7"/>
      <c r="B392" s="7"/>
      <c r="C392" s="7"/>
      <c r="D392" s="9"/>
      <c r="E392" s="7"/>
      <c r="F392" s="7"/>
      <c r="G392" s="7"/>
      <c r="H392" s="9"/>
      <c r="I392" s="7"/>
      <c r="J392" s="7"/>
      <c r="K392" s="8"/>
      <c r="L392" s="8"/>
      <c r="M392" s="7"/>
      <c r="N392" s="7"/>
      <c r="O392" s="8"/>
      <c r="P392" s="7"/>
      <c r="Q392" s="7"/>
      <c r="R392" s="9"/>
      <c r="S392" s="17"/>
      <c r="T392" s="9"/>
      <c r="U392" s="9"/>
      <c r="V392" s="9"/>
      <c r="W392" s="9"/>
      <c r="X392" s="9"/>
      <c r="Y392" s="9"/>
      <c r="Z392" s="9"/>
      <c r="AA392" s="9"/>
      <c r="AB392" s="9"/>
      <c r="AC392" s="9"/>
      <c r="AD392" s="9"/>
      <c r="AE392" s="9"/>
      <c r="AF392" s="9"/>
      <c r="AG392" s="9"/>
      <c r="AH392" s="9"/>
      <c r="AI392" s="9"/>
      <c r="AJ392" s="9"/>
    </row>
    <row r="393" ht="15.75" hidden="1" customHeight="1">
      <c r="A393" s="11"/>
      <c r="B393" s="11"/>
      <c r="C393" s="11"/>
      <c r="D393" s="13"/>
      <c r="E393" s="11"/>
      <c r="F393" s="11"/>
      <c r="G393" s="11"/>
      <c r="H393" s="13"/>
      <c r="I393" s="11"/>
      <c r="J393" s="11"/>
      <c r="K393" s="12"/>
      <c r="L393" s="12"/>
      <c r="M393" s="11"/>
      <c r="N393" s="11"/>
      <c r="O393" s="12"/>
      <c r="P393" s="11"/>
      <c r="Q393" s="11"/>
      <c r="R393" s="13"/>
      <c r="S393" s="19"/>
      <c r="T393" s="13"/>
      <c r="U393" s="13"/>
      <c r="V393" s="13"/>
      <c r="W393" s="13"/>
      <c r="X393" s="13"/>
      <c r="Y393" s="13"/>
      <c r="Z393" s="13"/>
      <c r="AA393" s="13"/>
      <c r="AB393" s="13"/>
      <c r="AC393" s="13"/>
      <c r="AD393" s="13"/>
      <c r="AE393" s="13"/>
      <c r="AF393" s="13"/>
      <c r="AG393" s="13"/>
      <c r="AH393" s="13"/>
      <c r="AI393" s="13"/>
      <c r="AJ393" s="13"/>
    </row>
    <row r="394" ht="15.75" hidden="1" customHeight="1">
      <c r="A394" s="7"/>
      <c r="B394" s="7"/>
      <c r="C394" s="7"/>
      <c r="D394" s="9"/>
      <c r="E394" s="7"/>
      <c r="F394" s="7"/>
      <c r="G394" s="7"/>
      <c r="H394" s="9"/>
      <c r="I394" s="7"/>
      <c r="J394" s="7"/>
      <c r="K394" s="8"/>
      <c r="L394" s="8"/>
      <c r="M394" s="7"/>
      <c r="N394" s="7"/>
      <c r="O394" s="8"/>
      <c r="P394" s="7"/>
      <c r="Q394" s="7"/>
      <c r="R394" s="9"/>
      <c r="S394" s="17"/>
      <c r="T394" s="9"/>
      <c r="U394" s="9"/>
      <c r="V394" s="9"/>
      <c r="W394" s="9"/>
      <c r="X394" s="9"/>
      <c r="Y394" s="9"/>
      <c r="Z394" s="9"/>
      <c r="AA394" s="9"/>
      <c r="AB394" s="9"/>
      <c r="AC394" s="9"/>
      <c r="AD394" s="9"/>
      <c r="AE394" s="9"/>
      <c r="AF394" s="9"/>
      <c r="AG394" s="9"/>
      <c r="AH394" s="9"/>
      <c r="AI394" s="9"/>
      <c r="AJ394" s="9"/>
    </row>
    <row r="395" ht="15.75" hidden="1" customHeight="1">
      <c r="A395" s="11"/>
      <c r="B395" s="11"/>
      <c r="C395" s="11"/>
      <c r="D395" s="13"/>
      <c r="E395" s="11"/>
      <c r="F395" s="11"/>
      <c r="G395" s="11"/>
      <c r="H395" s="13"/>
      <c r="I395" s="11"/>
      <c r="J395" s="11"/>
      <c r="K395" s="12"/>
      <c r="L395" s="12"/>
      <c r="M395" s="11"/>
      <c r="N395" s="11"/>
      <c r="O395" s="12"/>
      <c r="P395" s="11"/>
      <c r="Q395" s="11"/>
      <c r="R395" s="13"/>
      <c r="S395" s="19"/>
      <c r="T395" s="13"/>
      <c r="U395" s="13"/>
      <c r="V395" s="13"/>
      <c r="W395" s="13"/>
      <c r="X395" s="13"/>
      <c r="Y395" s="13"/>
      <c r="Z395" s="13"/>
      <c r="AA395" s="13"/>
      <c r="AB395" s="13"/>
      <c r="AC395" s="13"/>
      <c r="AD395" s="13"/>
      <c r="AE395" s="13"/>
      <c r="AF395" s="13"/>
      <c r="AG395" s="13"/>
      <c r="AH395" s="13"/>
      <c r="AI395" s="13"/>
      <c r="AJ395" s="13"/>
    </row>
    <row r="396" ht="15.75" hidden="1" customHeight="1">
      <c r="A396" s="7"/>
      <c r="B396" s="7"/>
      <c r="C396" s="7"/>
      <c r="D396" s="9"/>
      <c r="E396" s="7"/>
      <c r="F396" s="7"/>
      <c r="G396" s="7"/>
      <c r="H396" s="9"/>
      <c r="I396" s="7"/>
      <c r="J396" s="7"/>
      <c r="K396" s="8"/>
      <c r="L396" s="8"/>
      <c r="M396" s="7"/>
      <c r="N396" s="7"/>
      <c r="O396" s="8"/>
      <c r="P396" s="7"/>
      <c r="Q396" s="7"/>
      <c r="R396" s="9"/>
      <c r="S396" s="17"/>
      <c r="T396" s="9"/>
      <c r="U396" s="9"/>
      <c r="V396" s="9"/>
      <c r="W396" s="9"/>
      <c r="X396" s="9"/>
      <c r="Y396" s="9"/>
      <c r="Z396" s="9"/>
      <c r="AA396" s="9"/>
      <c r="AB396" s="9"/>
      <c r="AC396" s="9"/>
      <c r="AD396" s="9"/>
      <c r="AE396" s="9"/>
      <c r="AF396" s="9"/>
      <c r="AG396" s="9"/>
      <c r="AH396" s="9"/>
      <c r="AI396" s="9"/>
      <c r="AJ396" s="9"/>
    </row>
    <row r="397" ht="15.75" hidden="1" customHeight="1">
      <c r="A397" s="11"/>
      <c r="B397" s="11"/>
      <c r="C397" s="11"/>
      <c r="D397" s="13"/>
      <c r="E397" s="11"/>
      <c r="F397" s="11"/>
      <c r="G397" s="11"/>
      <c r="H397" s="13"/>
      <c r="I397" s="11"/>
      <c r="J397" s="11"/>
      <c r="K397" s="12"/>
      <c r="L397" s="12"/>
      <c r="M397" s="11"/>
      <c r="N397" s="11"/>
      <c r="O397" s="12"/>
      <c r="P397" s="11"/>
      <c r="Q397" s="11"/>
      <c r="R397" s="13"/>
      <c r="S397" s="19"/>
      <c r="T397" s="13"/>
      <c r="U397" s="13"/>
      <c r="V397" s="13"/>
      <c r="W397" s="13"/>
      <c r="X397" s="13"/>
      <c r="Y397" s="13"/>
      <c r="Z397" s="13"/>
      <c r="AA397" s="13"/>
      <c r="AB397" s="13"/>
      <c r="AC397" s="13"/>
      <c r="AD397" s="13"/>
      <c r="AE397" s="13"/>
      <c r="AF397" s="13"/>
      <c r="AG397" s="13"/>
      <c r="AH397" s="13"/>
      <c r="AI397" s="13"/>
      <c r="AJ397" s="13"/>
    </row>
    <row r="398" ht="15.75" hidden="1" customHeight="1">
      <c r="A398" s="7"/>
      <c r="B398" s="7"/>
      <c r="C398" s="7"/>
      <c r="D398" s="9"/>
      <c r="E398" s="7"/>
      <c r="F398" s="7"/>
      <c r="G398" s="7"/>
      <c r="H398" s="9"/>
      <c r="I398" s="7"/>
      <c r="J398" s="7"/>
      <c r="K398" s="8"/>
      <c r="L398" s="8"/>
      <c r="M398" s="7"/>
      <c r="N398" s="7"/>
      <c r="O398" s="8"/>
      <c r="P398" s="7"/>
      <c r="Q398" s="7"/>
      <c r="R398" s="9"/>
      <c r="S398" s="17"/>
      <c r="T398" s="9"/>
      <c r="U398" s="9"/>
      <c r="V398" s="9"/>
      <c r="W398" s="9"/>
      <c r="X398" s="9"/>
      <c r="Y398" s="9"/>
      <c r="Z398" s="9"/>
      <c r="AA398" s="9"/>
      <c r="AB398" s="9"/>
      <c r="AC398" s="9"/>
      <c r="AD398" s="9"/>
      <c r="AE398" s="9"/>
      <c r="AF398" s="9"/>
      <c r="AG398" s="9"/>
      <c r="AH398" s="9"/>
      <c r="AI398" s="9"/>
      <c r="AJ398" s="9"/>
    </row>
    <row r="399" ht="15.75" hidden="1" customHeight="1">
      <c r="A399" s="11"/>
      <c r="B399" s="11"/>
      <c r="C399" s="11"/>
      <c r="D399" s="13"/>
      <c r="E399" s="11"/>
      <c r="F399" s="11"/>
      <c r="G399" s="11"/>
      <c r="H399" s="13"/>
      <c r="I399" s="11"/>
      <c r="J399" s="11"/>
      <c r="K399" s="12"/>
      <c r="L399" s="12"/>
      <c r="M399" s="11"/>
      <c r="N399" s="11"/>
      <c r="O399" s="12"/>
      <c r="P399" s="11"/>
      <c r="Q399" s="11"/>
      <c r="R399" s="13"/>
      <c r="S399" s="19"/>
      <c r="T399" s="13"/>
      <c r="U399" s="13"/>
      <c r="V399" s="13"/>
      <c r="W399" s="13"/>
      <c r="X399" s="13"/>
      <c r="Y399" s="13"/>
      <c r="Z399" s="13"/>
      <c r="AA399" s="13"/>
      <c r="AB399" s="13"/>
      <c r="AC399" s="13"/>
      <c r="AD399" s="13"/>
      <c r="AE399" s="13"/>
      <c r="AF399" s="13"/>
      <c r="AG399" s="13"/>
      <c r="AH399" s="13"/>
      <c r="AI399" s="13"/>
      <c r="AJ399" s="13"/>
    </row>
    <row r="400" ht="15.75" hidden="1" customHeight="1">
      <c r="A400" s="7"/>
      <c r="B400" s="7"/>
      <c r="C400" s="7"/>
      <c r="D400" s="9"/>
      <c r="E400" s="7"/>
      <c r="F400" s="7"/>
      <c r="G400" s="7"/>
      <c r="H400" s="9"/>
      <c r="I400" s="7"/>
      <c r="J400" s="7"/>
      <c r="K400" s="8"/>
      <c r="L400" s="8"/>
      <c r="M400" s="7"/>
      <c r="N400" s="7"/>
      <c r="O400" s="8"/>
      <c r="P400" s="7"/>
      <c r="Q400" s="7"/>
      <c r="R400" s="9"/>
      <c r="S400" s="17"/>
      <c r="T400" s="9"/>
      <c r="U400" s="9"/>
      <c r="V400" s="9"/>
      <c r="W400" s="9"/>
      <c r="X400" s="9"/>
      <c r="Y400" s="9"/>
      <c r="Z400" s="9"/>
      <c r="AA400" s="9"/>
      <c r="AB400" s="9"/>
      <c r="AC400" s="9"/>
      <c r="AD400" s="9"/>
      <c r="AE400" s="9"/>
      <c r="AF400" s="9"/>
      <c r="AG400" s="9"/>
      <c r="AH400" s="9"/>
      <c r="AI400" s="9"/>
      <c r="AJ400" s="9"/>
    </row>
    <row r="401" ht="15.75" hidden="1" customHeight="1">
      <c r="A401" s="11"/>
      <c r="B401" s="11"/>
      <c r="C401" s="11"/>
      <c r="D401" s="13"/>
      <c r="E401" s="11"/>
      <c r="F401" s="11"/>
      <c r="G401" s="11"/>
      <c r="H401" s="13"/>
      <c r="I401" s="11"/>
      <c r="J401" s="11"/>
      <c r="K401" s="12"/>
      <c r="L401" s="12"/>
      <c r="M401" s="11"/>
      <c r="N401" s="11"/>
      <c r="O401" s="12"/>
      <c r="P401" s="11"/>
      <c r="Q401" s="11"/>
      <c r="R401" s="13"/>
      <c r="S401" s="19"/>
      <c r="T401" s="13"/>
      <c r="U401" s="13"/>
      <c r="V401" s="13"/>
      <c r="W401" s="13"/>
      <c r="X401" s="13"/>
      <c r="Y401" s="13"/>
      <c r="Z401" s="13"/>
      <c r="AA401" s="13"/>
      <c r="AB401" s="13"/>
      <c r="AC401" s="13"/>
      <c r="AD401" s="13"/>
      <c r="AE401" s="13"/>
      <c r="AF401" s="13"/>
      <c r="AG401" s="13"/>
      <c r="AH401" s="13"/>
      <c r="AI401" s="13"/>
      <c r="AJ401" s="13"/>
    </row>
    <row r="402" ht="15.75" hidden="1" customHeight="1">
      <c r="A402" s="7"/>
      <c r="B402" s="7"/>
      <c r="C402" s="7"/>
      <c r="D402" s="9"/>
      <c r="E402" s="7"/>
      <c r="F402" s="7"/>
      <c r="G402" s="7"/>
      <c r="H402" s="9"/>
      <c r="I402" s="7"/>
      <c r="J402" s="7"/>
      <c r="K402" s="8"/>
      <c r="L402" s="8"/>
      <c r="M402" s="7"/>
      <c r="N402" s="7"/>
      <c r="O402" s="8"/>
      <c r="P402" s="7"/>
      <c r="Q402" s="7"/>
      <c r="R402" s="9"/>
      <c r="S402" s="17"/>
      <c r="T402" s="9"/>
      <c r="U402" s="9"/>
      <c r="V402" s="9"/>
      <c r="W402" s="9"/>
      <c r="X402" s="9"/>
      <c r="Y402" s="9"/>
      <c r="Z402" s="9"/>
      <c r="AA402" s="9"/>
      <c r="AB402" s="9"/>
      <c r="AC402" s="9"/>
      <c r="AD402" s="9"/>
      <c r="AE402" s="9"/>
      <c r="AF402" s="9"/>
      <c r="AG402" s="9"/>
      <c r="AH402" s="9"/>
      <c r="AI402" s="9"/>
      <c r="AJ402" s="9"/>
    </row>
    <row r="403" ht="15.75" hidden="1" customHeight="1">
      <c r="A403" s="11"/>
      <c r="B403" s="11"/>
      <c r="C403" s="11"/>
      <c r="D403" s="13"/>
      <c r="E403" s="11"/>
      <c r="F403" s="11"/>
      <c r="G403" s="11"/>
      <c r="H403" s="13"/>
      <c r="I403" s="11"/>
      <c r="J403" s="11"/>
      <c r="K403" s="12"/>
      <c r="L403" s="12"/>
      <c r="M403" s="11"/>
      <c r="N403" s="11"/>
      <c r="O403" s="12"/>
      <c r="P403" s="11"/>
      <c r="Q403" s="11"/>
      <c r="R403" s="13"/>
      <c r="S403" s="19"/>
      <c r="T403" s="13"/>
      <c r="U403" s="13"/>
      <c r="V403" s="13"/>
      <c r="W403" s="13"/>
      <c r="X403" s="13"/>
      <c r="Y403" s="13"/>
      <c r="Z403" s="13"/>
      <c r="AA403" s="13"/>
      <c r="AB403" s="13"/>
      <c r="AC403" s="13"/>
      <c r="AD403" s="13"/>
      <c r="AE403" s="13"/>
      <c r="AF403" s="13"/>
      <c r="AG403" s="13"/>
      <c r="AH403" s="13"/>
      <c r="AI403" s="13"/>
      <c r="AJ403" s="13"/>
    </row>
    <row r="404" ht="15.75" hidden="1" customHeight="1">
      <c r="A404" s="7"/>
      <c r="B404" s="7"/>
      <c r="C404" s="7"/>
      <c r="D404" s="9"/>
      <c r="E404" s="7"/>
      <c r="F404" s="7"/>
      <c r="G404" s="7"/>
      <c r="H404" s="9"/>
      <c r="I404" s="7"/>
      <c r="J404" s="7"/>
      <c r="K404" s="8"/>
      <c r="L404" s="8"/>
      <c r="M404" s="7"/>
      <c r="N404" s="7"/>
      <c r="O404" s="8"/>
      <c r="P404" s="7"/>
      <c r="Q404" s="7"/>
      <c r="R404" s="9"/>
      <c r="S404" s="17"/>
      <c r="T404" s="9"/>
      <c r="U404" s="9"/>
      <c r="V404" s="9"/>
      <c r="W404" s="9"/>
      <c r="X404" s="9"/>
      <c r="Y404" s="9"/>
      <c r="Z404" s="9"/>
      <c r="AA404" s="9"/>
      <c r="AB404" s="9"/>
      <c r="AC404" s="9"/>
      <c r="AD404" s="9"/>
      <c r="AE404" s="9"/>
      <c r="AF404" s="9"/>
      <c r="AG404" s="9"/>
      <c r="AH404" s="9"/>
      <c r="AI404" s="9"/>
      <c r="AJ404" s="9"/>
    </row>
    <row r="405" ht="15.75" hidden="1" customHeight="1">
      <c r="A405" s="11"/>
      <c r="B405" s="11"/>
      <c r="C405" s="11"/>
      <c r="D405" s="13"/>
      <c r="E405" s="11"/>
      <c r="F405" s="11"/>
      <c r="G405" s="11"/>
      <c r="H405" s="13"/>
      <c r="I405" s="11"/>
      <c r="J405" s="11"/>
      <c r="K405" s="12"/>
      <c r="L405" s="12"/>
      <c r="M405" s="11"/>
      <c r="N405" s="11"/>
      <c r="O405" s="12"/>
      <c r="P405" s="11"/>
      <c r="Q405" s="11"/>
      <c r="R405" s="13"/>
      <c r="S405" s="19"/>
      <c r="T405" s="13"/>
      <c r="U405" s="13"/>
      <c r="V405" s="13"/>
      <c r="W405" s="13"/>
      <c r="X405" s="13"/>
      <c r="Y405" s="13"/>
      <c r="Z405" s="13"/>
      <c r="AA405" s="13"/>
      <c r="AB405" s="13"/>
      <c r="AC405" s="13"/>
      <c r="AD405" s="13"/>
      <c r="AE405" s="13"/>
      <c r="AF405" s="13"/>
      <c r="AG405" s="13"/>
      <c r="AH405" s="13"/>
      <c r="AI405" s="13"/>
      <c r="AJ405" s="13"/>
    </row>
    <row r="406" ht="15.75" hidden="1" customHeight="1">
      <c r="A406" s="7"/>
      <c r="B406" s="7"/>
      <c r="C406" s="7"/>
      <c r="D406" s="9"/>
      <c r="E406" s="7"/>
      <c r="F406" s="7"/>
      <c r="G406" s="7"/>
      <c r="H406" s="9"/>
      <c r="I406" s="7"/>
      <c r="J406" s="7"/>
      <c r="K406" s="8"/>
      <c r="L406" s="8"/>
      <c r="M406" s="7"/>
      <c r="N406" s="7"/>
      <c r="O406" s="8"/>
      <c r="P406" s="7"/>
      <c r="Q406" s="7"/>
      <c r="R406" s="9"/>
      <c r="S406" s="17"/>
      <c r="T406" s="9"/>
      <c r="U406" s="9"/>
      <c r="V406" s="9"/>
      <c r="W406" s="9"/>
      <c r="X406" s="9"/>
      <c r="Y406" s="9"/>
      <c r="Z406" s="9"/>
      <c r="AA406" s="9"/>
      <c r="AB406" s="9"/>
      <c r="AC406" s="9"/>
      <c r="AD406" s="9"/>
      <c r="AE406" s="9"/>
      <c r="AF406" s="9"/>
      <c r="AG406" s="9"/>
      <c r="AH406" s="9"/>
      <c r="AI406" s="9"/>
      <c r="AJ406" s="9"/>
    </row>
    <row r="407" ht="15.75" hidden="1" customHeight="1">
      <c r="A407" s="11"/>
      <c r="B407" s="11"/>
      <c r="C407" s="11"/>
      <c r="D407" s="13"/>
      <c r="E407" s="11"/>
      <c r="F407" s="11"/>
      <c r="G407" s="11"/>
      <c r="H407" s="13"/>
      <c r="I407" s="11"/>
      <c r="J407" s="11"/>
      <c r="K407" s="12"/>
      <c r="L407" s="12"/>
      <c r="M407" s="11"/>
      <c r="N407" s="11"/>
      <c r="O407" s="12"/>
      <c r="P407" s="11"/>
      <c r="Q407" s="11"/>
      <c r="R407" s="13"/>
      <c r="S407" s="19"/>
      <c r="T407" s="13"/>
      <c r="U407" s="13"/>
      <c r="V407" s="13"/>
      <c r="W407" s="13"/>
      <c r="X407" s="13"/>
      <c r="Y407" s="13"/>
      <c r="Z407" s="13"/>
      <c r="AA407" s="13"/>
      <c r="AB407" s="13"/>
      <c r="AC407" s="13"/>
      <c r="AD407" s="13"/>
      <c r="AE407" s="13"/>
      <c r="AF407" s="13"/>
      <c r="AG407" s="13"/>
      <c r="AH407" s="13"/>
      <c r="AI407" s="13"/>
      <c r="AJ407" s="13"/>
    </row>
    <row r="408" ht="15.75" hidden="1" customHeight="1">
      <c r="A408" s="7"/>
      <c r="B408" s="7"/>
      <c r="C408" s="7"/>
      <c r="D408" s="9"/>
      <c r="E408" s="7"/>
      <c r="F408" s="7"/>
      <c r="G408" s="7"/>
      <c r="H408" s="9"/>
      <c r="I408" s="7"/>
      <c r="J408" s="7"/>
      <c r="K408" s="8"/>
      <c r="L408" s="8"/>
      <c r="M408" s="7"/>
      <c r="N408" s="7"/>
      <c r="O408" s="8"/>
      <c r="P408" s="7"/>
      <c r="Q408" s="7"/>
      <c r="R408" s="9"/>
      <c r="S408" s="17"/>
      <c r="T408" s="9"/>
      <c r="U408" s="9"/>
      <c r="V408" s="9"/>
      <c r="W408" s="9"/>
      <c r="X408" s="9"/>
      <c r="Y408" s="9"/>
      <c r="Z408" s="9"/>
      <c r="AA408" s="9"/>
      <c r="AB408" s="9"/>
      <c r="AC408" s="9"/>
      <c r="AD408" s="9"/>
      <c r="AE408" s="9"/>
      <c r="AF408" s="9"/>
      <c r="AG408" s="9"/>
      <c r="AH408" s="9"/>
      <c r="AI408" s="9"/>
      <c r="AJ408" s="9"/>
    </row>
    <row r="409" ht="15.75" hidden="1" customHeight="1">
      <c r="A409" s="11"/>
      <c r="B409" s="11"/>
      <c r="C409" s="11"/>
      <c r="D409" s="13"/>
      <c r="E409" s="11"/>
      <c r="F409" s="11"/>
      <c r="G409" s="11"/>
      <c r="H409" s="13"/>
      <c r="I409" s="11"/>
      <c r="J409" s="11"/>
      <c r="K409" s="12"/>
      <c r="L409" s="12"/>
      <c r="M409" s="11"/>
      <c r="N409" s="11"/>
      <c r="O409" s="12"/>
      <c r="P409" s="11"/>
      <c r="Q409" s="11"/>
      <c r="R409" s="13"/>
      <c r="S409" s="19"/>
      <c r="T409" s="13"/>
      <c r="U409" s="13"/>
      <c r="V409" s="13"/>
      <c r="W409" s="13"/>
      <c r="X409" s="13"/>
      <c r="Y409" s="13"/>
      <c r="Z409" s="13"/>
      <c r="AA409" s="13"/>
      <c r="AB409" s="13"/>
      <c r="AC409" s="13"/>
      <c r="AD409" s="13"/>
      <c r="AE409" s="13"/>
      <c r="AF409" s="13"/>
      <c r="AG409" s="13"/>
      <c r="AH409" s="13"/>
      <c r="AI409" s="13"/>
      <c r="AJ409" s="13"/>
    </row>
    <row r="410" ht="15.75" hidden="1" customHeight="1">
      <c r="A410" s="7"/>
      <c r="B410" s="7"/>
      <c r="C410" s="7"/>
      <c r="D410" s="9"/>
      <c r="E410" s="7"/>
      <c r="F410" s="7"/>
      <c r="G410" s="7"/>
      <c r="H410" s="9"/>
      <c r="I410" s="7"/>
      <c r="J410" s="7"/>
      <c r="K410" s="8"/>
      <c r="L410" s="8"/>
      <c r="M410" s="7"/>
      <c r="N410" s="7"/>
      <c r="O410" s="8"/>
      <c r="P410" s="7"/>
      <c r="Q410" s="7"/>
      <c r="R410" s="9"/>
      <c r="S410" s="17"/>
      <c r="T410" s="9"/>
      <c r="U410" s="9"/>
      <c r="V410" s="9"/>
      <c r="W410" s="9"/>
      <c r="X410" s="9"/>
      <c r="Y410" s="9"/>
      <c r="Z410" s="9"/>
      <c r="AA410" s="9"/>
      <c r="AB410" s="9"/>
      <c r="AC410" s="9"/>
      <c r="AD410" s="9"/>
      <c r="AE410" s="9"/>
      <c r="AF410" s="9"/>
      <c r="AG410" s="9"/>
      <c r="AH410" s="9"/>
      <c r="AI410" s="9"/>
      <c r="AJ410" s="9"/>
    </row>
    <row r="411" ht="15.75" hidden="1" customHeight="1">
      <c r="A411" s="11"/>
      <c r="B411" s="11"/>
      <c r="C411" s="11"/>
      <c r="D411" s="13"/>
      <c r="E411" s="11"/>
      <c r="F411" s="11"/>
      <c r="G411" s="11"/>
      <c r="H411" s="13"/>
      <c r="I411" s="11"/>
      <c r="J411" s="11"/>
      <c r="K411" s="12"/>
      <c r="L411" s="12"/>
      <c r="M411" s="11"/>
      <c r="N411" s="11"/>
      <c r="O411" s="12"/>
      <c r="P411" s="11"/>
      <c r="Q411" s="11"/>
      <c r="R411" s="13"/>
      <c r="S411" s="19"/>
      <c r="T411" s="13"/>
      <c r="U411" s="13"/>
      <c r="V411" s="13"/>
      <c r="W411" s="13"/>
      <c r="X411" s="13"/>
      <c r="Y411" s="13"/>
      <c r="Z411" s="13"/>
      <c r="AA411" s="13"/>
      <c r="AB411" s="13"/>
      <c r="AC411" s="13"/>
      <c r="AD411" s="13"/>
      <c r="AE411" s="13"/>
      <c r="AF411" s="13"/>
      <c r="AG411" s="13"/>
      <c r="AH411" s="13"/>
      <c r="AI411" s="13"/>
      <c r="AJ411" s="13"/>
    </row>
    <row r="412" ht="15.75" hidden="1" customHeight="1">
      <c r="A412" s="7"/>
      <c r="B412" s="7"/>
      <c r="C412" s="7"/>
      <c r="D412" s="9"/>
      <c r="E412" s="7"/>
      <c r="F412" s="7"/>
      <c r="G412" s="7"/>
      <c r="H412" s="9"/>
      <c r="I412" s="7"/>
      <c r="J412" s="7"/>
      <c r="K412" s="8"/>
      <c r="L412" s="8"/>
      <c r="M412" s="7"/>
      <c r="N412" s="7"/>
      <c r="O412" s="8"/>
      <c r="P412" s="7"/>
      <c r="Q412" s="7"/>
      <c r="R412" s="9"/>
      <c r="S412" s="17"/>
      <c r="T412" s="9"/>
      <c r="U412" s="9"/>
      <c r="V412" s="9"/>
      <c r="W412" s="9"/>
      <c r="X412" s="9"/>
      <c r="Y412" s="9"/>
      <c r="Z412" s="9"/>
      <c r="AA412" s="9"/>
      <c r="AB412" s="9"/>
      <c r="AC412" s="9"/>
      <c r="AD412" s="9"/>
      <c r="AE412" s="9"/>
      <c r="AF412" s="9"/>
      <c r="AG412" s="9"/>
      <c r="AH412" s="9"/>
      <c r="AI412" s="9"/>
      <c r="AJ412" s="9"/>
    </row>
    <row r="413" ht="15.75" hidden="1" customHeight="1">
      <c r="A413" s="11"/>
      <c r="B413" s="11"/>
      <c r="C413" s="11"/>
      <c r="D413" s="13"/>
      <c r="E413" s="11"/>
      <c r="F413" s="11"/>
      <c r="G413" s="11"/>
      <c r="H413" s="13"/>
      <c r="I413" s="11"/>
      <c r="J413" s="11"/>
      <c r="K413" s="12"/>
      <c r="L413" s="12"/>
      <c r="M413" s="11"/>
      <c r="N413" s="11"/>
      <c r="O413" s="12"/>
      <c r="P413" s="11"/>
      <c r="Q413" s="11"/>
      <c r="R413" s="13"/>
      <c r="S413" s="19"/>
      <c r="T413" s="13"/>
      <c r="U413" s="13"/>
      <c r="V413" s="13"/>
      <c r="W413" s="13"/>
      <c r="X413" s="13"/>
      <c r="Y413" s="13"/>
      <c r="Z413" s="13"/>
      <c r="AA413" s="13"/>
      <c r="AB413" s="13"/>
      <c r="AC413" s="13"/>
      <c r="AD413" s="13"/>
      <c r="AE413" s="13"/>
      <c r="AF413" s="13"/>
      <c r="AG413" s="13"/>
      <c r="AH413" s="13"/>
      <c r="AI413" s="13"/>
      <c r="AJ413" s="13"/>
    </row>
    <row r="414" ht="15.75" hidden="1" customHeight="1">
      <c r="A414" s="7"/>
      <c r="B414" s="7"/>
      <c r="C414" s="7"/>
      <c r="D414" s="9"/>
      <c r="E414" s="7"/>
      <c r="F414" s="7"/>
      <c r="G414" s="7"/>
      <c r="H414" s="9"/>
      <c r="I414" s="7"/>
      <c r="J414" s="7"/>
      <c r="K414" s="8"/>
      <c r="L414" s="8"/>
      <c r="M414" s="7"/>
      <c r="N414" s="7"/>
      <c r="O414" s="8"/>
      <c r="P414" s="7"/>
      <c r="Q414" s="7"/>
      <c r="R414" s="9"/>
      <c r="S414" s="17"/>
      <c r="T414" s="9"/>
      <c r="U414" s="9"/>
      <c r="V414" s="9"/>
      <c r="W414" s="9"/>
      <c r="X414" s="9"/>
      <c r="Y414" s="9"/>
      <c r="Z414" s="9"/>
      <c r="AA414" s="9"/>
      <c r="AB414" s="9"/>
      <c r="AC414" s="9"/>
      <c r="AD414" s="9"/>
      <c r="AE414" s="9"/>
      <c r="AF414" s="9"/>
      <c r="AG414" s="9"/>
      <c r="AH414" s="9"/>
      <c r="AI414" s="9"/>
      <c r="AJ414" s="9"/>
    </row>
    <row r="415" ht="15.75" hidden="1" customHeight="1">
      <c r="A415" s="11"/>
      <c r="B415" s="11"/>
      <c r="C415" s="11"/>
      <c r="D415" s="13"/>
      <c r="E415" s="11"/>
      <c r="F415" s="11"/>
      <c r="G415" s="11"/>
      <c r="H415" s="13"/>
      <c r="I415" s="11"/>
      <c r="J415" s="11"/>
      <c r="K415" s="12"/>
      <c r="L415" s="12"/>
      <c r="M415" s="11"/>
      <c r="N415" s="11"/>
      <c r="O415" s="12"/>
      <c r="P415" s="11"/>
      <c r="Q415" s="11"/>
      <c r="R415" s="13"/>
      <c r="S415" s="19"/>
      <c r="T415" s="13"/>
      <c r="U415" s="13"/>
      <c r="V415" s="13"/>
      <c r="W415" s="13"/>
      <c r="X415" s="13"/>
      <c r="Y415" s="13"/>
      <c r="Z415" s="13"/>
      <c r="AA415" s="13"/>
      <c r="AB415" s="13"/>
      <c r="AC415" s="13"/>
      <c r="AD415" s="13"/>
      <c r="AE415" s="13"/>
      <c r="AF415" s="13"/>
      <c r="AG415" s="13"/>
      <c r="AH415" s="13"/>
      <c r="AI415" s="13"/>
      <c r="AJ415" s="13"/>
    </row>
    <row r="416" ht="15.75" hidden="1" customHeight="1">
      <c r="A416" s="7"/>
      <c r="B416" s="7"/>
      <c r="C416" s="7"/>
      <c r="D416" s="9"/>
      <c r="E416" s="7"/>
      <c r="F416" s="7"/>
      <c r="G416" s="7"/>
      <c r="H416" s="9"/>
      <c r="I416" s="7"/>
      <c r="J416" s="7"/>
      <c r="K416" s="8"/>
      <c r="L416" s="8"/>
      <c r="M416" s="7"/>
      <c r="N416" s="7"/>
      <c r="O416" s="8"/>
      <c r="P416" s="7"/>
      <c r="Q416" s="7"/>
      <c r="R416" s="9"/>
      <c r="S416" s="17"/>
      <c r="T416" s="9"/>
      <c r="U416" s="9"/>
      <c r="V416" s="9"/>
      <c r="W416" s="9"/>
      <c r="X416" s="9"/>
      <c r="Y416" s="9"/>
      <c r="Z416" s="9"/>
      <c r="AA416" s="9"/>
      <c r="AB416" s="9"/>
      <c r="AC416" s="9"/>
      <c r="AD416" s="9"/>
      <c r="AE416" s="9"/>
      <c r="AF416" s="9"/>
      <c r="AG416" s="9"/>
      <c r="AH416" s="9"/>
      <c r="AI416" s="9"/>
      <c r="AJ416" s="9"/>
    </row>
    <row r="417" ht="15.75" hidden="1" customHeight="1">
      <c r="A417" s="11"/>
      <c r="B417" s="11"/>
      <c r="C417" s="11"/>
      <c r="D417" s="13"/>
      <c r="E417" s="11"/>
      <c r="F417" s="11"/>
      <c r="G417" s="11"/>
      <c r="H417" s="13"/>
      <c r="I417" s="11"/>
      <c r="J417" s="11"/>
      <c r="K417" s="12"/>
      <c r="L417" s="12"/>
      <c r="M417" s="11"/>
      <c r="N417" s="11"/>
      <c r="O417" s="12"/>
      <c r="P417" s="11"/>
      <c r="Q417" s="11"/>
      <c r="R417" s="13"/>
      <c r="S417" s="19"/>
      <c r="T417" s="13"/>
      <c r="U417" s="13"/>
      <c r="V417" s="13"/>
      <c r="W417" s="13"/>
      <c r="X417" s="13"/>
      <c r="Y417" s="13"/>
      <c r="Z417" s="13"/>
      <c r="AA417" s="13"/>
      <c r="AB417" s="13"/>
      <c r="AC417" s="13"/>
      <c r="AD417" s="13"/>
      <c r="AE417" s="13"/>
      <c r="AF417" s="13"/>
      <c r="AG417" s="13"/>
      <c r="AH417" s="13"/>
      <c r="AI417" s="13"/>
      <c r="AJ417" s="13"/>
    </row>
    <row r="418" ht="15.75" hidden="1" customHeight="1">
      <c r="A418" s="7"/>
      <c r="B418" s="7"/>
      <c r="C418" s="7"/>
      <c r="D418" s="9"/>
      <c r="E418" s="7"/>
      <c r="F418" s="7"/>
      <c r="G418" s="7"/>
      <c r="H418" s="9"/>
      <c r="I418" s="7"/>
      <c r="J418" s="7"/>
      <c r="K418" s="8"/>
      <c r="L418" s="8"/>
      <c r="M418" s="7"/>
      <c r="N418" s="7"/>
      <c r="O418" s="8"/>
      <c r="P418" s="7"/>
      <c r="Q418" s="7"/>
      <c r="R418" s="9"/>
      <c r="S418" s="17"/>
      <c r="T418" s="9"/>
      <c r="U418" s="9"/>
      <c r="V418" s="9"/>
      <c r="W418" s="9"/>
      <c r="X418" s="9"/>
      <c r="Y418" s="9"/>
      <c r="Z418" s="9"/>
      <c r="AA418" s="9"/>
      <c r="AB418" s="9"/>
      <c r="AC418" s="9"/>
      <c r="AD418" s="9"/>
      <c r="AE418" s="9"/>
      <c r="AF418" s="9"/>
      <c r="AG418" s="9"/>
      <c r="AH418" s="9"/>
      <c r="AI418" s="9"/>
      <c r="AJ418" s="9"/>
    </row>
    <row r="419" ht="15.75" hidden="1" customHeight="1">
      <c r="A419" s="11"/>
      <c r="B419" s="11"/>
      <c r="C419" s="11"/>
      <c r="D419" s="13"/>
      <c r="E419" s="11"/>
      <c r="F419" s="11"/>
      <c r="G419" s="11"/>
      <c r="H419" s="13"/>
      <c r="I419" s="11"/>
      <c r="J419" s="11"/>
      <c r="K419" s="12"/>
      <c r="L419" s="12"/>
      <c r="M419" s="11"/>
      <c r="N419" s="11"/>
      <c r="O419" s="12"/>
      <c r="P419" s="11"/>
      <c r="Q419" s="11"/>
      <c r="R419" s="13"/>
      <c r="S419" s="19"/>
      <c r="T419" s="13"/>
      <c r="U419" s="13"/>
      <c r="V419" s="13"/>
      <c r="W419" s="13"/>
      <c r="X419" s="13"/>
      <c r="Y419" s="13"/>
      <c r="Z419" s="13"/>
      <c r="AA419" s="13"/>
      <c r="AB419" s="13"/>
      <c r="AC419" s="13"/>
      <c r="AD419" s="13"/>
      <c r="AE419" s="13"/>
      <c r="AF419" s="13"/>
      <c r="AG419" s="13"/>
      <c r="AH419" s="13"/>
      <c r="AI419" s="13"/>
      <c r="AJ419" s="13"/>
    </row>
    <row r="420" ht="15.75" hidden="1" customHeight="1">
      <c r="A420" s="7"/>
      <c r="B420" s="7"/>
      <c r="C420" s="7"/>
      <c r="D420" s="9"/>
      <c r="E420" s="7"/>
      <c r="F420" s="7"/>
      <c r="G420" s="7"/>
      <c r="H420" s="9"/>
      <c r="I420" s="7"/>
      <c r="J420" s="7"/>
      <c r="K420" s="8"/>
      <c r="L420" s="8"/>
      <c r="M420" s="7"/>
      <c r="N420" s="7"/>
      <c r="O420" s="8"/>
      <c r="P420" s="7"/>
      <c r="Q420" s="7"/>
      <c r="R420" s="9"/>
      <c r="S420" s="17"/>
      <c r="T420" s="9"/>
      <c r="U420" s="9"/>
      <c r="V420" s="9"/>
      <c r="W420" s="9"/>
      <c r="X420" s="9"/>
      <c r="Y420" s="9"/>
      <c r="Z420" s="9"/>
      <c r="AA420" s="9"/>
      <c r="AB420" s="9"/>
      <c r="AC420" s="9"/>
      <c r="AD420" s="9"/>
      <c r="AE420" s="9"/>
      <c r="AF420" s="9"/>
      <c r="AG420" s="9"/>
      <c r="AH420" s="9"/>
      <c r="AI420" s="9"/>
      <c r="AJ420" s="9"/>
    </row>
    <row r="421" ht="15.75" hidden="1" customHeight="1">
      <c r="A421" s="11"/>
      <c r="B421" s="11"/>
      <c r="C421" s="11"/>
      <c r="D421" s="13"/>
      <c r="E421" s="11"/>
      <c r="F421" s="11"/>
      <c r="G421" s="11"/>
      <c r="H421" s="13"/>
      <c r="I421" s="11"/>
      <c r="J421" s="11"/>
      <c r="K421" s="12"/>
      <c r="L421" s="12"/>
      <c r="M421" s="11"/>
      <c r="N421" s="11"/>
      <c r="O421" s="12"/>
      <c r="P421" s="11"/>
      <c r="Q421" s="11"/>
      <c r="R421" s="13"/>
      <c r="S421" s="19"/>
      <c r="T421" s="13"/>
      <c r="U421" s="13"/>
      <c r="V421" s="13"/>
      <c r="W421" s="13"/>
      <c r="X421" s="13"/>
      <c r="Y421" s="13"/>
      <c r="Z421" s="13"/>
      <c r="AA421" s="13"/>
      <c r="AB421" s="13"/>
      <c r="AC421" s="13"/>
      <c r="AD421" s="13"/>
      <c r="AE421" s="13"/>
      <c r="AF421" s="13"/>
      <c r="AG421" s="13"/>
      <c r="AH421" s="13"/>
      <c r="AI421" s="13"/>
      <c r="AJ421" s="13"/>
    </row>
    <row r="422" ht="15.75" hidden="1" customHeight="1">
      <c r="A422" s="7"/>
      <c r="B422" s="7"/>
      <c r="C422" s="7"/>
      <c r="D422" s="9"/>
      <c r="E422" s="7"/>
      <c r="F422" s="7"/>
      <c r="G422" s="7"/>
      <c r="H422" s="9"/>
      <c r="I422" s="7"/>
      <c r="J422" s="7"/>
      <c r="K422" s="8"/>
      <c r="L422" s="8"/>
      <c r="M422" s="7"/>
      <c r="N422" s="7"/>
      <c r="O422" s="8"/>
      <c r="P422" s="7"/>
      <c r="Q422" s="7"/>
      <c r="R422" s="9"/>
      <c r="S422" s="17"/>
      <c r="T422" s="9"/>
      <c r="U422" s="9"/>
      <c r="V422" s="9"/>
      <c r="W422" s="9"/>
      <c r="X422" s="9"/>
      <c r="Y422" s="9"/>
      <c r="Z422" s="9"/>
      <c r="AA422" s="9"/>
      <c r="AB422" s="9"/>
      <c r="AC422" s="9"/>
      <c r="AD422" s="9"/>
      <c r="AE422" s="9"/>
      <c r="AF422" s="9"/>
      <c r="AG422" s="9"/>
      <c r="AH422" s="9"/>
      <c r="AI422" s="9"/>
      <c r="AJ422" s="9"/>
    </row>
    <row r="423" ht="15.75" hidden="1" customHeight="1">
      <c r="A423" s="11"/>
      <c r="B423" s="11"/>
      <c r="C423" s="11"/>
      <c r="D423" s="13"/>
      <c r="E423" s="11"/>
      <c r="F423" s="11"/>
      <c r="G423" s="11"/>
      <c r="H423" s="13"/>
      <c r="I423" s="11"/>
      <c r="J423" s="11"/>
      <c r="K423" s="12"/>
      <c r="L423" s="12"/>
      <c r="M423" s="11"/>
      <c r="N423" s="11"/>
      <c r="O423" s="12"/>
      <c r="P423" s="11"/>
      <c r="Q423" s="11"/>
      <c r="R423" s="13"/>
      <c r="S423" s="19"/>
      <c r="T423" s="13"/>
      <c r="U423" s="13"/>
      <c r="V423" s="13"/>
      <c r="W423" s="13"/>
      <c r="X423" s="13"/>
      <c r="Y423" s="13"/>
      <c r="Z423" s="13"/>
      <c r="AA423" s="13"/>
      <c r="AB423" s="13"/>
      <c r="AC423" s="13"/>
      <c r="AD423" s="13"/>
      <c r="AE423" s="13"/>
      <c r="AF423" s="13"/>
      <c r="AG423" s="13"/>
      <c r="AH423" s="13"/>
      <c r="AI423" s="13"/>
      <c r="AJ423" s="13"/>
    </row>
    <row r="424" ht="15.75" hidden="1" customHeight="1">
      <c r="A424" s="7"/>
      <c r="B424" s="7"/>
      <c r="C424" s="7"/>
      <c r="D424" s="9"/>
      <c r="E424" s="7"/>
      <c r="F424" s="7"/>
      <c r="G424" s="7"/>
      <c r="H424" s="9"/>
      <c r="I424" s="7"/>
      <c r="J424" s="7"/>
      <c r="K424" s="8"/>
      <c r="L424" s="8"/>
      <c r="M424" s="7"/>
      <c r="N424" s="7"/>
      <c r="O424" s="8"/>
      <c r="P424" s="7"/>
      <c r="Q424" s="7"/>
      <c r="R424" s="9"/>
      <c r="S424" s="17"/>
      <c r="T424" s="9"/>
      <c r="U424" s="9"/>
      <c r="V424" s="9"/>
      <c r="W424" s="9"/>
      <c r="X424" s="9"/>
      <c r="Y424" s="9"/>
      <c r="Z424" s="9"/>
      <c r="AA424" s="9"/>
      <c r="AB424" s="9"/>
      <c r="AC424" s="9"/>
      <c r="AD424" s="9"/>
      <c r="AE424" s="9"/>
      <c r="AF424" s="9"/>
      <c r="AG424" s="9"/>
      <c r="AH424" s="9"/>
      <c r="AI424" s="9"/>
      <c r="AJ424" s="9"/>
    </row>
    <row r="425" ht="15.75" hidden="1" customHeight="1">
      <c r="A425" s="11"/>
      <c r="B425" s="11"/>
      <c r="C425" s="11"/>
      <c r="D425" s="13"/>
      <c r="E425" s="11"/>
      <c r="F425" s="11"/>
      <c r="G425" s="11"/>
      <c r="H425" s="13"/>
      <c r="I425" s="11"/>
      <c r="J425" s="11"/>
      <c r="K425" s="12"/>
      <c r="L425" s="12"/>
      <c r="M425" s="11"/>
      <c r="N425" s="11"/>
      <c r="O425" s="12"/>
      <c r="P425" s="11"/>
      <c r="Q425" s="11"/>
      <c r="R425" s="13"/>
      <c r="S425" s="19"/>
      <c r="T425" s="13"/>
      <c r="U425" s="13"/>
      <c r="V425" s="13"/>
      <c r="W425" s="13"/>
      <c r="X425" s="13"/>
      <c r="Y425" s="13"/>
      <c r="Z425" s="13"/>
      <c r="AA425" s="13"/>
      <c r="AB425" s="13"/>
      <c r="AC425" s="13"/>
      <c r="AD425" s="13"/>
      <c r="AE425" s="13"/>
      <c r="AF425" s="13"/>
      <c r="AG425" s="13"/>
      <c r="AH425" s="13"/>
      <c r="AI425" s="13"/>
      <c r="AJ425" s="13"/>
    </row>
    <row r="426" ht="15.75" hidden="1" customHeight="1">
      <c r="A426" s="7"/>
      <c r="B426" s="7"/>
      <c r="C426" s="7"/>
      <c r="D426" s="9"/>
      <c r="E426" s="7"/>
      <c r="F426" s="7"/>
      <c r="G426" s="7"/>
      <c r="H426" s="9"/>
      <c r="I426" s="7"/>
      <c r="J426" s="7"/>
      <c r="K426" s="8"/>
      <c r="L426" s="8"/>
      <c r="M426" s="7"/>
      <c r="N426" s="7"/>
      <c r="O426" s="8"/>
      <c r="P426" s="7"/>
      <c r="Q426" s="7"/>
      <c r="R426" s="9"/>
      <c r="S426" s="17"/>
      <c r="T426" s="9"/>
      <c r="U426" s="9"/>
      <c r="V426" s="9"/>
      <c r="W426" s="9"/>
      <c r="X426" s="9"/>
      <c r="Y426" s="9"/>
      <c r="Z426" s="9"/>
      <c r="AA426" s="9"/>
      <c r="AB426" s="9"/>
      <c r="AC426" s="9"/>
      <c r="AD426" s="9"/>
      <c r="AE426" s="9"/>
      <c r="AF426" s="9"/>
      <c r="AG426" s="9"/>
      <c r="AH426" s="9"/>
      <c r="AI426" s="9"/>
      <c r="AJ426" s="9"/>
    </row>
    <row r="427" ht="15.75" hidden="1" customHeight="1">
      <c r="A427" s="11"/>
      <c r="B427" s="11"/>
      <c r="C427" s="11"/>
      <c r="D427" s="13"/>
      <c r="E427" s="11"/>
      <c r="F427" s="11"/>
      <c r="G427" s="11"/>
      <c r="H427" s="13"/>
      <c r="I427" s="11"/>
      <c r="J427" s="11"/>
      <c r="K427" s="12"/>
      <c r="L427" s="12"/>
      <c r="M427" s="11"/>
      <c r="N427" s="11"/>
      <c r="O427" s="12"/>
      <c r="P427" s="11"/>
      <c r="Q427" s="11"/>
      <c r="R427" s="13"/>
      <c r="S427" s="19"/>
      <c r="T427" s="13"/>
      <c r="U427" s="13"/>
      <c r="V427" s="13"/>
      <c r="W427" s="13"/>
      <c r="X427" s="13"/>
      <c r="Y427" s="13"/>
      <c r="Z427" s="13"/>
      <c r="AA427" s="13"/>
      <c r="AB427" s="13"/>
      <c r="AC427" s="13"/>
      <c r="AD427" s="13"/>
      <c r="AE427" s="13"/>
      <c r="AF427" s="13"/>
      <c r="AG427" s="13"/>
      <c r="AH427" s="13"/>
      <c r="AI427" s="13"/>
      <c r="AJ427" s="13"/>
    </row>
    <row r="428" ht="15.75" hidden="1" customHeight="1">
      <c r="A428" s="7"/>
      <c r="B428" s="7"/>
      <c r="C428" s="7"/>
      <c r="D428" s="9"/>
      <c r="E428" s="7"/>
      <c r="F428" s="7"/>
      <c r="G428" s="7"/>
      <c r="H428" s="9"/>
      <c r="I428" s="7"/>
      <c r="J428" s="7"/>
      <c r="K428" s="8"/>
      <c r="L428" s="8"/>
      <c r="M428" s="7"/>
      <c r="N428" s="7"/>
      <c r="O428" s="8"/>
      <c r="P428" s="7"/>
      <c r="Q428" s="7"/>
      <c r="R428" s="9"/>
      <c r="S428" s="17"/>
      <c r="T428" s="9"/>
      <c r="U428" s="9"/>
      <c r="V428" s="9"/>
      <c r="W428" s="9"/>
      <c r="X428" s="9"/>
      <c r="Y428" s="9"/>
      <c r="Z428" s="9"/>
      <c r="AA428" s="9"/>
      <c r="AB428" s="9"/>
      <c r="AC428" s="9"/>
      <c r="AD428" s="9"/>
      <c r="AE428" s="9"/>
      <c r="AF428" s="9"/>
      <c r="AG428" s="9"/>
      <c r="AH428" s="9"/>
      <c r="AI428" s="9"/>
      <c r="AJ428" s="9"/>
    </row>
    <row r="429" ht="15.75" hidden="1" customHeight="1">
      <c r="A429" s="11"/>
      <c r="B429" s="11"/>
      <c r="C429" s="11"/>
      <c r="D429" s="13"/>
      <c r="E429" s="11"/>
      <c r="F429" s="11"/>
      <c r="G429" s="11"/>
      <c r="H429" s="13"/>
      <c r="I429" s="11"/>
      <c r="J429" s="11"/>
      <c r="K429" s="12"/>
      <c r="L429" s="12"/>
      <c r="M429" s="11"/>
      <c r="N429" s="11"/>
      <c r="O429" s="12"/>
      <c r="P429" s="11"/>
      <c r="Q429" s="11"/>
      <c r="R429" s="13"/>
      <c r="S429" s="19"/>
      <c r="T429" s="13"/>
      <c r="U429" s="13"/>
      <c r="V429" s="13"/>
      <c r="W429" s="13"/>
      <c r="X429" s="13"/>
      <c r="Y429" s="13"/>
      <c r="Z429" s="13"/>
      <c r="AA429" s="13"/>
      <c r="AB429" s="13"/>
      <c r="AC429" s="13"/>
      <c r="AD429" s="13"/>
      <c r="AE429" s="13"/>
      <c r="AF429" s="13"/>
      <c r="AG429" s="13"/>
      <c r="AH429" s="13"/>
      <c r="AI429" s="13"/>
      <c r="AJ429" s="13"/>
    </row>
    <row r="430" ht="15.75" hidden="1" customHeight="1">
      <c r="A430" s="7"/>
      <c r="B430" s="7"/>
      <c r="C430" s="7"/>
      <c r="D430" s="9"/>
      <c r="E430" s="7"/>
      <c r="F430" s="7"/>
      <c r="G430" s="7"/>
      <c r="H430" s="9"/>
      <c r="I430" s="7"/>
      <c r="J430" s="7"/>
      <c r="K430" s="8"/>
      <c r="L430" s="8"/>
      <c r="M430" s="7"/>
      <c r="N430" s="7"/>
      <c r="O430" s="8"/>
      <c r="P430" s="7"/>
      <c r="Q430" s="7"/>
      <c r="R430" s="9"/>
      <c r="S430" s="17"/>
      <c r="T430" s="9"/>
      <c r="U430" s="9"/>
      <c r="V430" s="9"/>
      <c r="W430" s="9"/>
      <c r="X430" s="9"/>
      <c r="Y430" s="9"/>
      <c r="Z430" s="9"/>
      <c r="AA430" s="9"/>
      <c r="AB430" s="9"/>
      <c r="AC430" s="9"/>
      <c r="AD430" s="9"/>
      <c r="AE430" s="9"/>
      <c r="AF430" s="9"/>
      <c r="AG430" s="9"/>
      <c r="AH430" s="9"/>
      <c r="AI430" s="9"/>
      <c r="AJ430" s="9"/>
    </row>
    <row r="431" ht="15.75" hidden="1" customHeight="1">
      <c r="A431" s="11"/>
      <c r="B431" s="11"/>
      <c r="C431" s="11"/>
      <c r="D431" s="13"/>
      <c r="E431" s="11"/>
      <c r="F431" s="11"/>
      <c r="G431" s="11"/>
      <c r="H431" s="13"/>
      <c r="I431" s="11"/>
      <c r="J431" s="11"/>
      <c r="K431" s="12"/>
      <c r="L431" s="12"/>
      <c r="M431" s="11"/>
      <c r="N431" s="11"/>
      <c r="O431" s="12"/>
      <c r="P431" s="11"/>
      <c r="Q431" s="11"/>
      <c r="R431" s="13"/>
      <c r="S431" s="19"/>
      <c r="T431" s="13"/>
      <c r="U431" s="13"/>
      <c r="V431" s="13"/>
      <c r="W431" s="13"/>
      <c r="X431" s="13"/>
      <c r="Y431" s="13"/>
      <c r="Z431" s="13"/>
      <c r="AA431" s="13"/>
      <c r="AB431" s="13"/>
      <c r="AC431" s="13"/>
      <c r="AD431" s="13"/>
      <c r="AE431" s="13"/>
      <c r="AF431" s="13"/>
      <c r="AG431" s="13"/>
      <c r="AH431" s="13"/>
      <c r="AI431" s="13"/>
      <c r="AJ431" s="13"/>
    </row>
    <row r="432" ht="15.75" hidden="1" customHeight="1">
      <c r="A432" s="7"/>
      <c r="B432" s="7"/>
      <c r="C432" s="7"/>
      <c r="D432" s="9"/>
      <c r="E432" s="7"/>
      <c r="F432" s="7"/>
      <c r="G432" s="7"/>
      <c r="H432" s="9"/>
      <c r="I432" s="7"/>
      <c r="J432" s="7"/>
      <c r="K432" s="8"/>
      <c r="L432" s="8"/>
      <c r="M432" s="7"/>
      <c r="N432" s="7"/>
      <c r="O432" s="8"/>
      <c r="P432" s="7"/>
      <c r="Q432" s="7"/>
      <c r="R432" s="9"/>
      <c r="S432" s="17"/>
      <c r="T432" s="9"/>
      <c r="U432" s="9"/>
      <c r="V432" s="9"/>
      <c r="W432" s="9"/>
      <c r="X432" s="9"/>
      <c r="Y432" s="9"/>
      <c r="Z432" s="9"/>
      <c r="AA432" s="9"/>
      <c r="AB432" s="9"/>
      <c r="AC432" s="9"/>
      <c r="AD432" s="9"/>
      <c r="AE432" s="9"/>
      <c r="AF432" s="9"/>
      <c r="AG432" s="9"/>
      <c r="AH432" s="9"/>
      <c r="AI432" s="9"/>
      <c r="AJ432" s="9"/>
    </row>
    <row r="433" ht="15.75" hidden="1" customHeight="1">
      <c r="A433" s="11"/>
      <c r="B433" s="11"/>
      <c r="C433" s="11"/>
      <c r="D433" s="13"/>
      <c r="E433" s="11"/>
      <c r="F433" s="11"/>
      <c r="G433" s="11"/>
      <c r="H433" s="13"/>
      <c r="I433" s="11"/>
      <c r="J433" s="11"/>
      <c r="K433" s="12"/>
      <c r="L433" s="12"/>
      <c r="M433" s="11"/>
      <c r="N433" s="11"/>
      <c r="O433" s="12"/>
      <c r="P433" s="11"/>
      <c r="Q433" s="11"/>
      <c r="R433" s="13"/>
      <c r="S433" s="19"/>
      <c r="T433" s="13"/>
      <c r="U433" s="13"/>
      <c r="V433" s="13"/>
      <c r="W433" s="13"/>
      <c r="X433" s="13"/>
      <c r="Y433" s="13"/>
      <c r="Z433" s="13"/>
      <c r="AA433" s="13"/>
      <c r="AB433" s="13"/>
      <c r="AC433" s="13"/>
      <c r="AD433" s="13"/>
      <c r="AE433" s="13"/>
      <c r="AF433" s="13"/>
      <c r="AG433" s="13"/>
      <c r="AH433" s="13"/>
      <c r="AI433" s="13"/>
      <c r="AJ433" s="13"/>
    </row>
    <row r="434" ht="15.75" hidden="1" customHeight="1">
      <c r="A434" s="7"/>
      <c r="B434" s="7"/>
      <c r="C434" s="7"/>
      <c r="D434" s="9"/>
      <c r="E434" s="7"/>
      <c r="F434" s="7"/>
      <c r="G434" s="7"/>
      <c r="H434" s="9"/>
      <c r="I434" s="7"/>
      <c r="J434" s="7"/>
      <c r="K434" s="8"/>
      <c r="L434" s="8"/>
      <c r="M434" s="7"/>
      <c r="N434" s="7"/>
      <c r="O434" s="8"/>
      <c r="P434" s="7"/>
      <c r="Q434" s="7"/>
      <c r="R434" s="9"/>
      <c r="S434" s="17"/>
      <c r="T434" s="9"/>
      <c r="U434" s="9"/>
      <c r="V434" s="9"/>
      <c r="W434" s="9"/>
      <c r="X434" s="9"/>
      <c r="Y434" s="9"/>
      <c r="Z434" s="9"/>
      <c r="AA434" s="9"/>
      <c r="AB434" s="9"/>
      <c r="AC434" s="9"/>
      <c r="AD434" s="9"/>
      <c r="AE434" s="9"/>
      <c r="AF434" s="9"/>
      <c r="AG434" s="9"/>
      <c r="AH434" s="9"/>
      <c r="AI434" s="9"/>
      <c r="AJ434" s="9"/>
    </row>
    <row r="435" ht="15.75" hidden="1" customHeight="1">
      <c r="A435" s="11"/>
      <c r="B435" s="11"/>
      <c r="C435" s="11"/>
      <c r="D435" s="13"/>
      <c r="E435" s="11"/>
      <c r="F435" s="11"/>
      <c r="G435" s="11"/>
      <c r="H435" s="13"/>
      <c r="I435" s="11"/>
      <c r="J435" s="11"/>
      <c r="K435" s="12"/>
      <c r="L435" s="12"/>
      <c r="M435" s="11"/>
      <c r="N435" s="11"/>
      <c r="O435" s="12"/>
      <c r="P435" s="11"/>
      <c r="Q435" s="11"/>
      <c r="R435" s="13"/>
      <c r="S435" s="19"/>
      <c r="T435" s="13"/>
      <c r="U435" s="13"/>
      <c r="V435" s="13"/>
      <c r="W435" s="13"/>
      <c r="X435" s="13"/>
      <c r="Y435" s="13"/>
      <c r="Z435" s="13"/>
      <c r="AA435" s="13"/>
      <c r="AB435" s="13"/>
      <c r="AC435" s="13"/>
      <c r="AD435" s="13"/>
      <c r="AE435" s="13"/>
      <c r="AF435" s="13"/>
      <c r="AG435" s="13"/>
      <c r="AH435" s="13"/>
      <c r="AI435" s="13"/>
      <c r="AJ435" s="13"/>
    </row>
    <row r="436" ht="15.75" hidden="1" customHeight="1">
      <c r="A436" s="7"/>
      <c r="B436" s="7"/>
      <c r="C436" s="7"/>
      <c r="D436" s="9"/>
      <c r="E436" s="7"/>
      <c r="F436" s="7"/>
      <c r="G436" s="7"/>
      <c r="H436" s="9"/>
      <c r="I436" s="7"/>
      <c r="J436" s="7"/>
      <c r="K436" s="8"/>
      <c r="L436" s="8"/>
      <c r="M436" s="7"/>
      <c r="N436" s="7"/>
      <c r="O436" s="8"/>
      <c r="P436" s="7"/>
      <c r="Q436" s="7"/>
      <c r="R436" s="9"/>
      <c r="S436" s="17"/>
      <c r="T436" s="9"/>
      <c r="U436" s="9"/>
      <c r="V436" s="9"/>
      <c r="W436" s="9"/>
      <c r="X436" s="9"/>
      <c r="Y436" s="9"/>
      <c r="Z436" s="9"/>
      <c r="AA436" s="9"/>
      <c r="AB436" s="9"/>
      <c r="AC436" s="9"/>
      <c r="AD436" s="9"/>
      <c r="AE436" s="9"/>
      <c r="AF436" s="9"/>
      <c r="AG436" s="9"/>
      <c r="AH436" s="9"/>
      <c r="AI436" s="9"/>
      <c r="AJ436" s="9"/>
    </row>
    <row r="437" ht="15.75" hidden="1" customHeight="1">
      <c r="A437" s="11"/>
      <c r="B437" s="11"/>
      <c r="C437" s="11"/>
      <c r="D437" s="13"/>
      <c r="E437" s="11"/>
      <c r="F437" s="11"/>
      <c r="G437" s="11"/>
      <c r="H437" s="13"/>
      <c r="I437" s="11"/>
      <c r="J437" s="11"/>
      <c r="K437" s="12"/>
      <c r="L437" s="12"/>
      <c r="M437" s="11"/>
      <c r="N437" s="11"/>
      <c r="O437" s="12"/>
      <c r="P437" s="11"/>
      <c r="Q437" s="11"/>
      <c r="R437" s="13"/>
      <c r="S437" s="19"/>
      <c r="T437" s="13"/>
      <c r="U437" s="13"/>
      <c r="V437" s="13"/>
      <c r="W437" s="13"/>
      <c r="X437" s="13"/>
      <c r="Y437" s="13"/>
      <c r="Z437" s="13"/>
      <c r="AA437" s="13"/>
      <c r="AB437" s="13"/>
      <c r="AC437" s="13"/>
      <c r="AD437" s="13"/>
      <c r="AE437" s="13"/>
      <c r="AF437" s="13"/>
      <c r="AG437" s="13"/>
      <c r="AH437" s="13"/>
      <c r="AI437" s="13"/>
      <c r="AJ437" s="13"/>
    </row>
    <row r="438" ht="15.75" hidden="1" customHeight="1">
      <c r="A438" s="7"/>
      <c r="B438" s="7"/>
      <c r="C438" s="7"/>
      <c r="D438" s="9"/>
      <c r="E438" s="7"/>
      <c r="F438" s="7"/>
      <c r="G438" s="7"/>
      <c r="H438" s="9"/>
      <c r="I438" s="7"/>
      <c r="J438" s="7"/>
      <c r="K438" s="8"/>
      <c r="L438" s="8"/>
      <c r="M438" s="7"/>
      <c r="N438" s="7"/>
      <c r="O438" s="8"/>
      <c r="P438" s="7"/>
      <c r="Q438" s="7"/>
      <c r="R438" s="9"/>
      <c r="S438" s="17"/>
      <c r="T438" s="9"/>
      <c r="U438" s="9"/>
      <c r="V438" s="9"/>
      <c r="W438" s="9"/>
      <c r="X438" s="9"/>
      <c r="Y438" s="9"/>
      <c r="Z438" s="9"/>
      <c r="AA438" s="9"/>
      <c r="AB438" s="9"/>
      <c r="AC438" s="9"/>
      <c r="AD438" s="9"/>
      <c r="AE438" s="9"/>
      <c r="AF438" s="9"/>
      <c r="AG438" s="9"/>
      <c r="AH438" s="9"/>
      <c r="AI438" s="9"/>
      <c r="AJ438" s="9"/>
    </row>
    <row r="439" ht="15.75" hidden="1" customHeight="1">
      <c r="A439" s="11"/>
      <c r="B439" s="11"/>
      <c r="C439" s="11"/>
      <c r="D439" s="13"/>
      <c r="E439" s="11"/>
      <c r="F439" s="11"/>
      <c r="G439" s="11"/>
      <c r="H439" s="13"/>
      <c r="I439" s="11"/>
      <c r="J439" s="11"/>
      <c r="K439" s="12"/>
      <c r="L439" s="12"/>
      <c r="M439" s="11"/>
      <c r="N439" s="11"/>
      <c r="O439" s="12"/>
      <c r="P439" s="11"/>
      <c r="Q439" s="11"/>
      <c r="R439" s="13"/>
      <c r="S439" s="19"/>
      <c r="T439" s="13"/>
      <c r="U439" s="13"/>
      <c r="V439" s="13"/>
      <c r="W439" s="13"/>
      <c r="X439" s="13"/>
      <c r="Y439" s="13"/>
      <c r="Z439" s="13"/>
      <c r="AA439" s="13"/>
      <c r="AB439" s="13"/>
      <c r="AC439" s="13"/>
      <c r="AD439" s="13"/>
      <c r="AE439" s="13"/>
      <c r="AF439" s="13"/>
      <c r="AG439" s="13"/>
      <c r="AH439" s="13"/>
      <c r="AI439" s="13"/>
      <c r="AJ439" s="13"/>
    </row>
    <row r="440" ht="15.75" hidden="1" customHeight="1">
      <c r="A440" s="7"/>
      <c r="B440" s="7"/>
      <c r="C440" s="7"/>
      <c r="D440" s="9"/>
      <c r="E440" s="7"/>
      <c r="F440" s="7"/>
      <c r="G440" s="7"/>
      <c r="H440" s="9"/>
      <c r="I440" s="7"/>
      <c r="J440" s="7"/>
      <c r="K440" s="8"/>
      <c r="L440" s="8"/>
      <c r="M440" s="7"/>
      <c r="N440" s="7"/>
      <c r="O440" s="8"/>
      <c r="P440" s="7"/>
      <c r="Q440" s="7"/>
      <c r="R440" s="9"/>
      <c r="S440" s="17"/>
      <c r="T440" s="9"/>
      <c r="U440" s="9"/>
      <c r="V440" s="9"/>
      <c r="W440" s="9"/>
      <c r="X440" s="9"/>
      <c r="Y440" s="9"/>
      <c r="Z440" s="9"/>
      <c r="AA440" s="9"/>
      <c r="AB440" s="9"/>
      <c r="AC440" s="9"/>
      <c r="AD440" s="9"/>
      <c r="AE440" s="9"/>
      <c r="AF440" s="9"/>
      <c r="AG440" s="9"/>
      <c r="AH440" s="9"/>
      <c r="AI440" s="9"/>
      <c r="AJ440" s="9"/>
    </row>
    <row r="441" ht="15.75" hidden="1" customHeight="1">
      <c r="A441" s="11"/>
      <c r="B441" s="11"/>
      <c r="C441" s="11"/>
      <c r="D441" s="13"/>
      <c r="E441" s="11"/>
      <c r="F441" s="11"/>
      <c r="G441" s="11"/>
      <c r="H441" s="13"/>
      <c r="I441" s="11"/>
      <c r="J441" s="11"/>
      <c r="K441" s="12"/>
      <c r="L441" s="12"/>
      <c r="M441" s="11"/>
      <c r="N441" s="11"/>
      <c r="O441" s="12"/>
      <c r="P441" s="11"/>
      <c r="Q441" s="11"/>
      <c r="R441" s="13"/>
      <c r="S441" s="19"/>
      <c r="T441" s="13"/>
      <c r="U441" s="13"/>
      <c r="V441" s="13"/>
      <c r="W441" s="13"/>
      <c r="X441" s="13"/>
      <c r="Y441" s="13"/>
      <c r="Z441" s="13"/>
      <c r="AA441" s="13"/>
      <c r="AB441" s="13"/>
      <c r="AC441" s="13"/>
      <c r="AD441" s="13"/>
      <c r="AE441" s="13"/>
      <c r="AF441" s="13"/>
      <c r="AG441" s="13"/>
      <c r="AH441" s="13"/>
      <c r="AI441" s="13"/>
      <c r="AJ441" s="13"/>
    </row>
    <row r="442" ht="15.75" hidden="1" customHeight="1">
      <c r="A442" s="7"/>
      <c r="B442" s="7"/>
      <c r="C442" s="7"/>
      <c r="D442" s="9"/>
      <c r="E442" s="7"/>
      <c r="F442" s="7"/>
      <c r="G442" s="7"/>
      <c r="H442" s="9"/>
      <c r="I442" s="7"/>
      <c r="J442" s="7"/>
      <c r="K442" s="8"/>
      <c r="L442" s="8"/>
      <c r="M442" s="7"/>
      <c r="N442" s="7"/>
      <c r="O442" s="8"/>
      <c r="P442" s="7"/>
      <c r="Q442" s="7"/>
      <c r="R442" s="9"/>
      <c r="S442" s="17"/>
      <c r="T442" s="9"/>
      <c r="U442" s="9"/>
      <c r="V442" s="9"/>
      <c r="W442" s="9"/>
      <c r="X442" s="9"/>
      <c r="Y442" s="9"/>
      <c r="Z442" s="9"/>
      <c r="AA442" s="9"/>
      <c r="AB442" s="9"/>
      <c r="AC442" s="9"/>
      <c r="AD442" s="9"/>
      <c r="AE442" s="9"/>
      <c r="AF442" s="9"/>
      <c r="AG442" s="9"/>
      <c r="AH442" s="9"/>
      <c r="AI442" s="9"/>
      <c r="AJ442" s="9"/>
    </row>
    <row r="443" ht="15.75" hidden="1" customHeight="1">
      <c r="A443" s="11"/>
      <c r="B443" s="11"/>
      <c r="C443" s="11"/>
      <c r="D443" s="13"/>
      <c r="E443" s="11"/>
      <c r="F443" s="11"/>
      <c r="G443" s="11"/>
      <c r="H443" s="13"/>
      <c r="I443" s="11"/>
      <c r="J443" s="11"/>
      <c r="K443" s="12"/>
      <c r="L443" s="12"/>
      <c r="M443" s="11"/>
      <c r="N443" s="11"/>
      <c r="O443" s="12"/>
      <c r="P443" s="11"/>
      <c r="Q443" s="11"/>
      <c r="R443" s="13"/>
      <c r="S443" s="19"/>
      <c r="T443" s="13"/>
      <c r="U443" s="13"/>
      <c r="V443" s="13"/>
      <c r="W443" s="13"/>
      <c r="X443" s="13"/>
      <c r="Y443" s="13"/>
      <c r="Z443" s="13"/>
      <c r="AA443" s="13"/>
      <c r="AB443" s="13"/>
      <c r="AC443" s="13"/>
      <c r="AD443" s="13"/>
      <c r="AE443" s="13"/>
      <c r="AF443" s="13"/>
      <c r="AG443" s="13"/>
      <c r="AH443" s="13"/>
      <c r="AI443" s="13"/>
      <c r="AJ443" s="13"/>
    </row>
    <row r="444" ht="15.75" hidden="1" customHeight="1">
      <c r="A444" s="7"/>
      <c r="B444" s="7"/>
      <c r="C444" s="7"/>
      <c r="D444" s="9"/>
      <c r="E444" s="7"/>
      <c r="F444" s="7"/>
      <c r="G444" s="7"/>
      <c r="H444" s="9"/>
      <c r="I444" s="7"/>
      <c r="J444" s="7"/>
      <c r="K444" s="8"/>
      <c r="L444" s="8"/>
      <c r="M444" s="7"/>
      <c r="N444" s="7"/>
      <c r="O444" s="8"/>
      <c r="P444" s="7"/>
      <c r="Q444" s="7"/>
      <c r="R444" s="9"/>
      <c r="S444" s="17"/>
      <c r="T444" s="9"/>
      <c r="U444" s="9"/>
      <c r="V444" s="9"/>
      <c r="W444" s="9"/>
      <c r="X444" s="9"/>
      <c r="Y444" s="9"/>
      <c r="Z444" s="9"/>
      <c r="AA444" s="9"/>
      <c r="AB444" s="9"/>
      <c r="AC444" s="9"/>
      <c r="AD444" s="9"/>
      <c r="AE444" s="9"/>
      <c r="AF444" s="9"/>
      <c r="AG444" s="9"/>
      <c r="AH444" s="9"/>
      <c r="AI444" s="9"/>
      <c r="AJ444" s="9"/>
    </row>
    <row r="445" ht="15.75" hidden="1" customHeight="1">
      <c r="A445" s="11"/>
      <c r="B445" s="11"/>
      <c r="C445" s="11"/>
      <c r="D445" s="13"/>
      <c r="E445" s="11"/>
      <c r="F445" s="11"/>
      <c r="G445" s="11"/>
      <c r="H445" s="13"/>
      <c r="I445" s="11"/>
      <c r="J445" s="11"/>
      <c r="K445" s="12"/>
      <c r="L445" s="12"/>
      <c r="M445" s="11"/>
      <c r="N445" s="11"/>
      <c r="O445" s="12"/>
      <c r="P445" s="11"/>
      <c r="Q445" s="11"/>
      <c r="R445" s="13"/>
      <c r="S445" s="19"/>
      <c r="T445" s="13"/>
      <c r="U445" s="13"/>
      <c r="V445" s="13"/>
      <c r="W445" s="13"/>
      <c r="X445" s="13"/>
      <c r="Y445" s="13"/>
      <c r="Z445" s="13"/>
      <c r="AA445" s="13"/>
      <c r="AB445" s="13"/>
      <c r="AC445" s="13"/>
      <c r="AD445" s="13"/>
      <c r="AE445" s="13"/>
      <c r="AF445" s="13"/>
      <c r="AG445" s="13"/>
      <c r="AH445" s="13"/>
      <c r="AI445" s="13"/>
      <c r="AJ445" s="13"/>
    </row>
    <row r="446" ht="15.75" hidden="1" customHeight="1">
      <c r="A446" s="7"/>
      <c r="B446" s="7"/>
      <c r="C446" s="7"/>
      <c r="D446" s="9"/>
      <c r="E446" s="7"/>
      <c r="F446" s="7"/>
      <c r="G446" s="7"/>
      <c r="H446" s="9"/>
      <c r="I446" s="7"/>
      <c r="J446" s="7"/>
      <c r="K446" s="8"/>
      <c r="L446" s="8"/>
      <c r="M446" s="7"/>
      <c r="N446" s="7"/>
      <c r="O446" s="8"/>
      <c r="P446" s="7"/>
      <c r="Q446" s="7"/>
      <c r="R446" s="9"/>
      <c r="S446" s="17"/>
      <c r="T446" s="9"/>
      <c r="U446" s="9"/>
      <c r="V446" s="9"/>
      <c r="W446" s="9"/>
      <c r="X446" s="9"/>
      <c r="Y446" s="9"/>
      <c r="Z446" s="9"/>
      <c r="AA446" s="9"/>
      <c r="AB446" s="9"/>
      <c r="AC446" s="9"/>
      <c r="AD446" s="9"/>
      <c r="AE446" s="9"/>
      <c r="AF446" s="9"/>
      <c r="AG446" s="9"/>
      <c r="AH446" s="9"/>
      <c r="AI446" s="9"/>
      <c r="AJ446" s="9"/>
    </row>
    <row r="447" ht="15.75" hidden="1" customHeight="1">
      <c r="A447" s="11"/>
      <c r="B447" s="11"/>
      <c r="C447" s="11"/>
      <c r="D447" s="13"/>
      <c r="E447" s="11"/>
      <c r="F447" s="11"/>
      <c r="G447" s="11"/>
      <c r="H447" s="13"/>
      <c r="I447" s="11"/>
      <c r="J447" s="11"/>
      <c r="K447" s="12"/>
      <c r="L447" s="12"/>
      <c r="M447" s="11"/>
      <c r="N447" s="11"/>
      <c r="O447" s="12"/>
      <c r="P447" s="11"/>
      <c r="Q447" s="11"/>
      <c r="R447" s="13"/>
      <c r="S447" s="19"/>
      <c r="T447" s="13"/>
      <c r="U447" s="13"/>
      <c r="V447" s="13"/>
      <c r="W447" s="13"/>
      <c r="X447" s="13"/>
      <c r="Y447" s="13"/>
      <c r="Z447" s="13"/>
      <c r="AA447" s="13"/>
      <c r="AB447" s="13"/>
      <c r="AC447" s="13"/>
      <c r="AD447" s="13"/>
      <c r="AE447" s="13"/>
      <c r="AF447" s="13"/>
      <c r="AG447" s="13"/>
      <c r="AH447" s="13"/>
      <c r="AI447" s="13"/>
      <c r="AJ447" s="13"/>
    </row>
    <row r="448" ht="15.75" hidden="1" customHeight="1">
      <c r="A448" s="7"/>
      <c r="B448" s="7"/>
      <c r="C448" s="7"/>
      <c r="D448" s="9"/>
      <c r="E448" s="7"/>
      <c r="F448" s="7"/>
      <c r="G448" s="7"/>
      <c r="H448" s="9"/>
      <c r="I448" s="7"/>
      <c r="J448" s="7"/>
      <c r="K448" s="8"/>
      <c r="L448" s="8"/>
      <c r="M448" s="7"/>
      <c r="N448" s="7"/>
      <c r="O448" s="8"/>
      <c r="P448" s="7"/>
      <c r="Q448" s="7"/>
      <c r="R448" s="9"/>
      <c r="S448" s="17"/>
      <c r="T448" s="9"/>
      <c r="U448" s="9"/>
      <c r="V448" s="9"/>
      <c r="W448" s="9"/>
      <c r="X448" s="9"/>
      <c r="Y448" s="9"/>
      <c r="Z448" s="9"/>
      <c r="AA448" s="9"/>
      <c r="AB448" s="9"/>
      <c r="AC448" s="9"/>
      <c r="AD448" s="9"/>
      <c r="AE448" s="9"/>
      <c r="AF448" s="9"/>
      <c r="AG448" s="9"/>
      <c r="AH448" s="9"/>
      <c r="AI448" s="9"/>
      <c r="AJ448" s="9"/>
    </row>
    <row r="449" ht="15.75" hidden="1" customHeight="1">
      <c r="A449" s="11"/>
      <c r="B449" s="11"/>
      <c r="C449" s="11"/>
      <c r="D449" s="13"/>
      <c r="E449" s="11"/>
      <c r="F449" s="11"/>
      <c r="G449" s="11"/>
      <c r="H449" s="13"/>
      <c r="I449" s="11"/>
      <c r="J449" s="11"/>
      <c r="K449" s="12"/>
      <c r="L449" s="12"/>
      <c r="M449" s="11"/>
      <c r="N449" s="11"/>
      <c r="O449" s="12"/>
      <c r="P449" s="11"/>
      <c r="Q449" s="11"/>
      <c r="R449" s="13"/>
      <c r="S449" s="19"/>
      <c r="T449" s="13"/>
      <c r="U449" s="13"/>
      <c r="V449" s="13"/>
      <c r="W449" s="13"/>
      <c r="X449" s="13"/>
      <c r="Y449" s="13"/>
      <c r="Z449" s="13"/>
      <c r="AA449" s="13"/>
      <c r="AB449" s="13"/>
      <c r="AC449" s="13"/>
      <c r="AD449" s="13"/>
      <c r="AE449" s="13"/>
      <c r="AF449" s="13"/>
      <c r="AG449" s="13"/>
      <c r="AH449" s="13"/>
      <c r="AI449" s="13"/>
      <c r="AJ449" s="13"/>
    </row>
    <row r="450" ht="15.75" hidden="1" customHeight="1">
      <c r="A450" s="7"/>
      <c r="B450" s="7"/>
      <c r="C450" s="7"/>
      <c r="D450" s="9"/>
      <c r="E450" s="7"/>
      <c r="F450" s="7"/>
      <c r="G450" s="7"/>
      <c r="H450" s="9"/>
      <c r="I450" s="7"/>
      <c r="J450" s="7"/>
      <c r="K450" s="8"/>
      <c r="L450" s="8"/>
      <c r="M450" s="7"/>
      <c r="N450" s="7"/>
      <c r="O450" s="8"/>
      <c r="P450" s="7"/>
      <c r="Q450" s="7"/>
      <c r="R450" s="9"/>
      <c r="S450" s="17"/>
      <c r="T450" s="9"/>
      <c r="U450" s="9"/>
      <c r="V450" s="9"/>
      <c r="W450" s="9"/>
      <c r="X450" s="9"/>
      <c r="Y450" s="9"/>
      <c r="Z450" s="9"/>
      <c r="AA450" s="9"/>
      <c r="AB450" s="9"/>
      <c r="AC450" s="9"/>
      <c r="AD450" s="9"/>
      <c r="AE450" s="9"/>
      <c r="AF450" s="9"/>
      <c r="AG450" s="9"/>
      <c r="AH450" s="9"/>
      <c r="AI450" s="9"/>
      <c r="AJ450" s="9"/>
    </row>
    <row r="451" ht="15.75" hidden="1" customHeight="1">
      <c r="A451" s="11"/>
      <c r="B451" s="11"/>
      <c r="C451" s="11"/>
      <c r="D451" s="13"/>
      <c r="E451" s="11"/>
      <c r="F451" s="11"/>
      <c r="G451" s="11"/>
      <c r="H451" s="13"/>
      <c r="I451" s="11"/>
      <c r="J451" s="11"/>
      <c r="K451" s="12"/>
      <c r="L451" s="12"/>
      <c r="M451" s="11"/>
      <c r="N451" s="11"/>
      <c r="O451" s="12"/>
      <c r="P451" s="11"/>
      <c r="Q451" s="11"/>
      <c r="R451" s="13"/>
      <c r="S451" s="19"/>
      <c r="T451" s="13"/>
      <c r="U451" s="13"/>
      <c r="V451" s="13"/>
      <c r="W451" s="13"/>
      <c r="X451" s="13"/>
      <c r="Y451" s="13"/>
      <c r="Z451" s="13"/>
      <c r="AA451" s="13"/>
      <c r="AB451" s="13"/>
      <c r="AC451" s="13"/>
      <c r="AD451" s="13"/>
      <c r="AE451" s="13"/>
      <c r="AF451" s="13"/>
      <c r="AG451" s="13"/>
      <c r="AH451" s="13"/>
      <c r="AI451" s="13"/>
      <c r="AJ451" s="13"/>
    </row>
    <row r="452" ht="15.75" hidden="1" customHeight="1">
      <c r="A452" s="7"/>
      <c r="B452" s="7"/>
      <c r="C452" s="7"/>
      <c r="D452" s="9"/>
      <c r="E452" s="7"/>
      <c r="F452" s="7"/>
      <c r="G452" s="7"/>
      <c r="H452" s="9"/>
      <c r="I452" s="7"/>
      <c r="J452" s="7"/>
      <c r="K452" s="8"/>
      <c r="L452" s="8"/>
      <c r="M452" s="7"/>
      <c r="N452" s="7"/>
      <c r="O452" s="8"/>
      <c r="P452" s="7"/>
      <c r="Q452" s="7"/>
      <c r="R452" s="9"/>
      <c r="S452" s="17"/>
      <c r="T452" s="9"/>
      <c r="U452" s="9"/>
      <c r="V452" s="9"/>
      <c r="W452" s="9"/>
      <c r="X452" s="9"/>
      <c r="Y452" s="9"/>
      <c r="Z452" s="9"/>
      <c r="AA452" s="9"/>
      <c r="AB452" s="9"/>
      <c r="AC452" s="9"/>
      <c r="AD452" s="9"/>
      <c r="AE452" s="9"/>
      <c r="AF452" s="9"/>
      <c r="AG452" s="9"/>
      <c r="AH452" s="9"/>
      <c r="AI452" s="9"/>
      <c r="AJ452" s="9"/>
    </row>
    <row r="453" ht="15.75" hidden="1" customHeight="1">
      <c r="A453" s="11"/>
      <c r="B453" s="11"/>
      <c r="C453" s="11"/>
      <c r="D453" s="13"/>
      <c r="E453" s="11"/>
      <c r="F453" s="11"/>
      <c r="G453" s="11"/>
      <c r="H453" s="13"/>
      <c r="I453" s="11"/>
      <c r="J453" s="11"/>
      <c r="K453" s="12"/>
      <c r="L453" s="12"/>
      <c r="M453" s="11"/>
      <c r="N453" s="11"/>
      <c r="O453" s="12"/>
      <c r="P453" s="11"/>
      <c r="Q453" s="11"/>
      <c r="R453" s="13"/>
      <c r="S453" s="19"/>
      <c r="T453" s="13"/>
      <c r="U453" s="13"/>
      <c r="V453" s="13"/>
      <c r="W453" s="13"/>
      <c r="X453" s="13"/>
      <c r="Y453" s="13"/>
      <c r="Z453" s="13"/>
      <c r="AA453" s="13"/>
      <c r="AB453" s="13"/>
      <c r="AC453" s="13"/>
      <c r="AD453" s="13"/>
      <c r="AE453" s="13"/>
      <c r="AF453" s="13"/>
      <c r="AG453" s="13"/>
      <c r="AH453" s="13"/>
      <c r="AI453" s="13"/>
      <c r="AJ453" s="13"/>
    </row>
    <row r="454" ht="15.75" hidden="1" customHeight="1">
      <c r="A454" s="7"/>
      <c r="B454" s="7"/>
      <c r="C454" s="7"/>
      <c r="D454" s="9"/>
      <c r="E454" s="7"/>
      <c r="F454" s="7"/>
      <c r="G454" s="7"/>
      <c r="H454" s="9"/>
      <c r="I454" s="7"/>
      <c r="J454" s="7"/>
      <c r="K454" s="8"/>
      <c r="L454" s="8"/>
      <c r="M454" s="7"/>
      <c r="N454" s="7"/>
      <c r="O454" s="8"/>
      <c r="P454" s="7"/>
      <c r="Q454" s="7"/>
      <c r="R454" s="9"/>
      <c r="S454" s="17"/>
      <c r="T454" s="9"/>
      <c r="U454" s="9"/>
      <c r="V454" s="9"/>
      <c r="W454" s="9"/>
      <c r="X454" s="9"/>
      <c r="Y454" s="9"/>
      <c r="Z454" s="9"/>
      <c r="AA454" s="9"/>
      <c r="AB454" s="9"/>
      <c r="AC454" s="9"/>
      <c r="AD454" s="9"/>
      <c r="AE454" s="9"/>
      <c r="AF454" s="9"/>
      <c r="AG454" s="9"/>
      <c r="AH454" s="9"/>
      <c r="AI454" s="9"/>
      <c r="AJ454" s="9"/>
    </row>
    <row r="455" ht="15.75" hidden="1" customHeight="1">
      <c r="A455" s="11"/>
      <c r="B455" s="11"/>
      <c r="C455" s="11"/>
      <c r="D455" s="13"/>
      <c r="E455" s="11"/>
      <c r="F455" s="11"/>
      <c r="G455" s="11"/>
      <c r="H455" s="13"/>
      <c r="I455" s="11"/>
      <c r="J455" s="11"/>
      <c r="K455" s="12"/>
      <c r="L455" s="12"/>
      <c r="M455" s="11"/>
      <c r="N455" s="11"/>
      <c r="O455" s="12"/>
      <c r="P455" s="11"/>
      <c r="Q455" s="11"/>
      <c r="R455" s="13"/>
      <c r="S455" s="19"/>
      <c r="T455" s="13"/>
      <c r="U455" s="13"/>
      <c r="V455" s="13"/>
      <c r="W455" s="13"/>
      <c r="X455" s="13"/>
      <c r="Y455" s="13"/>
      <c r="Z455" s="13"/>
      <c r="AA455" s="13"/>
      <c r="AB455" s="13"/>
      <c r="AC455" s="13"/>
      <c r="AD455" s="13"/>
      <c r="AE455" s="13"/>
      <c r="AF455" s="13"/>
      <c r="AG455" s="13"/>
      <c r="AH455" s="13"/>
      <c r="AI455" s="13"/>
      <c r="AJ455" s="13"/>
    </row>
    <row r="456" ht="15.75" hidden="1" customHeight="1">
      <c r="A456" s="7"/>
      <c r="B456" s="7"/>
      <c r="C456" s="7"/>
      <c r="D456" s="9"/>
      <c r="E456" s="7"/>
      <c r="F456" s="7"/>
      <c r="G456" s="7"/>
      <c r="H456" s="9"/>
      <c r="I456" s="7"/>
      <c r="J456" s="7"/>
      <c r="K456" s="8"/>
      <c r="L456" s="8"/>
      <c r="M456" s="7"/>
      <c r="N456" s="7"/>
      <c r="O456" s="8"/>
      <c r="P456" s="7"/>
      <c r="Q456" s="7"/>
      <c r="R456" s="9"/>
      <c r="S456" s="17"/>
      <c r="T456" s="9"/>
      <c r="U456" s="9"/>
      <c r="V456" s="9"/>
      <c r="W456" s="9"/>
      <c r="X456" s="9"/>
      <c r="Y456" s="9"/>
      <c r="Z456" s="9"/>
      <c r="AA456" s="9"/>
      <c r="AB456" s="9"/>
      <c r="AC456" s="9"/>
      <c r="AD456" s="9"/>
      <c r="AE456" s="9"/>
      <c r="AF456" s="9"/>
      <c r="AG456" s="9"/>
      <c r="AH456" s="9"/>
      <c r="AI456" s="9"/>
      <c r="AJ456" s="9"/>
    </row>
    <row r="457" ht="15.75" hidden="1" customHeight="1">
      <c r="A457" s="11"/>
      <c r="B457" s="11"/>
      <c r="C457" s="11"/>
      <c r="D457" s="13"/>
      <c r="E457" s="11"/>
      <c r="F457" s="11"/>
      <c r="G457" s="11"/>
      <c r="H457" s="13"/>
      <c r="I457" s="11"/>
      <c r="J457" s="11"/>
      <c r="K457" s="12"/>
      <c r="L457" s="12"/>
      <c r="M457" s="11"/>
      <c r="N457" s="11"/>
      <c r="O457" s="12"/>
      <c r="P457" s="11"/>
      <c r="Q457" s="11"/>
      <c r="R457" s="13"/>
      <c r="S457" s="19"/>
      <c r="T457" s="13"/>
      <c r="U457" s="13"/>
      <c r="V457" s="13"/>
      <c r="W457" s="13"/>
      <c r="X457" s="13"/>
      <c r="Y457" s="13"/>
      <c r="Z457" s="13"/>
      <c r="AA457" s="13"/>
      <c r="AB457" s="13"/>
      <c r="AC457" s="13"/>
      <c r="AD457" s="13"/>
      <c r="AE457" s="13"/>
      <c r="AF457" s="13"/>
      <c r="AG457" s="13"/>
      <c r="AH457" s="13"/>
      <c r="AI457" s="13"/>
      <c r="AJ457" s="13"/>
    </row>
    <row r="458" ht="15.75" hidden="1" customHeight="1">
      <c r="A458" s="7"/>
      <c r="B458" s="7"/>
      <c r="C458" s="7"/>
      <c r="D458" s="9"/>
      <c r="E458" s="7"/>
      <c r="F458" s="7"/>
      <c r="G458" s="7"/>
      <c r="H458" s="9"/>
      <c r="I458" s="7"/>
      <c r="J458" s="7"/>
      <c r="K458" s="8"/>
      <c r="L458" s="8"/>
      <c r="M458" s="7"/>
      <c r="N458" s="7"/>
      <c r="O458" s="8"/>
      <c r="P458" s="7"/>
      <c r="Q458" s="7"/>
      <c r="R458" s="9"/>
      <c r="S458" s="17"/>
      <c r="T458" s="9"/>
      <c r="U458" s="9"/>
      <c r="V458" s="9"/>
      <c r="W458" s="9"/>
      <c r="X458" s="9"/>
      <c r="Y458" s="9"/>
      <c r="Z458" s="9"/>
      <c r="AA458" s="9"/>
      <c r="AB458" s="9"/>
      <c r="AC458" s="9"/>
      <c r="AD458" s="9"/>
      <c r="AE458" s="9"/>
      <c r="AF458" s="9"/>
      <c r="AG458" s="9"/>
      <c r="AH458" s="9"/>
      <c r="AI458" s="9"/>
      <c r="AJ458" s="9"/>
    </row>
    <row r="459" ht="15.75" hidden="1" customHeight="1">
      <c r="A459" s="11"/>
      <c r="B459" s="11"/>
      <c r="C459" s="11"/>
      <c r="D459" s="13"/>
      <c r="E459" s="11"/>
      <c r="F459" s="11"/>
      <c r="G459" s="11"/>
      <c r="H459" s="13"/>
      <c r="I459" s="11"/>
      <c r="J459" s="11"/>
      <c r="K459" s="12"/>
      <c r="L459" s="12"/>
      <c r="M459" s="11"/>
      <c r="N459" s="11"/>
      <c r="O459" s="12"/>
      <c r="P459" s="11"/>
      <c r="Q459" s="11"/>
      <c r="R459" s="13"/>
      <c r="S459" s="19"/>
      <c r="T459" s="13"/>
      <c r="U459" s="13"/>
      <c r="V459" s="13"/>
      <c r="W459" s="13"/>
      <c r="X459" s="13"/>
      <c r="Y459" s="13"/>
      <c r="Z459" s="13"/>
      <c r="AA459" s="13"/>
      <c r="AB459" s="13"/>
      <c r="AC459" s="13"/>
      <c r="AD459" s="13"/>
      <c r="AE459" s="13"/>
      <c r="AF459" s="13"/>
      <c r="AG459" s="13"/>
      <c r="AH459" s="13"/>
      <c r="AI459" s="13"/>
      <c r="AJ459" s="13"/>
    </row>
    <row r="460" ht="15.75" hidden="1" customHeight="1">
      <c r="A460" s="7"/>
      <c r="B460" s="7"/>
      <c r="C460" s="7"/>
      <c r="D460" s="9"/>
      <c r="E460" s="7"/>
      <c r="F460" s="7"/>
      <c r="G460" s="7"/>
      <c r="H460" s="9"/>
      <c r="I460" s="7"/>
      <c r="J460" s="7"/>
      <c r="K460" s="8"/>
      <c r="L460" s="8"/>
      <c r="M460" s="7"/>
      <c r="N460" s="7"/>
      <c r="O460" s="8"/>
      <c r="P460" s="7"/>
      <c r="Q460" s="7"/>
      <c r="R460" s="9"/>
      <c r="S460" s="17"/>
      <c r="T460" s="9"/>
      <c r="U460" s="9"/>
      <c r="V460" s="9"/>
      <c r="W460" s="9"/>
      <c r="X460" s="9"/>
      <c r="Y460" s="9"/>
      <c r="Z460" s="9"/>
      <c r="AA460" s="9"/>
      <c r="AB460" s="9"/>
      <c r="AC460" s="9"/>
      <c r="AD460" s="9"/>
      <c r="AE460" s="9"/>
      <c r="AF460" s="9"/>
      <c r="AG460" s="9"/>
      <c r="AH460" s="9"/>
      <c r="AI460" s="9"/>
      <c r="AJ460" s="9"/>
    </row>
    <row r="461" ht="15.75" hidden="1" customHeight="1">
      <c r="A461" s="11"/>
      <c r="B461" s="11"/>
      <c r="C461" s="11"/>
      <c r="D461" s="13"/>
      <c r="E461" s="11"/>
      <c r="F461" s="11"/>
      <c r="G461" s="11"/>
      <c r="H461" s="13"/>
      <c r="I461" s="11"/>
      <c r="J461" s="11"/>
      <c r="K461" s="12"/>
      <c r="L461" s="12"/>
      <c r="M461" s="11"/>
      <c r="N461" s="11"/>
      <c r="O461" s="12"/>
      <c r="P461" s="11"/>
      <c r="Q461" s="11"/>
      <c r="R461" s="13"/>
      <c r="S461" s="19"/>
      <c r="T461" s="13"/>
      <c r="U461" s="13"/>
      <c r="V461" s="13"/>
      <c r="W461" s="13"/>
      <c r="X461" s="13"/>
      <c r="Y461" s="13"/>
      <c r="Z461" s="13"/>
      <c r="AA461" s="13"/>
      <c r="AB461" s="13"/>
      <c r="AC461" s="13"/>
      <c r="AD461" s="13"/>
      <c r="AE461" s="13"/>
      <c r="AF461" s="13"/>
      <c r="AG461" s="13"/>
      <c r="AH461" s="13"/>
      <c r="AI461" s="13"/>
      <c r="AJ461" s="13"/>
    </row>
    <row r="462" ht="15.75" hidden="1" customHeight="1">
      <c r="A462" s="7"/>
      <c r="B462" s="7"/>
      <c r="C462" s="7"/>
      <c r="D462" s="9"/>
      <c r="E462" s="7"/>
      <c r="F462" s="7"/>
      <c r="G462" s="7"/>
      <c r="H462" s="9"/>
      <c r="I462" s="7"/>
      <c r="J462" s="7"/>
      <c r="K462" s="8"/>
      <c r="L462" s="8"/>
      <c r="M462" s="7"/>
      <c r="N462" s="7"/>
      <c r="O462" s="8"/>
      <c r="P462" s="7"/>
      <c r="Q462" s="7"/>
      <c r="R462" s="9"/>
      <c r="S462" s="17"/>
      <c r="T462" s="9"/>
      <c r="U462" s="9"/>
      <c r="V462" s="9"/>
      <c r="W462" s="9"/>
      <c r="X462" s="9"/>
      <c r="Y462" s="9"/>
      <c r="Z462" s="9"/>
      <c r="AA462" s="9"/>
      <c r="AB462" s="9"/>
      <c r="AC462" s="9"/>
      <c r="AD462" s="9"/>
      <c r="AE462" s="9"/>
      <c r="AF462" s="9"/>
      <c r="AG462" s="9"/>
      <c r="AH462" s="9"/>
      <c r="AI462" s="9"/>
      <c r="AJ462" s="9"/>
    </row>
    <row r="463" ht="15.75" hidden="1" customHeight="1">
      <c r="A463" s="11"/>
      <c r="B463" s="11"/>
      <c r="C463" s="11"/>
      <c r="D463" s="13"/>
      <c r="E463" s="11"/>
      <c r="F463" s="11"/>
      <c r="G463" s="11"/>
      <c r="H463" s="13"/>
      <c r="I463" s="11"/>
      <c r="J463" s="11"/>
      <c r="K463" s="12"/>
      <c r="L463" s="12"/>
      <c r="M463" s="11"/>
      <c r="N463" s="11"/>
      <c r="O463" s="12"/>
      <c r="P463" s="11"/>
      <c r="Q463" s="11"/>
      <c r="R463" s="13"/>
      <c r="S463" s="19"/>
      <c r="T463" s="13"/>
      <c r="U463" s="13"/>
      <c r="V463" s="13"/>
      <c r="W463" s="13"/>
      <c r="X463" s="13"/>
      <c r="Y463" s="13"/>
      <c r="Z463" s="13"/>
      <c r="AA463" s="13"/>
      <c r="AB463" s="13"/>
      <c r="AC463" s="13"/>
      <c r="AD463" s="13"/>
      <c r="AE463" s="13"/>
      <c r="AF463" s="13"/>
      <c r="AG463" s="13"/>
      <c r="AH463" s="13"/>
      <c r="AI463" s="13"/>
      <c r="AJ463" s="13"/>
    </row>
    <row r="464" ht="15.75" hidden="1" customHeight="1">
      <c r="A464" s="7"/>
      <c r="B464" s="7"/>
      <c r="C464" s="7"/>
      <c r="D464" s="9"/>
      <c r="E464" s="7"/>
      <c r="F464" s="7"/>
      <c r="G464" s="7"/>
      <c r="H464" s="9"/>
      <c r="I464" s="7"/>
      <c r="J464" s="7"/>
      <c r="K464" s="8"/>
      <c r="L464" s="8"/>
      <c r="M464" s="7"/>
      <c r="N464" s="7"/>
      <c r="O464" s="8"/>
      <c r="P464" s="7"/>
      <c r="Q464" s="7"/>
      <c r="R464" s="9"/>
      <c r="S464" s="17"/>
      <c r="T464" s="9"/>
      <c r="U464" s="9"/>
      <c r="V464" s="9"/>
      <c r="W464" s="9"/>
      <c r="X464" s="9"/>
      <c r="Y464" s="9"/>
      <c r="Z464" s="9"/>
      <c r="AA464" s="9"/>
      <c r="AB464" s="9"/>
      <c r="AC464" s="9"/>
      <c r="AD464" s="9"/>
      <c r="AE464" s="9"/>
      <c r="AF464" s="9"/>
      <c r="AG464" s="9"/>
      <c r="AH464" s="9"/>
      <c r="AI464" s="9"/>
      <c r="AJ464" s="9"/>
    </row>
    <row r="465" ht="15.75" hidden="1" customHeight="1">
      <c r="A465" s="11"/>
      <c r="B465" s="11"/>
      <c r="C465" s="11"/>
      <c r="D465" s="13"/>
      <c r="E465" s="11"/>
      <c r="F465" s="11"/>
      <c r="G465" s="11"/>
      <c r="H465" s="13"/>
      <c r="I465" s="11"/>
      <c r="J465" s="11"/>
      <c r="K465" s="12"/>
      <c r="L465" s="12"/>
      <c r="M465" s="11"/>
      <c r="N465" s="11"/>
      <c r="O465" s="12"/>
      <c r="P465" s="11"/>
      <c r="Q465" s="11"/>
      <c r="R465" s="13"/>
      <c r="S465" s="19"/>
      <c r="T465" s="13"/>
      <c r="U465" s="13"/>
      <c r="V465" s="13"/>
      <c r="W465" s="13"/>
      <c r="X465" s="13"/>
      <c r="Y465" s="13"/>
      <c r="Z465" s="13"/>
      <c r="AA465" s="13"/>
      <c r="AB465" s="13"/>
      <c r="AC465" s="13"/>
      <c r="AD465" s="13"/>
      <c r="AE465" s="13"/>
      <c r="AF465" s="13"/>
      <c r="AG465" s="13"/>
      <c r="AH465" s="13"/>
      <c r="AI465" s="13"/>
      <c r="AJ465" s="13"/>
    </row>
    <row r="466" ht="15.75" hidden="1" customHeight="1">
      <c r="A466" s="7"/>
      <c r="B466" s="7"/>
      <c r="C466" s="7"/>
      <c r="D466" s="9"/>
      <c r="E466" s="7"/>
      <c r="F466" s="7"/>
      <c r="G466" s="7"/>
      <c r="H466" s="9"/>
      <c r="I466" s="7"/>
      <c r="J466" s="7"/>
      <c r="K466" s="8"/>
      <c r="L466" s="8"/>
      <c r="M466" s="7"/>
      <c r="N466" s="7"/>
      <c r="O466" s="8"/>
      <c r="P466" s="7"/>
      <c r="Q466" s="7"/>
      <c r="R466" s="9"/>
      <c r="S466" s="17"/>
      <c r="T466" s="9"/>
      <c r="U466" s="9"/>
      <c r="V466" s="9"/>
      <c r="W466" s="9"/>
      <c r="X466" s="9"/>
      <c r="Y466" s="9"/>
      <c r="Z466" s="9"/>
      <c r="AA466" s="9"/>
      <c r="AB466" s="9"/>
      <c r="AC466" s="9"/>
      <c r="AD466" s="9"/>
      <c r="AE466" s="9"/>
      <c r="AF466" s="9"/>
      <c r="AG466" s="9"/>
      <c r="AH466" s="9"/>
      <c r="AI466" s="9"/>
      <c r="AJ466" s="9"/>
    </row>
    <row r="467" ht="15.75" hidden="1" customHeight="1">
      <c r="A467" s="11"/>
      <c r="B467" s="11"/>
      <c r="C467" s="11"/>
      <c r="D467" s="13"/>
      <c r="E467" s="11"/>
      <c r="F467" s="11"/>
      <c r="G467" s="11"/>
      <c r="H467" s="13"/>
      <c r="I467" s="11"/>
      <c r="J467" s="11"/>
      <c r="K467" s="12"/>
      <c r="L467" s="12"/>
      <c r="M467" s="11"/>
      <c r="N467" s="11"/>
      <c r="O467" s="12"/>
      <c r="P467" s="11"/>
      <c r="Q467" s="11"/>
      <c r="R467" s="13"/>
      <c r="S467" s="19"/>
      <c r="T467" s="13"/>
      <c r="U467" s="13"/>
      <c r="V467" s="13"/>
      <c r="W467" s="13"/>
      <c r="X467" s="13"/>
      <c r="Y467" s="13"/>
      <c r="Z467" s="13"/>
      <c r="AA467" s="13"/>
      <c r="AB467" s="13"/>
      <c r="AC467" s="13"/>
      <c r="AD467" s="13"/>
      <c r="AE467" s="13"/>
      <c r="AF467" s="13"/>
      <c r="AG467" s="13"/>
      <c r="AH467" s="13"/>
      <c r="AI467" s="13"/>
      <c r="AJ467" s="13"/>
    </row>
    <row r="468" ht="15.75" hidden="1" customHeight="1">
      <c r="A468" s="7"/>
      <c r="B468" s="7"/>
      <c r="C468" s="7"/>
      <c r="D468" s="9"/>
      <c r="E468" s="7"/>
      <c r="F468" s="7"/>
      <c r="G468" s="7"/>
      <c r="H468" s="9"/>
      <c r="I468" s="7"/>
      <c r="J468" s="7"/>
      <c r="K468" s="8"/>
      <c r="L468" s="8"/>
      <c r="M468" s="7"/>
      <c r="N468" s="7"/>
      <c r="O468" s="8"/>
      <c r="P468" s="7"/>
      <c r="Q468" s="7"/>
      <c r="R468" s="9"/>
      <c r="S468" s="17"/>
      <c r="T468" s="9"/>
      <c r="U468" s="9"/>
      <c r="V468" s="9"/>
      <c r="W468" s="9"/>
      <c r="X468" s="9"/>
      <c r="Y468" s="9"/>
      <c r="Z468" s="9"/>
      <c r="AA468" s="9"/>
      <c r="AB468" s="9"/>
      <c r="AC468" s="9"/>
      <c r="AD468" s="9"/>
      <c r="AE468" s="9"/>
      <c r="AF468" s="9"/>
      <c r="AG468" s="9"/>
      <c r="AH468" s="9"/>
      <c r="AI468" s="9"/>
      <c r="AJ468" s="9"/>
    </row>
    <row r="469" ht="15.75" hidden="1" customHeight="1">
      <c r="A469" s="11"/>
      <c r="B469" s="11"/>
      <c r="C469" s="11"/>
      <c r="D469" s="13"/>
      <c r="E469" s="11"/>
      <c r="F469" s="11"/>
      <c r="G469" s="11"/>
      <c r="H469" s="13"/>
      <c r="I469" s="11"/>
      <c r="J469" s="11"/>
      <c r="K469" s="12"/>
      <c r="L469" s="12"/>
      <c r="M469" s="11"/>
      <c r="N469" s="11"/>
      <c r="O469" s="12"/>
      <c r="P469" s="11"/>
      <c r="Q469" s="11"/>
      <c r="R469" s="13"/>
      <c r="S469" s="19"/>
      <c r="T469" s="13"/>
      <c r="U469" s="13"/>
      <c r="V469" s="13"/>
      <c r="W469" s="13"/>
      <c r="X469" s="13"/>
      <c r="Y469" s="13"/>
      <c r="Z469" s="13"/>
      <c r="AA469" s="13"/>
      <c r="AB469" s="13"/>
      <c r="AC469" s="13"/>
      <c r="AD469" s="13"/>
      <c r="AE469" s="13"/>
      <c r="AF469" s="13"/>
      <c r="AG469" s="13"/>
      <c r="AH469" s="13"/>
      <c r="AI469" s="13"/>
      <c r="AJ469" s="13"/>
    </row>
    <row r="470" ht="15.75" hidden="1" customHeight="1">
      <c r="A470" s="7"/>
      <c r="B470" s="7"/>
      <c r="C470" s="7"/>
      <c r="D470" s="9"/>
      <c r="E470" s="7"/>
      <c r="F470" s="7"/>
      <c r="G470" s="7"/>
      <c r="H470" s="9"/>
      <c r="I470" s="7"/>
      <c r="J470" s="7"/>
      <c r="K470" s="8"/>
      <c r="L470" s="8"/>
      <c r="M470" s="7"/>
      <c r="N470" s="7"/>
      <c r="O470" s="8"/>
      <c r="P470" s="7"/>
      <c r="Q470" s="7"/>
      <c r="R470" s="9"/>
      <c r="S470" s="17"/>
      <c r="T470" s="9"/>
      <c r="U470" s="9"/>
      <c r="V470" s="9"/>
      <c r="W470" s="9"/>
      <c r="X470" s="9"/>
      <c r="Y470" s="9"/>
      <c r="Z470" s="9"/>
      <c r="AA470" s="9"/>
      <c r="AB470" s="9"/>
      <c r="AC470" s="9"/>
      <c r="AD470" s="9"/>
      <c r="AE470" s="9"/>
      <c r="AF470" s="9"/>
      <c r="AG470" s="9"/>
      <c r="AH470" s="9"/>
      <c r="AI470" s="9"/>
      <c r="AJ470" s="9"/>
    </row>
    <row r="471" ht="15.75" hidden="1" customHeight="1">
      <c r="A471" s="11"/>
      <c r="B471" s="11"/>
      <c r="C471" s="11"/>
      <c r="D471" s="13"/>
      <c r="E471" s="11"/>
      <c r="F471" s="11"/>
      <c r="G471" s="11"/>
      <c r="H471" s="13"/>
      <c r="I471" s="11"/>
      <c r="J471" s="11"/>
      <c r="K471" s="12"/>
      <c r="L471" s="12"/>
      <c r="M471" s="11"/>
      <c r="N471" s="11"/>
      <c r="O471" s="12"/>
      <c r="P471" s="11"/>
      <c r="Q471" s="11"/>
      <c r="R471" s="13"/>
      <c r="S471" s="19"/>
      <c r="T471" s="13"/>
      <c r="U471" s="13"/>
      <c r="V471" s="13"/>
      <c r="W471" s="13"/>
      <c r="X471" s="13"/>
      <c r="Y471" s="13"/>
      <c r="Z471" s="13"/>
      <c r="AA471" s="13"/>
      <c r="AB471" s="13"/>
      <c r="AC471" s="13"/>
      <c r="AD471" s="13"/>
      <c r="AE471" s="13"/>
      <c r="AF471" s="13"/>
      <c r="AG471" s="13"/>
      <c r="AH471" s="13"/>
      <c r="AI471" s="13"/>
      <c r="AJ471" s="13"/>
    </row>
    <row r="472" ht="15.75" hidden="1" customHeight="1">
      <c r="A472" s="7"/>
      <c r="B472" s="7"/>
      <c r="C472" s="7"/>
      <c r="D472" s="9"/>
      <c r="E472" s="7"/>
      <c r="F472" s="7"/>
      <c r="G472" s="7"/>
      <c r="H472" s="9"/>
      <c r="I472" s="7"/>
      <c r="J472" s="7"/>
      <c r="K472" s="8"/>
      <c r="L472" s="8"/>
      <c r="M472" s="7"/>
      <c r="N472" s="7"/>
      <c r="O472" s="8"/>
      <c r="P472" s="7"/>
      <c r="Q472" s="7"/>
      <c r="R472" s="9"/>
      <c r="S472" s="17"/>
      <c r="T472" s="9"/>
      <c r="U472" s="9"/>
      <c r="V472" s="9"/>
      <c r="W472" s="9"/>
      <c r="X472" s="9"/>
      <c r="Y472" s="9"/>
      <c r="Z472" s="9"/>
      <c r="AA472" s="9"/>
      <c r="AB472" s="9"/>
      <c r="AC472" s="9"/>
      <c r="AD472" s="9"/>
      <c r="AE472" s="9"/>
      <c r="AF472" s="9"/>
      <c r="AG472" s="9"/>
      <c r="AH472" s="9"/>
      <c r="AI472" s="9"/>
      <c r="AJ472" s="9"/>
    </row>
    <row r="473" ht="15.75" hidden="1" customHeight="1">
      <c r="A473" s="11"/>
      <c r="B473" s="11"/>
      <c r="C473" s="11"/>
      <c r="D473" s="13"/>
      <c r="E473" s="11"/>
      <c r="F473" s="11"/>
      <c r="G473" s="11"/>
      <c r="H473" s="13"/>
      <c r="I473" s="11"/>
      <c r="J473" s="11"/>
      <c r="K473" s="12"/>
      <c r="L473" s="12"/>
      <c r="M473" s="11"/>
      <c r="N473" s="11"/>
      <c r="O473" s="12"/>
      <c r="P473" s="11"/>
      <c r="Q473" s="11"/>
      <c r="R473" s="13"/>
      <c r="S473" s="19"/>
      <c r="T473" s="13"/>
      <c r="U473" s="13"/>
      <c r="V473" s="13"/>
      <c r="W473" s="13"/>
      <c r="X473" s="13"/>
      <c r="Y473" s="13"/>
      <c r="Z473" s="13"/>
      <c r="AA473" s="13"/>
      <c r="AB473" s="13"/>
      <c r="AC473" s="13"/>
      <c r="AD473" s="13"/>
      <c r="AE473" s="13"/>
      <c r="AF473" s="13"/>
      <c r="AG473" s="13"/>
      <c r="AH473" s="13"/>
      <c r="AI473" s="13"/>
      <c r="AJ473" s="13"/>
    </row>
    <row r="474" ht="15.75" hidden="1" customHeight="1">
      <c r="A474" s="7"/>
      <c r="B474" s="7"/>
      <c r="C474" s="7"/>
      <c r="D474" s="9"/>
      <c r="E474" s="7"/>
      <c r="F474" s="7"/>
      <c r="G474" s="7"/>
      <c r="H474" s="9"/>
      <c r="I474" s="7"/>
      <c r="J474" s="7"/>
      <c r="K474" s="8"/>
      <c r="L474" s="8"/>
      <c r="M474" s="7"/>
      <c r="N474" s="7"/>
      <c r="O474" s="8"/>
      <c r="P474" s="7"/>
      <c r="Q474" s="7"/>
      <c r="R474" s="9"/>
      <c r="S474" s="17"/>
      <c r="T474" s="9"/>
      <c r="U474" s="9"/>
      <c r="V474" s="9"/>
      <c r="W474" s="9"/>
      <c r="X474" s="9"/>
      <c r="Y474" s="9"/>
      <c r="Z474" s="9"/>
      <c r="AA474" s="9"/>
      <c r="AB474" s="9"/>
      <c r="AC474" s="9"/>
      <c r="AD474" s="9"/>
      <c r="AE474" s="9"/>
      <c r="AF474" s="9"/>
      <c r="AG474" s="9"/>
      <c r="AH474" s="9"/>
      <c r="AI474" s="9"/>
      <c r="AJ474" s="9"/>
    </row>
    <row r="475" ht="15.75" hidden="1" customHeight="1">
      <c r="A475" s="11"/>
      <c r="B475" s="11"/>
      <c r="C475" s="11"/>
      <c r="D475" s="13"/>
      <c r="E475" s="11"/>
      <c r="F475" s="11"/>
      <c r="G475" s="11"/>
      <c r="H475" s="13"/>
      <c r="I475" s="11"/>
      <c r="J475" s="11"/>
      <c r="K475" s="12"/>
      <c r="L475" s="12"/>
      <c r="M475" s="11"/>
      <c r="N475" s="11"/>
      <c r="O475" s="12"/>
      <c r="P475" s="11"/>
      <c r="Q475" s="11"/>
      <c r="R475" s="13"/>
      <c r="S475" s="19"/>
      <c r="T475" s="13"/>
      <c r="U475" s="13"/>
      <c r="V475" s="13"/>
      <c r="W475" s="13"/>
      <c r="X475" s="13"/>
      <c r="Y475" s="13"/>
      <c r="Z475" s="13"/>
      <c r="AA475" s="13"/>
      <c r="AB475" s="13"/>
      <c r="AC475" s="13"/>
      <c r="AD475" s="13"/>
      <c r="AE475" s="13"/>
      <c r="AF475" s="13"/>
      <c r="AG475" s="13"/>
      <c r="AH475" s="13"/>
      <c r="AI475" s="13"/>
      <c r="AJ475" s="13"/>
    </row>
    <row r="476" ht="15.75" hidden="1" customHeight="1">
      <c r="A476" s="7"/>
      <c r="B476" s="7"/>
      <c r="C476" s="7"/>
      <c r="D476" s="9"/>
      <c r="E476" s="7"/>
      <c r="F476" s="7"/>
      <c r="G476" s="7"/>
      <c r="H476" s="9"/>
      <c r="I476" s="7"/>
      <c r="J476" s="7"/>
      <c r="K476" s="8"/>
      <c r="L476" s="8"/>
      <c r="M476" s="7"/>
      <c r="N476" s="7"/>
      <c r="O476" s="8"/>
      <c r="P476" s="7"/>
      <c r="Q476" s="7"/>
      <c r="R476" s="9"/>
      <c r="S476" s="17"/>
      <c r="T476" s="9"/>
      <c r="U476" s="9"/>
      <c r="V476" s="9"/>
      <c r="W476" s="9"/>
      <c r="X476" s="9"/>
      <c r="Y476" s="9"/>
      <c r="Z476" s="9"/>
      <c r="AA476" s="9"/>
      <c r="AB476" s="9"/>
      <c r="AC476" s="9"/>
      <c r="AD476" s="9"/>
      <c r="AE476" s="9"/>
      <c r="AF476" s="9"/>
      <c r="AG476" s="9"/>
      <c r="AH476" s="9"/>
      <c r="AI476" s="9"/>
      <c r="AJ476" s="9"/>
    </row>
    <row r="477" ht="15.75" hidden="1" customHeight="1">
      <c r="A477" s="11"/>
      <c r="B477" s="11"/>
      <c r="C477" s="11"/>
      <c r="D477" s="13"/>
      <c r="E477" s="11"/>
      <c r="F477" s="11"/>
      <c r="G477" s="11"/>
      <c r="H477" s="13"/>
      <c r="I477" s="11"/>
      <c r="J477" s="11"/>
      <c r="K477" s="12"/>
      <c r="L477" s="12"/>
      <c r="M477" s="11"/>
      <c r="N477" s="11"/>
      <c r="O477" s="12"/>
      <c r="P477" s="11"/>
      <c r="Q477" s="11"/>
      <c r="R477" s="13"/>
      <c r="S477" s="19"/>
      <c r="T477" s="13"/>
      <c r="U477" s="13"/>
      <c r="V477" s="13"/>
      <c r="W477" s="13"/>
      <c r="X477" s="13"/>
      <c r="Y477" s="13"/>
      <c r="Z477" s="13"/>
      <c r="AA477" s="13"/>
      <c r="AB477" s="13"/>
      <c r="AC477" s="13"/>
      <c r="AD477" s="13"/>
      <c r="AE477" s="13"/>
      <c r="AF477" s="13"/>
      <c r="AG477" s="13"/>
      <c r="AH477" s="13"/>
      <c r="AI477" s="13"/>
      <c r="AJ477" s="13"/>
    </row>
    <row r="478" ht="15.75" hidden="1" customHeight="1">
      <c r="A478" s="7"/>
      <c r="B478" s="7"/>
      <c r="C478" s="7"/>
      <c r="D478" s="9"/>
      <c r="E478" s="7"/>
      <c r="F478" s="7"/>
      <c r="G478" s="7"/>
      <c r="H478" s="9"/>
      <c r="I478" s="7"/>
      <c r="J478" s="7"/>
      <c r="K478" s="8"/>
      <c r="L478" s="8"/>
      <c r="M478" s="7"/>
      <c r="N478" s="7"/>
      <c r="O478" s="8"/>
      <c r="P478" s="7"/>
      <c r="Q478" s="7"/>
      <c r="R478" s="9"/>
      <c r="S478" s="17"/>
      <c r="T478" s="9"/>
      <c r="U478" s="9"/>
      <c r="V478" s="9"/>
      <c r="W478" s="9"/>
      <c r="X478" s="9"/>
      <c r="Y478" s="9"/>
      <c r="Z478" s="9"/>
      <c r="AA478" s="9"/>
      <c r="AB478" s="9"/>
      <c r="AC478" s="9"/>
      <c r="AD478" s="9"/>
      <c r="AE478" s="9"/>
      <c r="AF478" s="9"/>
      <c r="AG478" s="9"/>
      <c r="AH478" s="9"/>
      <c r="AI478" s="9"/>
      <c r="AJ478" s="9"/>
    </row>
    <row r="479" ht="15.75" hidden="1" customHeight="1">
      <c r="A479" s="11"/>
      <c r="B479" s="11"/>
      <c r="C479" s="11"/>
      <c r="D479" s="13"/>
      <c r="E479" s="11"/>
      <c r="F479" s="11"/>
      <c r="G479" s="11"/>
      <c r="H479" s="13"/>
      <c r="I479" s="11"/>
      <c r="J479" s="11"/>
      <c r="K479" s="12"/>
      <c r="L479" s="12"/>
      <c r="M479" s="11"/>
      <c r="N479" s="11"/>
      <c r="O479" s="12"/>
      <c r="P479" s="11"/>
      <c r="Q479" s="11"/>
      <c r="R479" s="13"/>
      <c r="S479" s="19"/>
      <c r="T479" s="13"/>
      <c r="U479" s="13"/>
      <c r="V479" s="13"/>
      <c r="W479" s="13"/>
      <c r="X479" s="13"/>
      <c r="Y479" s="13"/>
      <c r="Z479" s="13"/>
      <c r="AA479" s="13"/>
      <c r="AB479" s="13"/>
      <c r="AC479" s="13"/>
      <c r="AD479" s="13"/>
      <c r="AE479" s="13"/>
      <c r="AF479" s="13"/>
      <c r="AG479" s="13"/>
      <c r="AH479" s="13"/>
      <c r="AI479" s="13"/>
      <c r="AJ479" s="13"/>
    </row>
    <row r="480" ht="15.75" hidden="1" customHeight="1">
      <c r="A480" s="7"/>
      <c r="B480" s="7"/>
      <c r="C480" s="7"/>
      <c r="D480" s="9"/>
      <c r="E480" s="7"/>
      <c r="F480" s="7"/>
      <c r="G480" s="7"/>
      <c r="H480" s="9"/>
      <c r="I480" s="7"/>
      <c r="J480" s="7"/>
      <c r="K480" s="8"/>
      <c r="L480" s="8"/>
      <c r="M480" s="7"/>
      <c r="N480" s="7"/>
      <c r="O480" s="8"/>
      <c r="P480" s="7"/>
      <c r="Q480" s="7"/>
      <c r="R480" s="9"/>
      <c r="S480" s="17"/>
      <c r="T480" s="9"/>
      <c r="U480" s="9"/>
      <c r="V480" s="9"/>
      <c r="W480" s="9"/>
      <c r="X480" s="9"/>
      <c r="Y480" s="9"/>
      <c r="Z480" s="9"/>
      <c r="AA480" s="9"/>
      <c r="AB480" s="9"/>
      <c r="AC480" s="9"/>
      <c r="AD480" s="9"/>
      <c r="AE480" s="9"/>
      <c r="AF480" s="9"/>
      <c r="AG480" s="9"/>
      <c r="AH480" s="9"/>
      <c r="AI480" s="9"/>
      <c r="AJ480" s="9"/>
    </row>
    <row r="481" ht="15.75" hidden="1" customHeight="1">
      <c r="A481" s="11"/>
      <c r="B481" s="11"/>
      <c r="C481" s="11"/>
      <c r="D481" s="13"/>
      <c r="E481" s="11"/>
      <c r="F481" s="11"/>
      <c r="G481" s="11"/>
      <c r="H481" s="13"/>
      <c r="I481" s="11"/>
      <c r="J481" s="11"/>
      <c r="K481" s="12"/>
      <c r="L481" s="12"/>
      <c r="M481" s="11"/>
      <c r="N481" s="11"/>
      <c r="O481" s="12"/>
      <c r="P481" s="11"/>
      <c r="Q481" s="11"/>
      <c r="R481" s="13"/>
      <c r="S481" s="19"/>
      <c r="T481" s="13"/>
      <c r="U481" s="13"/>
      <c r="V481" s="13"/>
      <c r="W481" s="13"/>
      <c r="X481" s="13"/>
      <c r="Y481" s="13"/>
      <c r="Z481" s="13"/>
      <c r="AA481" s="13"/>
      <c r="AB481" s="13"/>
      <c r="AC481" s="13"/>
      <c r="AD481" s="13"/>
      <c r="AE481" s="13"/>
      <c r="AF481" s="13"/>
      <c r="AG481" s="13"/>
      <c r="AH481" s="13"/>
      <c r="AI481" s="13"/>
      <c r="AJ481" s="13"/>
    </row>
    <row r="482" ht="15.75" hidden="1" customHeight="1">
      <c r="A482" s="7"/>
      <c r="B482" s="7"/>
      <c r="C482" s="7"/>
      <c r="D482" s="9"/>
      <c r="E482" s="7"/>
      <c r="F482" s="7"/>
      <c r="G482" s="7"/>
      <c r="H482" s="9"/>
      <c r="I482" s="7"/>
      <c r="J482" s="7"/>
      <c r="K482" s="8"/>
      <c r="L482" s="8"/>
      <c r="M482" s="7"/>
      <c r="N482" s="7"/>
      <c r="O482" s="8"/>
      <c r="P482" s="7"/>
      <c r="Q482" s="7"/>
      <c r="R482" s="9"/>
      <c r="S482" s="17"/>
      <c r="T482" s="9"/>
      <c r="U482" s="9"/>
      <c r="V482" s="9"/>
      <c r="W482" s="9"/>
      <c r="X482" s="9"/>
      <c r="Y482" s="9"/>
      <c r="Z482" s="9"/>
      <c r="AA482" s="9"/>
      <c r="AB482" s="9"/>
      <c r="AC482" s="9"/>
      <c r="AD482" s="9"/>
      <c r="AE482" s="9"/>
      <c r="AF482" s="9"/>
      <c r="AG482" s="9"/>
      <c r="AH482" s="9"/>
      <c r="AI482" s="9"/>
      <c r="AJ482" s="9"/>
    </row>
    <row r="483" ht="15.75" hidden="1" customHeight="1">
      <c r="A483" s="11"/>
      <c r="B483" s="11"/>
      <c r="C483" s="11"/>
      <c r="D483" s="13"/>
      <c r="E483" s="11"/>
      <c r="F483" s="11"/>
      <c r="G483" s="11"/>
      <c r="H483" s="13"/>
      <c r="I483" s="11"/>
      <c r="J483" s="11"/>
      <c r="K483" s="12"/>
      <c r="L483" s="12"/>
      <c r="M483" s="11"/>
      <c r="N483" s="11"/>
      <c r="O483" s="12"/>
      <c r="P483" s="11"/>
      <c r="Q483" s="11"/>
      <c r="R483" s="13"/>
      <c r="S483" s="19"/>
      <c r="T483" s="13"/>
      <c r="U483" s="13"/>
      <c r="V483" s="13"/>
      <c r="W483" s="13"/>
      <c r="X483" s="13"/>
      <c r="Y483" s="13"/>
      <c r="Z483" s="13"/>
      <c r="AA483" s="13"/>
      <c r="AB483" s="13"/>
      <c r="AC483" s="13"/>
      <c r="AD483" s="13"/>
      <c r="AE483" s="13"/>
      <c r="AF483" s="13"/>
      <c r="AG483" s="13"/>
      <c r="AH483" s="13"/>
      <c r="AI483" s="13"/>
      <c r="AJ483" s="13"/>
    </row>
    <row r="484" ht="15.75" hidden="1" customHeight="1">
      <c r="A484" s="7"/>
      <c r="B484" s="7"/>
      <c r="C484" s="7"/>
      <c r="D484" s="9"/>
      <c r="E484" s="7"/>
      <c r="F484" s="7"/>
      <c r="G484" s="7"/>
      <c r="H484" s="9"/>
      <c r="I484" s="7"/>
      <c r="J484" s="7"/>
      <c r="K484" s="8"/>
      <c r="L484" s="8"/>
      <c r="M484" s="7"/>
      <c r="N484" s="7"/>
      <c r="O484" s="8"/>
      <c r="P484" s="7"/>
      <c r="Q484" s="7"/>
      <c r="R484" s="9"/>
      <c r="S484" s="17"/>
      <c r="T484" s="9"/>
      <c r="U484" s="9"/>
      <c r="V484" s="9"/>
      <c r="W484" s="9"/>
      <c r="X484" s="9"/>
      <c r="Y484" s="9"/>
      <c r="Z484" s="9"/>
      <c r="AA484" s="9"/>
      <c r="AB484" s="9"/>
      <c r="AC484" s="9"/>
      <c r="AD484" s="9"/>
      <c r="AE484" s="9"/>
      <c r="AF484" s="9"/>
      <c r="AG484" s="9"/>
      <c r="AH484" s="9"/>
      <c r="AI484" s="9"/>
      <c r="AJ484" s="9"/>
    </row>
    <row r="485" ht="15.75" hidden="1" customHeight="1">
      <c r="A485" s="11"/>
      <c r="B485" s="11"/>
      <c r="C485" s="11"/>
      <c r="D485" s="13"/>
      <c r="E485" s="11"/>
      <c r="F485" s="11"/>
      <c r="G485" s="11"/>
      <c r="H485" s="13"/>
      <c r="I485" s="11"/>
      <c r="J485" s="11"/>
      <c r="K485" s="12"/>
      <c r="L485" s="12"/>
      <c r="M485" s="11"/>
      <c r="N485" s="11"/>
      <c r="O485" s="12"/>
      <c r="P485" s="11"/>
      <c r="Q485" s="11"/>
      <c r="R485" s="13"/>
      <c r="S485" s="19"/>
      <c r="T485" s="13"/>
      <c r="U485" s="13"/>
      <c r="V485" s="13"/>
      <c r="W485" s="13"/>
      <c r="X485" s="13"/>
      <c r="Y485" s="13"/>
      <c r="Z485" s="13"/>
      <c r="AA485" s="13"/>
      <c r="AB485" s="13"/>
      <c r="AC485" s="13"/>
      <c r="AD485" s="13"/>
      <c r="AE485" s="13"/>
      <c r="AF485" s="13"/>
      <c r="AG485" s="13"/>
      <c r="AH485" s="13"/>
      <c r="AI485" s="13"/>
      <c r="AJ485" s="13"/>
    </row>
    <row r="486" ht="15.75" hidden="1" customHeight="1">
      <c r="A486" s="7"/>
      <c r="B486" s="7"/>
      <c r="C486" s="7"/>
      <c r="D486" s="9"/>
      <c r="E486" s="7"/>
      <c r="F486" s="7"/>
      <c r="G486" s="7"/>
      <c r="H486" s="9"/>
      <c r="I486" s="7"/>
      <c r="J486" s="7"/>
      <c r="K486" s="8"/>
      <c r="L486" s="8"/>
      <c r="M486" s="7"/>
      <c r="N486" s="7"/>
      <c r="O486" s="8"/>
      <c r="P486" s="7"/>
      <c r="Q486" s="7"/>
      <c r="R486" s="9"/>
      <c r="S486" s="17"/>
      <c r="T486" s="9"/>
      <c r="U486" s="9"/>
      <c r="V486" s="9"/>
      <c r="W486" s="9"/>
      <c r="X486" s="9"/>
      <c r="Y486" s="9"/>
      <c r="Z486" s="9"/>
      <c r="AA486" s="9"/>
      <c r="AB486" s="9"/>
      <c r="AC486" s="9"/>
      <c r="AD486" s="9"/>
      <c r="AE486" s="9"/>
      <c r="AF486" s="9"/>
      <c r="AG486" s="9"/>
      <c r="AH486" s="9"/>
      <c r="AI486" s="9"/>
      <c r="AJ486" s="9"/>
    </row>
    <row r="487" ht="15.75" hidden="1" customHeight="1">
      <c r="A487" s="11"/>
      <c r="B487" s="11"/>
      <c r="C487" s="11"/>
      <c r="D487" s="13"/>
      <c r="E487" s="11"/>
      <c r="F487" s="11"/>
      <c r="G487" s="11"/>
      <c r="H487" s="13"/>
      <c r="I487" s="11"/>
      <c r="J487" s="11"/>
      <c r="K487" s="12"/>
      <c r="L487" s="12"/>
      <c r="M487" s="11"/>
      <c r="N487" s="11"/>
      <c r="O487" s="12"/>
      <c r="P487" s="11"/>
      <c r="Q487" s="11"/>
      <c r="R487" s="13"/>
      <c r="S487" s="19"/>
      <c r="T487" s="13"/>
      <c r="U487" s="13"/>
      <c r="V487" s="13"/>
      <c r="W487" s="13"/>
      <c r="X487" s="13"/>
      <c r="Y487" s="13"/>
      <c r="Z487" s="13"/>
      <c r="AA487" s="13"/>
      <c r="AB487" s="13"/>
      <c r="AC487" s="13"/>
      <c r="AD487" s="13"/>
      <c r="AE487" s="13"/>
      <c r="AF487" s="13"/>
      <c r="AG487" s="13"/>
      <c r="AH487" s="13"/>
      <c r="AI487" s="13"/>
      <c r="AJ487" s="13"/>
    </row>
    <row r="488" ht="15.75" hidden="1" customHeight="1">
      <c r="A488" s="7"/>
      <c r="B488" s="7"/>
      <c r="C488" s="7"/>
      <c r="D488" s="9"/>
      <c r="E488" s="7"/>
      <c r="F488" s="7"/>
      <c r="G488" s="7"/>
      <c r="H488" s="9"/>
      <c r="I488" s="7"/>
      <c r="J488" s="7"/>
      <c r="K488" s="8"/>
      <c r="L488" s="8"/>
      <c r="M488" s="7"/>
      <c r="N488" s="7"/>
      <c r="O488" s="8"/>
      <c r="P488" s="7"/>
      <c r="Q488" s="7"/>
      <c r="R488" s="9"/>
      <c r="S488" s="17"/>
      <c r="T488" s="9"/>
      <c r="U488" s="9"/>
      <c r="V488" s="9"/>
      <c r="W488" s="9"/>
      <c r="X488" s="9"/>
      <c r="Y488" s="9"/>
      <c r="Z488" s="9"/>
      <c r="AA488" s="9"/>
      <c r="AB488" s="9"/>
      <c r="AC488" s="9"/>
      <c r="AD488" s="9"/>
      <c r="AE488" s="9"/>
      <c r="AF488" s="9"/>
      <c r="AG488" s="9"/>
      <c r="AH488" s="9"/>
      <c r="AI488" s="9"/>
      <c r="AJ488" s="9"/>
    </row>
    <row r="489" ht="15.75" hidden="1" customHeight="1">
      <c r="A489" s="11"/>
      <c r="B489" s="11"/>
      <c r="C489" s="11"/>
      <c r="D489" s="13"/>
      <c r="E489" s="11"/>
      <c r="F489" s="11"/>
      <c r="G489" s="11"/>
      <c r="H489" s="13"/>
      <c r="I489" s="11"/>
      <c r="J489" s="11"/>
      <c r="K489" s="12"/>
      <c r="L489" s="12"/>
      <c r="M489" s="11"/>
      <c r="N489" s="11"/>
      <c r="O489" s="12"/>
      <c r="P489" s="11"/>
      <c r="Q489" s="11"/>
      <c r="R489" s="13"/>
      <c r="S489" s="19"/>
      <c r="T489" s="13"/>
      <c r="U489" s="13"/>
      <c r="V489" s="13"/>
      <c r="W489" s="13"/>
      <c r="X489" s="13"/>
      <c r="Y489" s="13"/>
      <c r="Z489" s="13"/>
      <c r="AA489" s="13"/>
      <c r="AB489" s="13"/>
      <c r="AC489" s="13"/>
      <c r="AD489" s="13"/>
      <c r="AE489" s="13"/>
      <c r="AF489" s="13"/>
      <c r="AG489" s="13"/>
      <c r="AH489" s="13"/>
      <c r="AI489" s="13"/>
      <c r="AJ489" s="13"/>
    </row>
    <row r="490" ht="15.75" hidden="1" customHeight="1">
      <c r="A490" s="7"/>
      <c r="B490" s="7"/>
      <c r="C490" s="7"/>
      <c r="D490" s="9"/>
      <c r="E490" s="7"/>
      <c r="F490" s="7"/>
      <c r="G490" s="7"/>
      <c r="H490" s="9"/>
      <c r="I490" s="7"/>
      <c r="J490" s="7"/>
      <c r="K490" s="8"/>
      <c r="L490" s="8"/>
      <c r="M490" s="7"/>
      <c r="N490" s="7"/>
      <c r="O490" s="8"/>
      <c r="P490" s="7"/>
      <c r="Q490" s="7"/>
      <c r="R490" s="9"/>
      <c r="S490" s="17"/>
      <c r="T490" s="9"/>
      <c r="U490" s="9"/>
      <c r="V490" s="9"/>
      <c r="W490" s="9"/>
      <c r="X490" s="9"/>
      <c r="Y490" s="9"/>
      <c r="Z490" s="9"/>
      <c r="AA490" s="9"/>
      <c r="AB490" s="9"/>
      <c r="AC490" s="9"/>
      <c r="AD490" s="9"/>
      <c r="AE490" s="9"/>
      <c r="AF490" s="9"/>
      <c r="AG490" s="9"/>
      <c r="AH490" s="9"/>
      <c r="AI490" s="9"/>
      <c r="AJ490" s="9"/>
    </row>
    <row r="491" ht="15.75" hidden="1" customHeight="1">
      <c r="A491" s="11"/>
      <c r="B491" s="11"/>
      <c r="C491" s="11"/>
      <c r="D491" s="13"/>
      <c r="E491" s="11"/>
      <c r="F491" s="11"/>
      <c r="G491" s="11"/>
      <c r="H491" s="13"/>
      <c r="I491" s="11"/>
      <c r="J491" s="11"/>
      <c r="K491" s="12"/>
      <c r="L491" s="12"/>
      <c r="M491" s="11"/>
      <c r="N491" s="11"/>
      <c r="O491" s="12"/>
      <c r="P491" s="11"/>
      <c r="Q491" s="11"/>
      <c r="R491" s="13"/>
      <c r="S491" s="19"/>
      <c r="T491" s="13"/>
      <c r="U491" s="13"/>
      <c r="V491" s="13"/>
      <c r="W491" s="13"/>
      <c r="X491" s="13"/>
      <c r="Y491" s="13"/>
      <c r="Z491" s="13"/>
      <c r="AA491" s="13"/>
      <c r="AB491" s="13"/>
      <c r="AC491" s="13"/>
      <c r="AD491" s="13"/>
      <c r="AE491" s="13"/>
      <c r="AF491" s="13"/>
      <c r="AG491" s="13"/>
      <c r="AH491" s="13"/>
      <c r="AI491" s="13"/>
      <c r="AJ491" s="13"/>
    </row>
    <row r="492" ht="15.75" hidden="1" customHeight="1">
      <c r="A492" s="7"/>
      <c r="B492" s="7"/>
      <c r="C492" s="7"/>
      <c r="D492" s="9"/>
      <c r="E492" s="7"/>
      <c r="F492" s="7"/>
      <c r="G492" s="7"/>
      <c r="H492" s="9"/>
      <c r="I492" s="7"/>
      <c r="J492" s="7"/>
      <c r="K492" s="8"/>
      <c r="L492" s="8"/>
      <c r="M492" s="7"/>
      <c r="N492" s="7"/>
      <c r="O492" s="8"/>
      <c r="P492" s="7"/>
      <c r="Q492" s="7"/>
      <c r="R492" s="9"/>
      <c r="S492" s="17"/>
      <c r="T492" s="9"/>
      <c r="U492" s="9"/>
      <c r="V492" s="9"/>
      <c r="W492" s="9"/>
      <c r="X492" s="9"/>
      <c r="Y492" s="9"/>
      <c r="Z492" s="9"/>
      <c r="AA492" s="9"/>
      <c r="AB492" s="9"/>
      <c r="AC492" s="9"/>
      <c r="AD492" s="9"/>
      <c r="AE492" s="9"/>
      <c r="AF492" s="9"/>
      <c r="AG492" s="9"/>
      <c r="AH492" s="9"/>
      <c r="AI492" s="9"/>
      <c r="AJ492" s="9"/>
    </row>
    <row r="493" ht="15.75" hidden="1" customHeight="1">
      <c r="A493" s="11"/>
      <c r="B493" s="11"/>
      <c r="C493" s="11"/>
      <c r="D493" s="13"/>
      <c r="E493" s="11"/>
      <c r="F493" s="11"/>
      <c r="G493" s="11"/>
      <c r="H493" s="13"/>
      <c r="I493" s="11"/>
      <c r="J493" s="11"/>
      <c r="K493" s="12"/>
      <c r="L493" s="12"/>
      <c r="M493" s="11"/>
      <c r="N493" s="11"/>
      <c r="O493" s="12"/>
      <c r="P493" s="11"/>
      <c r="Q493" s="11"/>
      <c r="R493" s="13"/>
      <c r="S493" s="19"/>
      <c r="T493" s="13"/>
      <c r="U493" s="13"/>
      <c r="V493" s="13"/>
      <c r="W493" s="13"/>
      <c r="X493" s="13"/>
      <c r="Y493" s="13"/>
      <c r="Z493" s="13"/>
      <c r="AA493" s="13"/>
      <c r="AB493" s="13"/>
      <c r="AC493" s="13"/>
      <c r="AD493" s="13"/>
      <c r="AE493" s="13"/>
      <c r="AF493" s="13"/>
      <c r="AG493" s="13"/>
      <c r="AH493" s="13"/>
      <c r="AI493" s="13"/>
      <c r="AJ493" s="13"/>
    </row>
    <row r="494" ht="15.75" hidden="1" customHeight="1">
      <c r="A494" s="7"/>
      <c r="B494" s="7"/>
      <c r="C494" s="7"/>
      <c r="D494" s="9"/>
      <c r="E494" s="7"/>
      <c r="F494" s="7"/>
      <c r="G494" s="7"/>
      <c r="H494" s="9"/>
      <c r="I494" s="7"/>
      <c r="J494" s="7"/>
      <c r="K494" s="8"/>
      <c r="L494" s="8"/>
      <c r="M494" s="7"/>
      <c r="N494" s="7"/>
      <c r="O494" s="8"/>
      <c r="P494" s="7"/>
      <c r="Q494" s="7"/>
      <c r="R494" s="9"/>
      <c r="S494" s="17"/>
      <c r="T494" s="9"/>
      <c r="U494" s="9"/>
      <c r="V494" s="9"/>
      <c r="W494" s="9"/>
      <c r="X494" s="9"/>
      <c r="Y494" s="9"/>
      <c r="Z494" s="9"/>
      <c r="AA494" s="9"/>
      <c r="AB494" s="9"/>
      <c r="AC494" s="9"/>
      <c r="AD494" s="9"/>
      <c r="AE494" s="9"/>
      <c r="AF494" s="9"/>
      <c r="AG494" s="9"/>
      <c r="AH494" s="9"/>
      <c r="AI494" s="9"/>
      <c r="AJ494" s="9"/>
    </row>
    <row r="495" ht="15.75" hidden="1" customHeight="1">
      <c r="A495" s="11"/>
      <c r="B495" s="11"/>
      <c r="C495" s="11"/>
      <c r="D495" s="13"/>
      <c r="E495" s="11"/>
      <c r="F495" s="11"/>
      <c r="G495" s="11"/>
      <c r="H495" s="13"/>
      <c r="I495" s="11"/>
      <c r="J495" s="11"/>
      <c r="K495" s="12"/>
      <c r="L495" s="12"/>
      <c r="M495" s="11"/>
      <c r="N495" s="11"/>
      <c r="O495" s="12"/>
      <c r="P495" s="11"/>
      <c r="Q495" s="11"/>
      <c r="R495" s="13"/>
      <c r="S495" s="19"/>
      <c r="T495" s="13"/>
      <c r="U495" s="13"/>
      <c r="V495" s="13"/>
      <c r="W495" s="13"/>
      <c r="X495" s="13"/>
      <c r="Y495" s="13"/>
      <c r="Z495" s="13"/>
      <c r="AA495" s="13"/>
      <c r="AB495" s="13"/>
      <c r="AC495" s="13"/>
      <c r="AD495" s="13"/>
      <c r="AE495" s="13"/>
      <c r="AF495" s="13"/>
      <c r="AG495" s="13"/>
      <c r="AH495" s="13"/>
      <c r="AI495" s="13"/>
      <c r="AJ495" s="13"/>
    </row>
    <row r="496" ht="15.75" hidden="1" customHeight="1">
      <c r="A496" s="7"/>
      <c r="B496" s="7"/>
      <c r="C496" s="7"/>
      <c r="D496" s="9"/>
      <c r="E496" s="7"/>
      <c r="F496" s="7"/>
      <c r="G496" s="7"/>
      <c r="H496" s="9"/>
      <c r="I496" s="7"/>
      <c r="J496" s="7"/>
      <c r="K496" s="8"/>
      <c r="L496" s="8"/>
      <c r="M496" s="7"/>
      <c r="N496" s="7"/>
      <c r="O496" s="8"/>
      <c r="P496" s="7"/>
      <c r="Q496" s="7"/>
      <c r="R496" s="9"/>
      <c r="S496" s="17"/>
      <c r="T496" s="9"/>
      <c r="U496" s="9"/>
      <c r="V496" s="9"/>
      <c r="W496" s="9"/>
      <c r="X496" s="9"/>
      <c r="Y496" s="9"/>
      <c r="Z496" s="9"/>
      <c r="AA496" s="9"/>
      <c r="AB496" s="9"/>
      <c r="AC496" s="9"/>
      <c r="AD496" s="9"/>
      <c r="AE496" s="9"/>
      <c r="AF496" s="9"/>
      <c r="AG496" s="9"/>
      <c r="AH496" s="9"/>
      <c r="AI496" s="9"/>
      <c r="AJ496" s="9"/>
    </row>
    <row r="497" ht="15.75" hidden="1" customHeight="1">
      <c r="A497" s="11"/>
      <c r="B497" s="11"/>
      <c r="C497" s="11"/>
      <c r="D497" s="13"/>
      <c r="E497" s="11"/>
      <c r="F497" s="11"/>
      <c r="G497" s="11"/>
      <c r="H497" s="13"/>
      <c r="I497" s="11"/>
      <c r="J497" s="11"/>
      <c r="K497" s="12"/>
      <c r="L497" s="12"/>
      <c r="M497" s="11"/>
      <c r="N497" s="11"/>
      <c r="O497" s="12"/>
      <c r="P497" s="11"/>
      <c r="Q497" s="11"/>
      <c r="R497" s="13"/>
      <c r="S497" s="19"/>
      <c r="T497" s="13"/>
      <c r="U497" s="13"/>
      <c r="V497" s="13"/>
      <c r="W497" s="13"/>
      <c r="X497" s="13"/>
      <c r="Y497" s="13"/>
      <c r="Z497" s="13"/>
      <c r="AA497" s="13"/>
      <c r="AB497" s="13"/>
      <c r="AC497" s="13"/>
      <c r="AD497" s="13"/>
      <c r="AE497" s="13"/>
      <c r="AF497" s="13"/>
      <c r="AG497" s="13"/>
      <c r="AH497" s="13"/>
      <c r="AI497" s="13"/>
      <c r="AJ497" s="13"/>
    </row>
    <row r="498" ht="15.75" hidden="1" customHeight="1">
      <c r="A498" s="7"/>
      <c r="B498" s="7"/>
      <c r="C498" s="7"/>
      <c r="D498" s="9"/>
      <c r="E498" s="7"/>
      <c r="F498" s="7"/>
      <c r="G498" s="7"/>
      <c r="H498" s="9"/>
      <c r="I498" s="7"/>
      <c r="J498" s="7"/>
      <c r="K498" s="8"/>
      <c r="L498" s="8"/>
      <c r="M498" s="7"/>
      <c r="N498" s="7"/>
      <c r="O498" s="8"/>
      <c r="P498" s="7"/>
      <c r="Q498" s="7"/>
      <c r="R498" s="9"/>
      <c r="S498" s="17"/>
      <c r="T498" s="9"/>
      <c r="U498" s="9"/>
      <c r="V498" s="9"/>
      <c r="W498" s="9"/>
      <c r="X498" s="9"/>
      <c r="Y498" s="9"/>
      <c r="Z498" s="9"/>
      <c r="AA498" s="9"/>
      <c r="AB498" s="9"/>
      <c r="AC498" s="9"/>
      <c r="AD498" s="9"/>
      <c r="AE498" s="9"/>
      <c r="AF498" s="9"/>
      <c r="AG498" s="9"/>
      <c r="AH498" s="9"/>
      <c r="AI498" s="9"/>
      <c r="AJ498" s="9"/>
    </row>
    <row r="499" ht="15.75" hidden="1" customHeight="1">
      <c r="A499" s="11"/>
      <c r="B499" s="11"/>
      <c r="C499" s="11"/>
      <c r="D499" s="13"/>
      <c r="E499" s="11"/>
      <c r="F499" s="11"/>
      <c r="G499" s="11"/>
      <c r="H499" s="13"/>
      <c r="I499" s="11"/>
      <c r="J499" s="11"/>
      <c r="K499" s="12"/>
      <c r="L499" s="12"/>
      <c r="M499" s="11"/>
      <c r="N499" s="11"/>
      <c r="O499" s="12"/>
      <c r="P499" s="11"/>
      <c r="Q499" s="11"/>
      <c r="R499" s="13"/>
      <c r="S499" s="19"/>
      <c r="T499" s="13"/>
      <c r="U499" s="13"/>
      <c r="V499" s="13"/>
      <c r="W499" s="13"/>
      <c r="X499" s="13"/>
      <c r="Y499" s="13"/>
      <c r="Z499" s="13"/>
      <c r="AA499" s="13"/>
      <c r="AB499" s="13"/>
      <c r="AC499" s="13"/>
      <c r="AD499" s="13"/>
      <c r="AE499" s="13"/>
      <c r="AF499" s="13"/>
      <c r="AG499" s="13"/>
      <c r="AH499" s="13"/>
      <c r="AI499" s="13"/>
      <c r="AJ499" s="13"/>
    </row>
    <row r="500" ht="15.75" hidden="1" customHeight="1">
      <c r="A500" s="7"/>
      <c r="B500" s="7"/>
      <c r="C500" s="7"/>
      <c r="D500" s="9"/>
      <c r="E500" s="7"/>
      <c r="F500" s="7"/>
      <c r="G500" s="7"/>
      <c r="H500" s="9"/>
      <c r="I500" s="7"/>
      <c r="J500" s="7"/>
      <c r="K500" s="8"/>
      <c r="L500" s="8"/>
      <c r="M500" s="7"/>
      <c r="N500" s="7"/>
      <c r="O500" s="8"/>
      <c r="P500" s="7"/>
      <c r="Q500" s="7"/>
      <c r="R500" s="9"/>
      <c r="S500" s="17"/>
      <c r="T500" s="9"/>
      <c r="U500" s="9"/>
      <c r="V500" s="9"/>
      <c r="W500" s="9"/>
      <c r="X500" s="9"/>
      <c r="Y500" s="9"/>
      <c r="Z500" s="9"/>
      <c r="AA500" s="9"/>
      <c r="AB500" s="9"/>
      <c r="AC500" s="9"/>
      <c r="AD500" s="9"/>
      <c r="AE500" s="9"/>
      <c r="AF500" s="9"/>
      <c r="AG500" s="9"/>
      <c r="AH500" s="9"/>
      <c r="AI500" s="9"/>
      <c r="AJ500" s="9"/>
    </row>
    <row r="501" ht="15.75" hidden="1" customHeight="1">
      <c r="A501" s="11"/>
      <c r="B501" s="11"/>
      <c r="C501" s="11"/>
      <c r="D501" s="13"/>
      <c r="E501" s="11"/>
      <c r="F501" s="11"/>
      <c r="G501" s="11"/>
      <c r="H501" s="13"/>
      <c r="I501" s="11"/>
      <c r="J501" s="11"/>
      <c r="K501" s="12"/>
      <c r="L501" s="12"/>
      <c r="M501" s="11"/>
      <c r="N501" s="11"/>
      <c r="O501" s="12"/>
      <c r="P501" s="11"/>
      <c r="Q501" s="11"/>
      <c r="R501" s="13"/>
      <c r="S501" s="19"/>
      <c r="T501" s="13"/>
      <c r="U501" s="13"/>
      <c r="V501" s="13"/>
      <c r="W501" s="13"/>
      <c r="X501" s="13"/>
      <c r="Y501" s="13"/>
      <c r="Z501" s="13"/>
      <c r="AA501" s="13"/>
      <c r="AB501" s="13"/>
      <c r="AC501" s="13"/>
      <c r="AD501" s="13"/>
      <c r="AE501" s="13"/>
      <c r="AF501" s="13"/>
      <c r="AG501" s="13"/>
      <c r="AH501" s="13"/>
      <c r="AI501" s="13"/>
      <c r="AJ501" s="13"/>
    </row>
    <row r="502" ht="15.75" hidden="1" customHeight="1">
      <c r="A502" s="7"/>
      <c r="B502" s="7"/>
      <c r="C502" s="7"/>
      <c r="D502" s="9"/>
      <c r="E502" s="7"/>
      <c r="F502" s="7"/>
      <c r="G502" s="7"/>
      <c r="H502" s="9"/>
      <c r="I502" s="7"/>
      <c r="J502" s="7"/>
      <c r="K502" s="8"/>
      <c r="L502" s="8"/>
      <c r="M502" s="7"/>
      <c r="N502" s="7"/>
      <c r="O502" s="8"/>
      <c r="P502" s="7"/>
      <c r="Q502" s="7"/>
      <c r="R502" s="9"/>
      <c r="S502" s="17"/>
      <c r="T502" s="9"/>
      <c r="U502" s="9"/>
      <c r="V502" s="9"/>
      <c r="W502" s="9"/>
      <c r="X502" s="9"/>
      <c r="Y502" s="9"/>
      <c r="Z502" s="9"/>
      <c r="AA502" s="9"/>
      <c r="AB502" s="9"/>
      <c r="AC502" s="9"/>
      <c r="AD502" s="9"/>
      <c r="AE502" s="9"/>
      <c r="AF502" s="9"/>
      <c r="AG502" s="9"/>
      <c r="AH502" s="9"/>
      <c r="AI502" s="9"/>
      <c r="AJ502" s="9"/>
    </row>
    <row r="503" ht="15.75" hidden="1" customHeight="1">
      <c r="A503" s="11"/>
      <c r="B503" s="11"/>
      <c r="C503" s="11"/>
      <c r="D503" s="13"/>
      <c r="E503" s="11"/>
      <c r="F503" s="11"/>
      <c r="G503" s="11"/>
      <c r="H503" s="13"/>
      <c r="I503" s="11"/>
      <c r="J503" s="11"/>
      <c r="K503" s="12"/>
      <c r="L503" s="12"/>
      <c r="M503" s="11"/>
      <c r="N503" s="11"/>
      <c r="O503" s="12"/>
      <c r="P503" s="11"/>
      <c r="Q503" s="11"/>
      <c r="R503" s="13"/>
      <c r="S503" s="19"/>
      <c r="T503" s="13"/>
      <c r="U503" s="13"/>
      <c r="V503" s="13"/>
      <c r="W503" s="13"/>
      <c r="X503" s="13"/>
      <c r="Y503" s="13"/>
      <c r="Z503" s="13"/>
      <c r="AA503" s="13"/>
      <c r="AB503" s="13"/>
      <c r="AC503" s="13"/>
      <c r="AD503" s="13"/>
      <c r="AE503" s="13"/>
      <c r="AF503" s="13"/>
      <c r="AG503" s="13"/>
      <c r="AH503" s="13"/>
      <c r="AI503" s="13"/>
      <c r="AJ503" s="13"/>
    </row>
    <row r="504" ht="15.75" hidden="1" customHeight="1">
      <c r="A504" s="7"/>
      <c r="B504" s="7"/>
      <c r="C504" s="7"/>
      <c r="D504" s="9"/>
      <c r="E504" s="7"/>
      <c r="F504" s="7"/>
      <c r="G504" s="7"/>
      <c r="H504" s="9"/>
      <c r="I504" s="7"/>
      <c r="J504" s="7"/>
      <c r="K504" s="8"/>
      <c r="L504" s="8"/>
      <c r="M504" s="7"/>
      <c r="N504" s="7"/>
      <c r="O504" s="8"/>
      <c r="P504" s="7"/>
      <c r="Q504" s="7"/>
      <c r="R504" s="9"/>
      <c r="S504" s="17"/>
      <c r="T504" s="9"/>
      <c r="U504" s="9"/>
      <c r="V504" s="9"/>
      <c r="W504" s="9"/>
      <c r="X504" s="9"/>
      <c r="Y504" s="9"/>
      <c r="Z504" s="9"/>
      <c r="AA504" s="9"/>
      <c r="AB504" s="9"/>
      <c r="AC504" s="9"/>
      <c r="AD504" s="9"/>
      <c r="AE504" s="9"/>
      <c r="AF504" s="9"/>
      <c r="AG504" s="9"/>
      <c r="AH504" s="9"/>
      <c r="AI504" s="9"/>
      <c r="AJ504" s="9"/>
    </row>
    <row r="505" ht="15.75" hidden="1" customHeight="1">
      <c r="A505" s="11"/>
      <c r="B505" s="11"/>
      <c r="C505" s="11"/>
      <c r="D505" s="13"/>
      <c r="E505" s="11"/>
      <c r="F505" s="11"/>
      <c r="G505" s="11"/>
      <c r="H505" s="13"/>
      <c r="I505" s="11"/>
      <c r="J505" s="11"/>
      <c r="K505" s="12"/>
      <c r="L505" s="12"/>
      <c r="M505" s="11"/>
      <c r="N505" s="11"/>
      <c r="O505" s="12"/>
      <c r="P505" s="11"/>
      <c r="Q505" s="11"/>
      <c r="R505" s="13"/>
      <c r="S505" s="19"/>
      <c r="T505" s="13"/>
      <c r="U505" s="13"/>
      <c r="V505" s="13"/>
      <c r="W505" s="13"/>
      <c r="X505" s="13"/>
      <c r="Y505" s="13"/>
      <c r="Z505" s="13"/>
      <c r="AA505" s="13"/>
      <c r="AB505" s="13"/>
      <c r="AC505" s="13"/>
      <c r="AD505" s="13"/>
      <c r="AE505" s="13"/>
      <c r="AF505" s="13"/>
      <c r="AG505" s="13"/>
      <c r="AH505" s="13"/>
      <c r="AI505" s="13"/>
      <c r="AJ505" s="13"/>
    </row>
    <row r="506" ht="15.75" hidden="1" customHeight="1">
      <c r="A506" s="7"/>
      <c r="B506" s="7"/>
      <c r="C506" s="7"/>
      <c r="D506" s="9"/>
      <c r="E506" s="7"/>
      <c r="F506" s="7"/>
      <c r="G506" s="7"/>
      <c r="H506" s="9"/>
      <c r="I506" s="7"/>
      <c r="J506" s="7"/>
      <c r="K506" s="8"/>
      <c r="L506" s="8"/>
      <c r="M506" s="7"/>
      <c r="N506" s="7"/>
      <c r="O506" s="8"/>
      <c r="P506" s="7"/>
      <c r="Q506" s="7"/>
      <c r="R506" s="9"/>
      <c r="S506" s="17"/>
      <c r="T506" s="9"/>
      <c r="U506" s="9"/>
      <c r="V506" s="9"/>
      <c r="W506" s="9"/>
      <c r="X506" s="9"/>
      <c r="Y506" s="9"/>
      <c r="Z506" s="9"/>
      <c r="AA506" s="9"/>
      <c r="AB506" s="9"/>
      <c r="AC506" s="9"/>
      <c r="AD506" s="9"/>
      <c r="AE506" s="9"/>
      <c r="AF506" s="9"/>
      <c r="AG506" s="9"/>
      <c r="AH506" s="9"/>
      <c r="AI506" s="9"/>
      <c r="AJ506" s="9"/>
    </row>
    <row r="507" ht="15.75" hidden="1" customHeight="1">
      <c r="A507" s="11"/>
      <c r="B507" s="11"/>
      <c r="C507" s="11"/>
      <c r="D507" s="13"/>
      <c r="E507" s="11"/>
      <c r="F507" s="11"/>
      <c r="G507" s="11"/>
      <c r="H507" s="13"/>
      <c r="I507" s="11"/>
      <c r="J507" s="11"/>
      <c r="K507" s="12"/>
      <c r="L507" s="12"/>
      <c r="M507" s="11"/>
      <c r="N507" s="11"/>
      <c r="O507" s="12"/>
      <c r="P507" s="11"/>
      <c r="Q507" s="11"/>
      <c r="R507" s="13"/>
      <c r="S507" s="19"/>
      <c r="T507" s="13"/>
      <c r="U507" s="13"/>
      <c r="V507" s="13"/>
      <c r="W507" s="13"/>
      <c r="X507" s="13"/>
      <c r="Y507" s="13"/>
      <c r="Z507" s="13"/>
      <c r="AA507" s="13"/>
      <c r="AB507" s="13"/>
      <c r="AC507" s="13"/>
      <c r="AD507" s="13"/>
      <c r="AE507" s="13"/>
      <c r="AF507" s="13"/>
      <c r="AG507" s="13"/>
      <c r="AH507" s="13"/>
      <c r="AI507" s="13"/>
      <c r="AJ507" s="13"/>
    </row>
    <row r="508" ht="15.75" hidden="1" customHeight="1">
      <c r="A508" s="7"/>
      <c r="B508" s="7"/>
      <c r="C508" s="7"/>
      <c r="D508" s="9"/>
      <c r="E508" s="7"/>
      <c r="F508" s="7"/>
      <c r="G508" s="7"/>
      <c r="H508" s="9"/>
      <c r="I508" s="7"/>
      <c r="J508" s="7"/>
      <c r="K508" s="8"/>
      <c r="L508" s="8"/>
      <c r="M508" s="7"/>
      <c r="N508" s="7"/>
      <c r="O508" s="8"/>
      <c r="P508" s="7"/>
      <c r="Q508" s="7"/>
      <c r="R508" s="9"/>
      <c r="S508" s="17"/>
      <c r="T508" s="9"/>
      <c r="U508" s="9"/>
      <c r="V508" s="9"/>
      <c r="W508" s="9"/>
      <c r="X508" s="9"/>
      <c r="Y508" s="9"/>
      <c r="Z508" s="9"/>
      <c r="AA508" s="9"/>
      <c r="AB508" s="9"/>
      <c r="AC508" s="9"/>
      <c r="AD508" s="9"/>
      <c r="AE508" s="9"/>
      <c r="AF508" s="9"/>
      <c r="AG508" s="9"/>
      <c r="AH508" s="9"/>
      <c r="AI508" s="9"/>
      <c r="AJ508" s="9"/>
    </row>
    <row r="509" ht="15.75" hidden="1" customHeight="1">
      <c r="A509" s="11"/>
      <c r="B509" s="11"/>
      <c r="C509" s="11"/>
      <c r="D509" s="13"/>
      <c r="E509" s="11"/>
      <c r="F509" s="11"/>
      <c r="G509" s="11"/>
      <c r="H509" s="13"/>
      <c r="I509" s="11"/>
      <c r="J509" s="11"/>
      <c r="K509" s="12"/>
      <c r="L509" s="12"/>
      <c r="M509" s="11"/>
      <c r="N509" s="11"/>
      <c r="O509" s="12"/>
      <c r="P509" s="11"/>
      <c r="Q509" s="11"/>
      <c r="R509" s="13"/>
      <c r="S509" s="19"/>
      <c r="T509" s="13"/>
      <c r="U509" s="13"/>
      <c r="V509" s="13"/>
      <c r="W509" s="13"/>
      <c r="X509" s="13"/>
      <c r="Y509" s="13"/>
      <c r="Z509" s="13"/>
      <c r="AA509" s="13"/>
      <c r="AB509" s="13"/>
      <c r="AC509" s="13"/>
      <c r="AD509" s="13"/>
      <c r="AE509" s="13"/>
      <c r="AF509" s="13"/>
      <c r="AG509" s="13"/>
      <c r="AH509" s="13"/>
      <c r="AI509" s="13"/>
      <c r="AJ509" s="13"/>
    </row>
    <row r="510" ht="15.75" hidden="1" customHeight="1">
      <c r="A510" s="7"/>
      <c r="B510" s="7"/>
      <c r="C510" s="7"/>
      <c r="D510" s="9"/>
      <c r="E510" s="7"/>
      <c r="F510" s="7"/>
      <c r="G510" s="7"/>
      <c r="H510" s="9"/>
      <c r="I510" s="7"/>
      <c r="J510" s="7"/>
      <c r="K510" s="8"/>
      <c r="L510" s="8"/>
      <c r="M510" s="7"/>
      <c r="N510" s="7"/>
      <c r="O510" s="8"/>
      <c r="P510" s="7"/>
      <c r="Q510" s="7"/>
      <c r="R510" s="9"/>
      <c r="S510" s="17"/>
      <c r="T510" s="9"/>
      <c r="U510" s="9"/>
      <c r="V510" s="9"/>
      <c r="W510" s="9"/>
      <c r="X510" s="9"/>
      <c r="Y510" s="9"/>
      <c r="Z510" s="9"/>
      <c r="AA510" s="9"/>
      <c r="AB510" s="9"/>
      <c r="AC510" s="9"/>
      <c r="AD510" s="9"/>
      <c r="AE510" s="9"/>
      <c r="AF510" s="9"/>
      <c r="AG510" s="9"/>
      <c r="AH510" s="9"/>
      <c r="AI510" s="9"/>
      <c r="AJ510" s="9"/>
    </row>
    <row r="511" ht="15.75" hidden="1" customHeight="1">
      <c r="A511" s="11"/>
      <c r="B511" s="11"/>
      <c r="C511" s="11"/>
      <c r="D511" s="13"/>
      <c r="E511" s="11"/>
      <c r="F511" s="11"/>
      <c r="G511" s="11"/>
      <c r="H511" s="13"/>
      <c r="I511" s="11"/>
      <c r="J511" s="11"/>
      <c r="K511" s="12"/>
      <c r="L511" s="12"/>
      <c r="M511" s="11"/>
      <c r="N511" s="11"/>
      <c r="O511" s="12"/>
      <c r="P511" s="11"/>
      <c r="Q511" s="11"/>
      <c r="R511" s="13"/>
      <c r="S511" s="19"/>
      <c r="T511" s="13"/>
      <c r="U511" s="13"/>
      <c r="V511" s="13"/>
      <c r="W511" s="13"/>
      <c r="X511" s="13"/>
      <c r="Y511" s="13"/>
      <c r="Z511" s="13"/>
      <c r="AA511" s="13"/>
      <c r="AB511" s="13"/>
      <c r="AC511" s="13"/>
      <c r="AD511" s="13"/>
      <c r="AE511" s="13"/>
      <c r="AF511" s="13"/>
      <c r="AG511" s="13"/>
      <c r="AH511" s="13"/>
      <c r="AI511" s="13"/>
      <c r="AJ511" s="13"/>
    </row>
    <row r="512" ht="15.75" hidden="1" customHeight="1">
      <c r="A512" s="7"/>
      <c r="B512" s="7"/>
      <c r="C512" s="7"/>
      <c r="D512" s="9"/>
      <c r="E512" s="7"/>
      <c r="F512" s="7"/>
      <c r="G512" s="7"/>
      <c r="H512" s="9"/>
      <c r="I512" s="7"/>
      <c r="J512" s="7"/>
      <c r="K512" s="8"/>
      <c r="L512" s="8"/>
      <c r="M512" s="7"/>
      <c r="N512" s="7"/>
      <c r="O512" s="8"/>
      <c r="P512" s="7"/>
      <c r="Q512" s="7"/>
      <c r="R512" s="9"/>
      <c r="S512" s="17"/>
      <c r="T512" s="9"/>
      <c r="U512" s="9"/>
      <c r="V512" s="9"/>
      <c r="W512" s="9"/>
      <c r="X512" s="9"/>
      <c r="Y512" s="9"/>
      <c r="Z512" s="9"/>
      <c r="AA512" s="9"/>
      <c r="AB512" s="9"/>
      <c r="AC512" s="9"/>
      <c r="AD512" s="9"/>
      <c r="AE512" s="9"/>
      <c r="AF512" s="9"/>
      <c r="AG512" s="9"/>
      <c r="AH512" s="9"/>
      <c r="AI512" s="9"/>
      <c r="AJ512" s="9"/>
    </row>
    <row r="513" ht="15.75" hidden="1" customHeight="1">
      <c r="A513" s="11"/>
      <c r="B513" s="11"/>
      <c r="C513" s="11"/>
      <c r="D513" s="13"/>
      <c r="E513" s="11"/>
      <c r="F513" s="11"/>
      <c r="G513" s="11"/>
      <c r="H513" s="13"/>
      <c r="I513" s="11"/>
      <c r="J513" s="11"/>
      <c r="K513" s="12"/>
      <c r="L513" s="12"/>
      <c r="M513" s="11"/>
      <c r="N513" s="11"/>
      <c r="O513" s="12"/>
      <c r="P513" s="11"/>
      <c r="Q513" s="11"/>
      <c r="R513" s="13"/>
      <c r="S513" s="19"/>
      <c r="T513" s="13"/>
      <c r="U513" s="13"/>
      <c r="V513" s="13"/>
      <c r="W513" s="13"/>
      <c r="X513" s="13"/>
      <c r="Y513" s="13"/>
      <c r="Z513" s="13"/>
      <c r="AA513" s="13"/>
      <c r="AB513" s="13"/>
      <c r="AC513" s="13"/>
      <c r="AD513" s="13"/>
      <c r="AE513" s="13"/>
      <c r="AF513" s="13"/>
      <c r="AG513" s="13"/>
      <c r="AH513" s="13"/>
      <c r="AI513" s="13"/>
      <c r="AJ513" s="13"/>
    </row>
    <row r="514" ht="15.75" hidden="1" customHeight="1">
      <c r="A514" s="7"/>
      <c r="B514" s="7"/>
      <c r="C514" s="7"/>
      <c r="D514" s="9"/>
      <c r="E514" s="7"/>
      <c r="F514" s="7"/>
      <c r="G514" s="7"/>
      <c r="H514" s="9"/>
      <c r="I514" s="7"/>
      <c r="J514" s="7"/>
      <c r="K514" s="8"/>
      <c r="L514" s="8"/>
      <c r="M514" s="7"/>
      <c r="N514" s="7"/>
      <c r="O514" s="8"/>
      <c r="P514" s="7"/>
      <c r="Q514" s="7"/>
      <c r="R514" s="9"/>
      <c r="S514" s="17"/>
      <c r="T514" s="9"/>
      <c r="U514" s="9"/>
      <c r="V514" s="9"/>
      <c r="W514" s="9"/>
      <c r="X514" s="9"/>
      <c r="Y514" s="9"/>
      <c r="Z514" s="9"/>
      <c r="AA514" s="9"/>
      <c r="AB514" s="9"/>
      <c r="AC514" s="9"/>
      <c r="AD514" s="9"/>
      <c r="AE514" s="9"/>
      <c r="AF514" s="9"/>
      <c r="AG514" s="9"/>
      <c r="AH514" s="9"/>
      <c r="AI514" s="9"/>
      <c r="AJ514" s="9"/>
    </row>
    <row r="515" ht="15.75" hidden="1" customHeight="1">
      <c r="A515" s="11"/>
      <c r="B515" s="11"/>
      <c r="C515" s="11"/>
      <c r="D515" s="13"/>
      <c r="E515" s="11"/>
      <c r="F515" s="11"/>
      <c r="G515" s="11"/>
      <c r="H515" s="13"/>
      <c r="I515" s="11"/>
      <c r="J515" s="11"/>
      <c r="K515" s="12"/>
      <c r="L515" s="12"/>
      <c r="M515" s="11"/>
      <c r="N515" s="11"/>
      <c r="O515" s="12"/>
      <c r="P515" s="11"/>
      <c r="Q515" s="11"/>
      <c r="R515" s="13"/>
      <c r="S515" s="19"/>
      <c r="T515" s="13"/>
      <c r="U515" s="13"/>
      <c r="V515" s="13"/>
      <c r="W515" s="13"/>
      <c r="X515" s="13"/>
      <c r="Y515" s="13"/>
      <c r="Z515" s="13"/>
      <c r="AA515" s="13"/>
      <c r="AB515" s="13"/>
      <c r="AC515" s="13"/>
      <c r="AD515" s="13"/>
      <c r="AE515" s="13"/>
      <c r="AF515" s="13"/>
      <c r="AG515" s="13"/>
      <c r="AH515" s="13"/>
      <c r="AI515" s="13"/>
      <c r="AJ515" s="13"/>
    </row>
    <row r="516" ht="15.75" hidden="1" customHeight="1">
      <c r="A516" s="7"/>
      <c r="B516" s="7"/>
      <c r="C516" s="7"/>
      <c r="D516" s="9"/>
      <c r="E516" s="7"/>
      <c r="F516" s="7"/>
      <c r="G516" s="7"/>
      <c r="H516" s="9"/>
      <c r="I516" s="7"/>
      <c r="J516" s="7"/>
      <c r="K516" s="8"/>
      <c r="L516" s="8"/>
      <c r="M516" s="7"/>
      <c r="N516" s="7"/>
      <c r="O516" s="8"/>
      <c r="P516" s="7"/>
      <c r="Q516" s="7"/>
      <c r="R516" s="9"/>
      <c r="S516" s="17"/>
      <c r="T516" s="9"/>
      <c r="U516" s="9"/>
      <c r="V516" s="9"/>
      <c r="W516" s="9"/>
      <c r="X516" s="9"/>
      <c r="Y516" s="9"/>
      <c r="Z516" s="9"/>
      <c r="AA516" s="9"/>
      <c r="AB516" s="9"/>
      <c r="AC516" s="9"/>
      <c r="AD516" s="9"/>
      <c r="AE516" s="9"/>
      <c r="AF516" s="9"/>
      <c r="AG516" s="9"/>
      <c r="AH516" s="9"/>
      <c r="AI516" s="9"/>
      <c r="AJ516" s="9"/>
    </row>
    <row r="517" ht="15.75" hidden="1" customHeight="1">
      <c r="A517" s="11"/>
      <c r="B517" s="11"/>
      <c r="C517" s="11"/>
      <c r="D517" s="13"/>
      <c r="E517" s="11"/>
      <c r="F517" s="11"/>
      <c r="G517" s="11"/>
      <c r="H517" s="13"/>
      <c r="I517" s="11"/>
      <c r="J517" s="11"/>
      <c r="K517" s="12"/>
      <c r="L517" s="12"/>
      <c r="M517" s="11"/>
      <c r="N517" s="11"/>
      <c r="O517" s="12"/>
      <c r="P517" s="11"/>
      <c r="Q517" s="11"/>
      <c r="R517" s="13"/>
      <c r="S517" s="19"/>
      <c r="T517" s="13"/>
      <c r="U517" s="13"/>
      <c r="V517" s="13"/>
      <c r="W517" s="13"/>
      <c r="X517" s="13"/>
      <c r="Y517" s="13"/>
      <c r="Z517" s="13"/>
      <c r="AA517" s="13"/>
      <c r="AB517" s="13"/>
      <c r="AC517" s="13"/>
      <c r="AD517" s="13"/>
      <c r="AE517" s="13"/>
      <c r="AF517" s="13"/>
      <c r="AG517" s="13"/>
      <c r="AH517" s="13"/>
      <c r="AI517" s="13"/>
      <c r="AJ517" s="13"/>
    </row>
    <row r="518" ht="15.75" hidden="1" customHeight="1">
      <c r="A518" s="7"/>
      <c r="B518" s="7"/>
      <c r="C518" s="7"/>
      <c r="D518" s="9"/>
      <c r="E518" s="7"/>
      <c r="F518" s="7"/>
      <c r="G518" s="7"/>
      <c r="H518" s="9"/>
      <c r="I518" s="7"/>
      <c r="J518" s="7"/>
      <c r="K518" s="8"/>
      <c r="L518" s="8"/>
      <c r="M518" s="7"/>
      <c r="N518" s="7"/>
      <c r="O518" s="8"/>
      <c r="P518" s="7"/>
      <c r="Q518" s="7"/>
      <c r="R518" s="9"/>
      <c r="S518" s="17"/>
      <c r="T518" s="9"/>
      <c r="U518" s="9"/>
      <c r="V518" s="9"/>
      <c r="W518" s="9"/>
      <c r="X518" s="9"/>
      <c r="Y518" s="9"/>
      <c r="Z518" s="9"/>
      <c r="AA518" s="9"/>
      <c r="AB518" s="9"/>
      <c r="AC518" s="9"/>
      <c r="AD518" s="9"/>
      <c r="AE518" s="9"/>
      <c r="AF518" s="9"/>
      <c r="AG518" s="9"/>
      <c r="AH518" s="9"/>
      <c r="AI518" s="9"/>
      <c r="AJ518" s="9"/>
    </row>
    <row r="519" ht="15.75" hidden="1" customHeight="1">
      <c r="A519" s="11"/>
      <c r="B519" s="11"/>
      <c r="C519" s="11"/>
      <c r="D519" s="13"/>
      <c r="E519" s="11"/>
      <c r="F519" s="11"/>
      <c r="G519" s="11"/>
      <c r="H519" s="13"/>
      <c r="I519" s="11"/>
      <c r="J519" s="11"/>
      <c r="K519" s="12"/>
      <c r="L519" s="12"/>
      <c r="M519" s="11"/>
      <c r="N519" s="11"/>
      <c r="O519" s="12"/>
      <c r="P519" s="11"/>
      <c r="Q519" s="11"/>
      <c r="R519" s="13"/>
      <c r="S519" s="19"/>
      <c r="T519" s="13"/>
      <c r="U519" s="13"/>
      <c r="V519" s="13"/>
      <c r="W519" s="13"/>
      <c r="X519" s="13"/>
      <c r="Y519" s="13"/>
      <c r="Z519" s="13"/>
      <c r="AA519" s="13"/>
      <c r="AB519" s="13"/>
      <c r="AC519" s="13"/>
      <c r="AD519" s="13"/>
      <c r="AE519" s="13"/>
      <c r="AF519" s="13"/>
      <c r="AG519" s="13"/>
      <c r="AH519" s="13"/>
      <c r="AI519" s="13"/>
      <c r="AJ519" s="13"/>
    </row>
    <row r="520" ht="15.75" hidden="1" customHeight="1">
      <c r="A520" s="7"/>
      <c r="B520" s="7"/>
      <c r="C520" s="7"/>
      <c r="D520" s="9"/>
      <c r="E520" s="7"/>
      <c r="F520" s="7"/>
      <c r="G520" s="7"/>
      <c r="H520" s="9"/>
      <c r="I520" s="7"/>
      <c r="J520" s="7"/>
      <c r="K520" s="8"/>
      <c r="L520" s="8"/>
      <c r="M520" s="7"/>
      <c r="N520" s="7"/>
      <c r="O520" s="8"/>
      <c r="P520" s="7"/>
      <c r="Q520" s="7"/>
      <c r="R520" s="9"/>
      <c r="S520" s="17"/>
      <c r="T520" s="9"/>
      <c r="U520" s="9"/>
      <c r="V520" s="9"/>
      <c r="W520" s="9"/>
      <c r="X520" s="9"/>
      <c r="Y520" s="9"/>
      <c r="Z520" s="9"/>
      <c r="AA520" s="9"/>
      <c r="AB520" s="9"/>
      <c r="AC520" s="9"/>
      <c r="AD520" s="9"/>
      <c r="AE520" s="9"/>
      <c r="AF520" s="9"/>
      <c r="AG520" s="9"/>
      <c r="AH520" s="9"/>
      <c r="AI520" s="9"/>
      <c r="AJ520" s="9"/>
    </row>
    <row r="521" ht="15.75" hidden="1" customHeight="1">
      <c r="A521" s="11"/>
      <c r="B521" s="11"/>
      <c r="C521" s="11"/>
      <c r="D521" s="13"/>
      <c r="E521" s="11"/>
      <c r="F521" s="11"/>
      <c r="G521" s="11"/>
      <c r="H521" s="13"/>
      <c r="I521" s="11"/>
      <c r="J521" s="11"/>
      <c r="K521" s="12"/>
      <c r="L521" s="12"/>
      <c r="M521" s="11"/>
      <c r="N521" s="11"/>
      <c r="O521" s="12"/>
      <c r="P521" s="11"/>
      <c r="Q521" s="11"/>
      <c r="R521" s="13"/>
      <c r="S521" s="19"/>
      <c r="T521" s="13"/>
      <c r="U521" s="13"/>
      <c r="V521" s="13"/>
      <c r="W521" s="13"/>
      <c r="X521" s="13"/>
      <c r="Y521" s="13"/>
      <c r="Z521" s="13"/>
      <c r="AA521" s="13"/>
      <c r="AB521" s="13"/>
      <c r="AC521" s="13"/>
      <c r="AD521" s="13"/>
      <c r="AE521" s="13"/>
      <c r="AF521" s="13"/>
      <c r="AG521" s="13"/>
      <c r="AH521" s="13"/>
      <c r="AI521" s="13"/>
      <c r="AJ521" s="13"/>
    </row>
    <row r="522" ht="15.75" hidden="1" customHeight="1">
      <c r="A522" s="7"/>
      <c r="B522" s="7"/>
      <c r="C522" s="7"/>
      <c r="D522" s="9"/>
      <c r="E522" s="7"/>
      <c r="F522" s="7"/>
      <c r="G522" s="7"/>
      <c r="H522" s="9"/>
      <c r="I522" s="7"/>
      <c r="J522" s="7"/>
      <c r="K522" s="8"/>
      <c r="L522" s="8"/>
      <c r="M522" s="7"/>
      <c r="N522" s="7"/>
      <c r="O522" s="8"/>
      <c r="P522" s="7"/>
      <c r="Q522" s="7"/>
      <c r="R522" s="9"/>
      <c r="S522" s="17"/>
      <c r="T522" s="9"/>
      <c r="U522" s="9"/>
      <c r="V522" s="9"/>
      <c r="W522" s="9"/>
      <c r="X522" s="9"/>
      <c r="Y522" s="9"/>
      <c r="Z522" s="9"/>
      <c r="AA522" s="9"/>
      <c r="AB522" s="9"/>
      <c r="AC522" s="9"/>
      <c r="AD522" s="9"/>
      <c r="AE522" s="9"/>
      <c r="AF522" s="9"/>
      <c r="AG522" s="9"/>
      <c r="AH522" s="9"/>
      <c r="AI522" s="9"/>
      <c r="AJ522" s="9"/>
    </row>
    <row r="523" ht="15.75" hidden="1" customHeight="1">
      <c r="A523" s="11"/>
      <c r="B523" s="11"/>
      <c r="C523" s="11"/>
      <c r="D523" s="13"/>
      <c r="E523" s="11"/>
      <c r="F523" s="11"/>
      <c r="G523" s="11"/>
      <c r="H523" s="13"/>
      <c r="I523" s="11"/>
      <c r="J523" s="11"/>
      <c r="K523" s="12"/>
      <c r="L523" s="12"/>
      <c r="M523" s="11"/>
      <c r="N523" s="11"/>
      <c r="O523" s="12"/>
      <c r="P523" s="11"/>
      <c r="Q523" s="11"/>
      <c r="R523" s="13"/>
      <c r="S523" s="19"/>
      <c r="T523" s="13"/>
      <c r="U523" s="13"/>
      <c r="V523" s="13"/>
      <c r="W523" s="13"/>
      <c r="X523" s="13"/>
      <c r="Y523" s="13"/>
      <c r="Z523" s="13"/>
      <c r="AA523" s="13"/>
      <c r="AB523" s="13"/>
      <c r="AC523" s="13"/>
      <c r="AD523" s="13"/>
      <c r="AE523" s="13"/>
      <c r="AF523" s="13"/>
      <c r="AG523" s="13"/>
      <c r="AH523" s="13"/>
      <c r="AI523" s="13"/>
      <c r="AJ523" s="13"/>
    </row>
    <row r="524" ht="15.75" hidden="1" customHeight="1">
      <c r="A524" s="7"/>
      <c r="B524" s="7"/>
      <c r="C524" s="7"/>
      <c r="D524" s="9"/>
      <c r="E524" s="7"/>
      <c r="F524" s="7"/>
      <c r="G524" s="7"/>
      <c r="H524" s="9"/>
      <c r="I524" s="7"/>
      <c r="J524" s="7"/>
      <c r="K524" s="8"/>
      <c r="L524" s="8"/>
      <c r="M524" s="7"/>
      <c r="N524" s="7"/>
      <c r="O524" s="8"/>
      <c r="P524" s="7"/>
      <c r="Q524" s="7"/>
      <c r="R524" s="9"/>
      <c r="S524" s="17"/>
      <c r="T524" s="9"/>
      <c r="U524" s="9"/>
      <c r="V524" s="9"/>
      <c r="W524" s="9"/>
      <c r="X524" s="9"/>
      <c r="Y524" s="9"/>
      <c r="Z524" s="9"/>
      <c r="AA524" s="9"/>
      <c r="AB524" s="9"/>
      <c r="AC524" s="9"/>
      <c r="AD524" s="9"/>
      <c r="AE524" s="9"/>
      <c r="AF524" s="9"/>
      <c r="AG524" s="9"/>
      <c r="AH524" s="9"/>
      <c r="AI524" s="9"/>
      <c r="AJ524" s="9"/>
    </row>
    <row r="525" ht="15.75" hidden="1" customHeight="1">
      <c r="A525" s="11"/>
      <c r="B525" s="11"/>
      <c r="C525" s="11"/>
      <c r="D525" s="13"/>
      <c r="E525" s="11"/>
      <c r="F525" s="11"/>
      <c r="G525" s="11"/>
      <c r="H525" s="13"/>
      <c r="I525" s="11"/>
      <c r="J525" s="11"/>
      <c r="K525" s="12"/>
      <c r="L525" s="12"/>
      <c r="M525" s="11"/>
      <c r="N525" s="11"/>
      <c r="O525" s="12"/>
      <c r="P525" s="11"/>
      <c r="Q525" s="11"/>
      <c r="R525" s="13"/>
      <c r="S525" s="19"/>
      <c r="T525" s="13"/>
      <c r="U525" s="13"/>
      <c r="V525" s="13"/>
      <c r="W525" s="13"/>
      <c r="X525" s="13"/>
      <c r="Y525" s="13"/>
      <c r="Z525" s="13"/>
      <c r="AA525" s="13"/>
      <c r="AB525" s="13"/>
      <c r="AC525" s="13"/>
      <c r="AD525" s="13"/>
      <c r="AE525" s="13"/>
      <c r="AF525" s="13"/>
      <c r="AG525" s="13"/>
      <c r="AH525" s="13"/>
      <c r="AI525" s="13"/>
      <c r="AJ525" s="13"/>
    </row>
    <row r="526" ht="15.75" hidden="1" customHeight="1">
      <c r="A526" s="7"/>
      <c r="B526" s="7"/>
      <c r="C526" s="7"/>
      <c r="D526" s="9"/>
      <c r="E526" s="7"/>
      <c r="F526" s="7"/>
      <c r="G526" s="7"/>
      <c r="H526" s="9"/>
      <c r="I526" s="7"/>
      <c r="J526" s="7"/>
      <c r="K526" s="8"/>
      <c r="L526" s="8"/>
      <c r="M526" s="7"/>
      <c r="N526" s="7"/>
      <c r="O526" s="8"/>
      <c r="P526" s="7"/>
      <c r="Q526" s="7"/>
      <c r="R526" s="9"/>
      <c r="S526" s="17"/>
      <c r="T526" s="9"/>
      <c r="U526" s="9"/>
      <c r="V526" s="9"/>
      <c r="W526" s="9"/>
      <c r="X526" s="9"/>
      <c r="Y526" s="9"/>
      <c r="Z526" s="9"/>
      <c r="AA526" s="9"/>
      <c r="AB526" s="9"/>
      <c r="AC526" s="9"/>
      <c r="AD526" s="9"/>
      <c r="AE526" s="9"/>
      <c r="AF526" s="9"/>
      <c r="AG526" s="9"/>
      <c r="AH526" s="9"/>
      <c r="AI526" s="9"/>
      <c r="AJ526" s="9"/>
    </row>
    <row r="527" ht="15.75" hidden="1" customHeight="1">
      <c r="A527" s="11"/>
      <c r="B527" s="11"/>
      <c r="C527" s="11"/>
      <c r="D527" s="13"/>
      <c r="E527" s="11"/>
      <c r="F527" s="11"/>
      <c r="G527" s="11"/>
      <c r="H527" s="13"/>
      <c r="I527" s="11"/>
      <c r="J527" s="11"/>
      <c r="K527" s="12"/>
      <c r="L527" s="12"/>
      <c r="M527" s="11"/>
      <c r="N527" s="11"/>
      <c r="O527" s="12"/>
      <c r="P527" s="11"/>
      <c r="Q527" s="11"/>
      <c r="R527" s="13"/>
      <c r="S527" s="19"/>
      <c r="T527" s="13"/>
      <c r="U527" s="13"/>
      <c r="V527" s="13"/>
      <c r="W527" s="13"/>
      <c r="X527" s="13"/>
      <c r="Y527" s="13"/>
      <c r="Z527" s="13"/>
      <c r="AA527" s="13"/>
      <c r="AB527" s="13"/>
      <c r="AC527" s="13"/>
      <c r="AD527" s="13"/>
      <c r="AE527" s="13"/>
      <c r="AF527" s="13"/>
      <c r="AG527" s="13"/>
      <c r="AH527" s="13"/>
      <c r="AI527" s="13"/>
      <c r="AJ527" s="13"/>
    </row>
    <row r="528" ht="15.75" hidden="1" customHeight="1">
      <c r="A528" s="7"/>
      <c r="B528" s="7"/>
      <c r="C528" s="7"/>
      <c r="D528" s="9"/>
      <c r="E528" s="7"/>
      <c r="F528" s="7"/>
      <c r="G528" s="7"/>
      <c r="H528" s="9"/>
      <c r="I528" s="7"/>
      <c r="J528" s="7"/>
      <c r="K528" s="8"/>
      <c r="L528" s="8"/>
      <c r="M528" s="7"/>
      <c r="N528" s="7"/>
      <c r="O528" s="8"/>
      <c r="P528" s="7"/>
      <c r="Q528" s="7"/>
      <c r="R528" s="9"/>
      <c r="S528" s="17"/>
      <c r="T528" s="9"/>
      <c r="U528" s="9"/>
      <c r="V528" s="9"/>
      <c r="W528" s="9"/>
      <c r="X528" s="9"/>
      <c r="Y528" s="9"/>
      <c r="Z528" s="9"/>
      <c r="AA528" s="9"/>
      <c r="AB528" s="9"/>
      <c r="AC528" s="9"/>
      <c r="AD528" s="9"/>
      <c r="AE528" s="9"/>
      <c r="AF528" s="9"/>
      <c r="AG528" s="9"/>
      <c r="AH528" s="9"/>
      <c r="AI528" s="9"/>
      <c r="AJ528" s="9"/>
    </row>
    <row r="529" ht="15.75" hidden="1" customHeight="1">
      <c r="A529" s="11"/>
      <c r="B529" s="11"/>
      <c r="C529" s="11"/>
      <c r="D529" s="13"/>
      <c r="E529" s="11"/>
      <c r="F529" s="11"/>
      <c r="G529" s="11"/>
      <c r="H529" s="13"/>
      <c r="I529" s="11"/>
      <c r="J529" s="11"/>
      <c r="K529" s="12"/>
      <c r="L529" s="12"/>
      <c r="M529" s="11"/>
      <c r="N529" s="11"/>
      <c r="O529" s="12"/>
      <c r="P529" s="11"/>
      <c r="Q529" s="11"/>
      <c r="R529" s="13"/>
      <c r="S529" s="19"/>
      <c r="T529" s="13"/>
      <c r="U529" s="13"/>
      <c r="V529" s="13"/>
      <c r="W529" s="13"/>
      <c r="X529" s="13"/>
      <c r="Y529" s="13"/>
      <c r="Z529" s="13"/>
      <c r="AA529" s="13"/>
      <c r="AB529" s="13"/>
      <c r="AC529" s="13"/>
      <c r="AD529" s="13"/>
      <c r="AE529" s="13"/>
      <c r="AF529" s="13"/>
      <c r="AG529" s="13"/>
      <c r="AH529" s="13"/>
      <c r="AI529" s="13"/>
      <c r="AJ529" s="13"/>
    </row>
    <row r="530" ht="15.75" hidden="1" customHeight="1">
      <c r="A530" s="7"/>
      <c r="B530" s="7"/>
      <c r="C530" s="7"/>
      <c r="D530" s="9"/>
      <c r="E530" s="7"/>
      <c r="F530" s="7"/>
      <c r="G530" s="7"/>
      <c r="H530" s="9"/>
      <c r="I530" s="7"/>
      <c r="J530" s="7"/>
      <c r="K530" s="8"/>
      <c r="L530" s="8"/>
      <c r="M530" s="7"/>
      <c r="N530" s="7"/>
      <c r="O530" s="8"/>
      <c r="P530" s="7"/>
      <c r="Q530" s="7"/>
      <c r="R530" s="9"/>
      <c r="S530" s="17"/>
      <c r="T530" s="9"/>
      <c r="U530" s="9"/>
      <c r="V530" s="9"/>
      <c r="W530" s="9"/>
      <c r="X530" s="9"/>
      <c r="Y530" s="9"/>
      <c r="Z530" s="9"/>
      <c r="AA530" s="9"/>
      <c r="AB530" s="9"/>
      <c r="AC530" s="9"/>
      <c r="AD530" s="9"/>
      <c r="AE530" s="9"/>
      <c r="AF530" s="9"/>
      <c r="AG530" s="9"/>
      <c r="AH530" s="9"/>
      <c r="AI530" s="9"/>
      <c r="AJ530" s="9"/>
    </row>
    <row r="531" ht="15.75" hidden="1" customHeight="1">
      <c r="A531" s="11"/>
      <c r="B531" s="11"/>
      <c r="C531" s="11"/>
      <c r="D531" s="13"/>
      <c r="E531" s="11"/>
      <c r="F531" s="11"/>
      <c r="G531" s="11"/>
      <c r="H531" s="13"/>
      <c r="I531" s="11"/>
      <c r="J531" s="11"/>
      <c r="K531" s="12"/>
      <c r="L531" s="12"/>
      <c r="M531" s="11"/>
      <c r="N531" s="11"/>
      <c r="O531" s="12"/>
      <c r="P531" s="11"/>
      <c r="Q531" s="11"/>
      <c r="R531" s="13"/>
      <c r="S531" s="19"/>
      <c r="T531" s="13"/>
      <c r="U531" s="13"/>
      <c r="V531" s="13"/>
      <c r="W531" s="13"/>
      <c r="X531" s="13"/>
      <c r="Y531" s="13"/>
      <c r="Z531" s="13"/>
      <c r="AA531" s="13"/>
      <c r="AB531" s="13"/>
      <c r="AC531" s="13"/>
      <c r="AD531" s="13"/>
      <c r="AE531" s="13"/>
      <c r="AF531" s="13"/>
      <c r="AG531" s="13"/>
      <c r="AH531" s="13"/>
      <c r="AI531" s="13"/>
      <c r="AJ531" s="13"/>
    </row>
    <row r="532" ht="15.75" hidden="1" customHeight="1">
      <c r="A532" s="7"/>
      <c r="B532" s="7"/>
      <c r="C532" s="7"/>
      <c r="D532" s="9"/>
      <c r="E532" s="7"/>
      <c r="F532" s="7"/>
      <c r="G532" s="7"/>
      <c r="H532" s="9"/>
      <c r="I532" s="7"/>
      <c r="J532" s="7"/>
      <c r="K532" s="8"/>
      <c r="L532" s="8"/>
      <c r="M532" s="7"/>
      <c r="N532" s="7"/>
      <c r="O532" s="8"/>
      <c r="P532" s="7"/>
      <c r="Q532" s="7"/>
      <c r="R532" s="9"/>
      <c r="S532" s="17"/>
      <c r="T532" s="9"/>
      <c r="U532" s="9"/>
      <c r="V532" s="9"/>
      <c r="W532" s="9"/>
      <c r="X532" s="9"/>
      <c r="Y532" s="9"/>
      <c r="Z532" s="9"/>
      <c r="AA532" s="9"/>
      <c r="AB532" s="9"/>
      <c r="AC532" s="9"/>
      <c r="AD532" s="9"/>
      <c r="AE532" s="9"/>
      <c r="AF532" s="9"/>
      <c r="AG532" s="9"/>
      <c r="AH532" s="9"/>
      <c r="AI532" s="9"/>
      <c r="AJ532" s="9"/>
    </row>
    <row r="533" ht="15.75" hidden="1" customHeight="1">
      <c r="A533" s="11"/>
      <c r="B533" s="11"/>
      <c r="C533" s="11"/>
      <c r="D533" s="13"/>
      <c r="E533" s="11"/>
      <c r="F533" s="11"/>
      <c r="G533" s="11"/>
      <c r="H533" s="13"/>
      <c r="I533" s="11"/>
      <c r="J533" s="11"/>
      <c r="K533" s="12"/>
      <c r="L533" s="12"/>
      <c r="M533" s="11"/>
      <c r="N533" s="11"/>
      <c r="O533" s="12"/>
      <c r="P533" s="11"/>
      <c r="Q533" s="11"/>
      <c r="R533" s="13"/>
      <c r="S533" s="19"/>
      <c r="T533" s="13"/>
      <c r="U533" s="13"/>
      <c r="V533" s="13"/>
      <c r="W533" s="13"/>
      <c r="X533" s="13"/>
      <c r="Y533" s="13"/>
      <c r="Z533" s="13"/>
      <c r="AA533" s="13"/>
      <c r="AB533" s="13"/>
      <c r="AC533" s="13"/>
      <c r="AD533" s="13"/>
      <c r="AE533" s="13"/>
      <c r="AF533" s="13"/>
      <c r="AG533" s="13"/>
      <c r="AH533" s="13"/>
      <c r="AI533" s="13"/>
      <c r="AJ533" s="13"/>
    </row>
    <row r="534" ht="15.75" hidden="1" customHeight="1">
      <c r="A534" s="7"/>
      <c r="B534" s="7"/>
      <c r="C534" s="7"/>
      <c r="D534" s="9"/>
      <c r="E534" s="7"/>
      <c r="F534" s="7"/>
      <c r="G534" s="7"/>
      <c r="H534" s="9"/>
      <c r="I534" s="7"/>
      <c r="J534" s="7"/>
      <c r="K534" s="8"/>
      <c r="L534" s="8"/>
      <c r="M534" s="7"/>
      <c r="N534" s="7"/>
      <c r="O534" s="8"/>
      <c r="P534" s="7"/>
      <c r="Q534" s="7"/>
      <c r="R534" s="9"/>
      <c r="S534" s="17"/>
      <c r="T534" s="9"/>
      <c r="U534" s="9"/>
      <c r="V534" s="9"/>
      <c r="W534" s="9"/>
      <c r="X534" s="9"/>
      <c r="Y534" s="9"/>
      <c r="Z534" s="9"/>
      <c r="AA534" s="9"/>
      <c r="AB534" s="9"/>
      <c r="AC534" s="9"/>
      <c r="AD534" s="9"/>
      <c r="AE534" s="9"/>
      <c r="AF534" s="9"/>
      <c r="AG534" s="9"/>
      <c r="AH534" s="9"/>
      <c r="AI534" s="9"/>
      <c r="AJ534" s="9"/>
    </row>
    <row r="535" ht="15.75" hidden="1" customHeight="1">
      <c r="A535" s="11"/>
      <c r="B535" s="11"/>
      <c r="C535" s="11"/>
      <c r="D535" s="13"/>
      <c r="E535" s="11"/>
      <c r="F535" s="11"/>
      <c r="G535" s="11"/>
      <c r="H535" s="13"/>
      <c r="I535" s="11"/>
      <c r="J535" s="11"/>
      <c r="K535" s="12"/>
      <c r="L535" s="12"/>
      <c r="M535" s="11"/>
      <c r="N535" s="11"/>
      <c r="O535" s="12"/>
      <c r="P535" s="11"/>
      <c r="Q535" s="11"/>
      <c r="R535" s="13"/>
      <c r="S535" s="19"/>
      <c r="T535" s="13"/>
      <c r="U535" s="13"/>
      <c r="V535" s="13"/>
      <c r="W535" s="13"/>
      <c r="X535" s="13"/>
      <c r="Y535" s="13"/>
      <c r="Z535" s="13"/>
      <c r="AA535" s="13"/>
      <c r="AB535" s="13"/>
      <c r="AC535" s="13"/>
      <c r="AD535" s="13"/>
      <c r="AE535" s="13"/>
      <c r="AF535" s="13"/>
      <c r="AG535" s="13"/>
      <c r="AH535" s="13"/>
      <c r="AI535" s="13"/>
      <c r="AJ535" s="13"/>
    </row>
    <row r="536" ht="15.75" hidden="1" customHeight="1">
      <c r="A536" s="7"/>
      <c r="B536" s="7"/>
      <c r="C536" s="7"/>
      <c r="D536" s="9"/>
      <c r="E536" s="7"/>
      <c r="F536" s="7"/>
      <c r="G536" s="7"/>
      <c r="H536" s="9"/>
      <c r="I536" s="7"/>
      <c r="J536" s="7"/>
      <c r="K536" s="8"/>
      <c r="L536" s="8"/>
      <c r="M536" s="7"/>
      <c r="N536" s="7"/>
      <c r="O536" s="8"/>
      <c r="P536" s="7"/>
      <c r="Q536" s="7"/>
      <c r="R536" s="9"/>
      <c r="S536" s="17"/>
      <c r="T536" s="9"/>
      <c r="U536" s="9"/>
      <c r="V536" s="9"/>
      <c r="W536" s="9"/>
      <c r="X536" s="9"/>
      <c r="Y536" s="9"/>
      <c r="Z536" s="9"/>
      <c r="AA536" s="9"/>
      <c r="AB536" s="9"/>
      <c r="AC536" s="9"/>
      <c r="AD536" s="9"/>
      <c r="AE536" s="9"/>
      <c r="AF536" s="9"/>
      <c r="AG536" s="9"/>
      <c r="AH536" s="9"/>
      <c r="AI536" s="9"/>
      <c r="AJ536" s="9"/>
    </row>
    <row r="537" ht="15.75" hidden="1" customHeight="1">
      <c r="A537" s="11"/>
      <c r="B537" s="11"/>
      <c r="C537" s="11"/>
      <c r="D537" s="13"/>
      <c r="E537" s="11"/>
      <c r="F537" s="11"/>
      <c r="G537" s="11"/>
      <c r="H537" s="13"/>
      <c r="I537" s="11"/>
      <c r="J537" s="11"/>
      <c r="K537" s="12"/>
      <c r="L537" s="12"/>
      <c r="M537" s="11"/>
      <c r="N537" s="11"/>
      <c r="O537" s="12"/>
      <c r="P537" s="11"/>
      <c r="Q537" s="11"/>
      <c r="R537" s="13"/>
      <c r="S537" s="19"/>
      <c r="T537" s="13"/>
      <c r="U537" s="13"/>
      <c r="V537" s="13"/>
      <c r="W537" s="13"/>
      <c r="X537" s="13"/>
      <c r="Y537" s="13"/>
      <c r="Z537" s="13"/>
      <c r="AA537" s="13"/>
      <c r="AB537" s="13"/>
      <c r="AC537" s="13"/>
      <c r="AD537" s="13"/>
      <c r="AE537" s="13"/>
      <c r="AF537" s="13"/>
      <c r="AG537" s="13"/>
      <c r="AH537" s="13"/>
      <c r="AI537" s="13"/>
      <c r="AJ537" s="13"/>
    </row>
    <row r="538" ht="15.75" hidden="1" customHeight="1">
      <c r="A538" s="7"/>
      <c r="B538" s="7"/>
      <c r="C538" s="7"/>
      <c r="D538" s="9"/>
      <c r="E538" s="7"/>
      <c r="F538" s="7"/>
      <c r="G538" s="7"/>
      <c r="H538" s="9"/>
      <c r="I538" s="7"/>
      <c r="J538" s="7"/>
      <c r="K538" s="8"/>
      <c r="L538" s="8"/>
      <c r="M538" s="7"/>
      <c r="N538" s="7"/>
      <c r="O538" s="8"/>
      <c r="P538" s="7"/>
      <c r="Q538" s="7"/>
      <c r="R538" s="9"/>
      <c r="S538" s="17"/>
      <c r="T538" s="9"/>
      <c r="U538" s="9"/>
      <c r="V538" s="9"/>
      <c r="W538" s="9"/>
      <c r="X538" s="9"/>
      <c r="Y538" s="9"/>
      <c r="Z538" s="9"/>
      <c r="AA538" s="9"/>
      <c r="AB538" s="9"/>
      <c r="AC538" s="9"/>
      <c r="AD538" s="9"/>
      <c r="AE538" s="9"/>
      <c r="AF538" s="9"/>
      <c r="AG538" s="9"/>
      <c r="AH538" s="9"/>
      <c r="AI538" s="9"/>
      <c r="AJ538" s="9"/>
    </row>
    <row r="539" ht="15.75" hidden="1" customHeight="1">
      <c r="A539" s="11"/>
      <c r="B539" s="11"/>
      <c r="C539" s="11"/>
      <c r="D539" s="13"/>
      <c r="E539" s="11"/>
      <c r="F539" s="11"/>
      <c r="G539" s="11"/>
      <c r="H539" s="13"/>
      <c r="I539" s="11"/>
      <c r="J539" s="11"/>
      <c r="K539" s="12"/>
      <c r="L539" s="12"/>
      <c r="M539" s="11"/>
      <c r="N539" s="11"/>
      <c r="O539" s="12"/>
      <c r="P539" s="11"/>
      <c r="Q539" s="11"/>
      <c r="R539" s="13"/>
      <c r="S539" s="19"/>
      <c r="T539" s="13"/>
      <c r="U539" s="13"/>
      <c r="V539" s="13"/>
      <c r="W539" s="13"/>
      <c r="X539" s="13"/>
      <c r="Y539" s="13"/>
      <c r="Z539" s="13"/>
      <c r="AA539" s="13"/>
      <c r="AB539" s="13"/>
      <c r="AC539" s="13"/>
      <c r="AD539" s="13"/>
      <c r="AE539" s="13"/>
      <c r="AF539" s="13"/>
      <c r="AG539" s="13"/>
      <c r="AH539" s="13"/>
      <c r="AI539" s="13"/>
      <c r="AJ539" s="13"/>
    </row>
    <row r="540" ht="15.75" hidden="1" customHeight="1">
      <c r="A540" s="7"/>
      <c r="B540" s="7"/>
      <c r="C540" s="7"/>
      <c r="D540" s="9"/>
      <c r="E540" s="7"/>
      <c r="F540" s="7"/>
      <c r="G540" s="7"/>
      <c r="H540" s="9"/>
      <c r="I540" s="7"/>
      <c r="J540" s="7"/>
      <c r="K540" s="8"/>
      <c r="L540" s="8"/>
      <c r="M540" s="7"/>
      <c r="N540" s="7"/>
      <c r="O540" s="8"/>
      <c r="P540" s="7"/>
      <c r="Q540" s="7"/>
      <c r="R540" s="9"/>
      <c r="S540" s="17"/>
      <c r="T540" s="9"/>
      <c r="U540" s="9"/>
      <c r="V540" s="9"/>
      <c r="W540" s="9"/>
      <c r="X540" s="9"/>
      <c r="Y540" s="9"/>
      <c r="Z540" s="9"/>
      <c r="AA540" s="9"/>
      <c r="AB540" s="9"/>
      <c r="AC540" s="9"/>
      <c r="AD540" s="9"/>
      <c r="AE540" s="9"/>
      <c r="AF540" s="9"/>
      <c r="AG540" s="9"/>
      <c r="AH540" s="9"/>
      <c r="AI540" s="9"/>
      <c r="AJ540" s="9"/>
    </row>
    <row r="541" ht="15.75" hidden="1" customHeight="1">
      <c r="A541" s="11"/>
      <c r="B541" s="11"/>
      <c r="C541" s="11"/>
      <c r="D541" s="13"/>
      <c r="E541" s="11"/>
      <c r="F541" s="11"/>
      <c r="G541" s="11"/>
      <c r="H541" s="13"/>
      <c r="I541" s="11"/>
      <c r="J541" s="11"/>
      <c r="K541" s="12"/>
      <c r="L541" s="12"/>
      <c r="M541" s="11"/>
      <c r="N541" s="11"/>
      <c r="O541" s="12"/>
      <c r="P541" s="11"/>
      <c r="Q541" s="11"/>
      <c r="R541" s="13"/>
      <c r="S541" s="19"/>
      <c r="T541" s="13"/>
      <c r="U541" s="13"/>
      <c r="V541" s="13"/>
      <c r="W541" s="13"/>
      <c r="X541" s="13"/>
      <c r="Y541" s="13"/>
      <c r="Z541" s="13"/>
      <c r="AA541" s="13"/>
      <c r="AB541" s="13"/>
      <c r="AC541" s="13"/>
      <c r="AD541" s="13"/>
      <c r="AE541" s="13"/>
      <c r="AF541" s="13"/>
      <c r="AG541" s="13"/>
      <c r="AH541" s="13"/>
      <c r="AI541" s="13"/>
      <c r="AJ541" s="13"/>
    </row>
    <row r="542" ht="15.75" hidden="1" customHeight="1">
      <c r="A542" s="7"/>
      <c r="B542" s="7"/>
      <c r="C542" s="7"/>
      <c r="D542" s="9"/>
      <c r="E542" s="7"/>
      <c r="F542" s="7"/>
      <c r="G542" s="7"/>
      <c r="H542" s="9"/>
      <c r="I542" s="7"/>
      <c r="J542" s="7"/>
      <c r="K542" s="8"/>
      <c r="L542" s="8"/>
      <c r="M542" s="7"/>
      <c r="N542" s="7"/>
      <c r="O542" s="8"/>
      <c r="P542" s="7"/>
      <c r="Q542" s="7"/>
      <c r="R542" s="9"/>
      <c r="S542" s="17"/>
      <c r="T542" s="9"/>
      <c r="U542" s="9"/>
      <c r="V542" s="9"/>
      <c r="W542" s="9"/>
      <c r="X542" s="9"/>
      <c r="Y542" s="9"/>
      <c r="Z542" s="9"/>
      <c r="AA542" s="9"/>
      <c r="AB542" s="9"/>
      <c r="AC542" s="9"/>
      <c r="AD542" s="9"/>
      <c r="AE542" s="9"/>
      <c r="AF542" s="9"/>
      <c r="AG542" s="9"/>
      <c r="AH542" s="9"/>
      <c r="AI542" s="9"/>
      <c r="AJ542" s="9"/>
    </row>
    <row r="543" ht="15.75" hidden="1" customHeight="1">
      <c r="A543" s="11"/>
      <c r="B543" s="11"/>
      <c r="C543" s="11"/>
      <c r="D543" s="13"/>
      <c r="E543" s="11"/>
      <c r="F543" s="11"/>
      <c r="G543" s="11"/>
      <c r="H543" s="13"/>
      <c r="I543" s="11"/>
      <c r="J543" s="11"/>
      <c r="K543" s="12"/>
      <c r="L543" s="12"/>
      <c r="M543" s="11"/>
      <c r="N543" s="11"/>
      <c r="O543" s="12"/>
      <c r="P543" s="11"/>
      <c r="Q543" s="11"/>
      <c r="R543" s="13"/>
      <c r="S543" s="19"/>
      <c r="T543" s="13"/>
      <c r="U543" s="13"/>
      <c r="V543" s="13"/>
      <c r="W543" s="13"/>
      <c r="X543" s="13"/>
      <c r="Y543" s="13"/>
      <c r="Z543" s="13"/>
      <c r="AA543" s="13"/>
      <c r="AB543" s="13"/>
      <c r="AC543" s="13"/>
      <c r="AD543" s="13"/>
      <c r="AE543" s="13"/>
      <c r="AF543" s="13"/>
      <c r="AG543" s="13"/>
      <c r="AH543" s="13"/>
      <c r="AI543" s="13"/>
      <c r="AJ543" s="13"/>
    </row>
    <row r="544" ht="15.75" hidden="1" customHeight="1">
      <c r="A544" s="7"/>
      <c r="B544" s="7"/>
      <c r="C544" s="7"/>
      <c r="D544" s="9"/>
      <c r="E544" s="7"/>
      <c r="F544" s="7"/>
      <c r="G544" s="7"/>
      <c r="H544" s="9"/>
      <c r="I544" s="7"/>
      <c r="J544" s="7"/>
      <c r="K544" s="8"/>
      <c r="L544" s="8"/>
      <c r="M544" s="7"/>
      <c r="N544" s="7"/>
      <c r="O544" s="8"/>
      <c r="P544" s="7"/>
      <c r="Q544" s="7"/>
      <c r="R544" s="9"/>
      <c r="S544" s="17"/>
      <c r="T544" s="9"/>
      <c r="U544" s="9"/>
      <c r="V544" s="9"/>
      <c r="W544" s="9"/>
      <c r="X544" s="9"/>
      <c r="Y544" s="9"/>
      <c r="Z544" s="9"/>
      <c r="AA544" s="9"/>
      <c r="AB544" s="9"/>
      <c r="AC544" s="9"/>
      <c r="AD544" s="9"/>
      <c r="AE544" s="9"/>
      <c r="AF544" s="9"/>
      <c r="AG544" s="9"/>
      <c r="AH544" s="9"/>
      <c r="AI544" s="9"/>
      <c r="AJ544" s="9"/>
    </row>
    <row r="545" ht="15.75" hidden="1" customHeight="1">
      <c r="A545" s="11"/>
      <c r="B545" s="11"/>
      <c r="C545" s="11"/>
      <c r="D545" s="13"/>
      <c r="E545" s="11"/>
      <c r="F545" s="11"/>
      <c r="G545" s="11"/>
      <c r="H545" s="13"/>
      <c r="I545" s="11"/>
      <c r="J545" s="11"/>
      <c r="K545" s="12"/>
      <c r="L545" s="12"/>
      <c r="M545" s="11"/>
      <c r="N545" s="11"/>
      <c r="O545" s="12"/>
      <c r="P545" s="11"/>
      <c r="Q545" s="11"/>
      <c r="R545" s="13"/>
      <c r="S545" s="19"/>
      <c r="T545" s="13"/>
      <c r="U545" s="13"/>
      <c r="V545" s="13"/>
      <c r="W545" s="13"/>
      <c r="X545" s="13"/>
      <c r="Y545" s="13"/>
      <c r="Z545" s="13"/>
      <c r="AA545" s="13"/>
      <c r="AB545" s="13"/>
      <c r="AC545" s="13"/>
      <c r="AD545" s="13"/>
      <c r="AE545" s="13"/>
      <c r="AF545" s="13"/>
      <c r="AG545" s="13"/>
      <c r="AH545" s="13"/>
      <c r="AI545" s="13"/>
      <c r="AJ545" s="13"/>
    </row>
    <row r="546" ht="15.75" hidden="1" customHeight="1">
      <c r="A546" s="7"/>
      <c r="B546" s="7"/>
      <c r="C546" s="7"/>
      <c r="D546" s="9"/>
      <c r="E546" s="7"/>
      <c r="F546" s="7"/>
      <c r="G546" s="7"/>
      <c r="H546" s="9"/>
      <c r="I546" s="7"/>
      <c r="J546" s="7"/>
      <c r="K546" s="8"/>
      <c r="L546" s="8"/>
      <c r="M546" s="7"/>
      <c r="N546" s="7"/>
      <c r="O546" s="8"/>
      <c r="P546" s="7"/>
      <c r="Q546" s="7"/>
      <c r="R546" s="9"/>
      <c r="S546" s="17"/>
      <c r="T546" s="9"/>
      <c r="U546" s="9"/>
      <c r="V546" s="9"/>
      <c r="W546" s="9"/>
      <c r="X546" s="9"/>
      <c r="Y546" s="9"/>
      <c r="Z546" s="9"/>
      <c r="AA546" s="9"/>
      <c r="AB546" s="9"/>
      <c r="AC546" s="9"/>
      <c r="AD546" s="9"/>
      <c r="AE546" s="9"/>
      <c r="AF546" s="9"/>
      <c r="AG546" s="9"/>
      <c r="AH546" s="9"/>
      <c r="AI546" s="9"/>
      <c r="AJ546" s="9"/>
    </row>
    <row r="547" ht="15.75" hidden="1" customHeight="1">
      <c r="A547" s="11"/>
      <c r="B547" s="11"/>
      <c r="C547" s="11"/>
      <c r="D547" s="13"/>
      <c r="E547" s="11"/>
      <c r="F547" s="11"/>
      <c r="G547" s="11"/>
      <c r="H547" s="13"/>
      <c r="I547" s="11"/>
      <c r="J547" s="11"/>
      <c r="K547" s="12"/>
      <c r="L547" s="12"/>
      <c r="M547" s="11"/>
      <c r="N547" s="11"/>
      <c r="O547" s="12"/>
      <c r="P547" s="11"/>
      <c r="Q547" s="11"/>
      <c r="R547" s="13"/>
      <c r="S547" s="19"/>
      <c r="T547" s="13"/>
      <c r="U547" s="13"/>
      <c r="V547" s="13"/>
      <c r="W547" s="13"/>
      <c r="X547" s="13"/>
      <c r="Y547" s="13"/>
      <c r="Z547" s="13"/>
      <c r="AA547" s="13"/>
      <c r="AB547" s="13"/>
      <c r="AC547" s="13"/>
      <c r="AD547" s="13"/>
      <c r="AE547" s="13"/>
      <c r="AF547" s="13"/>
      <c r="AG547" s="13"/>
      <c r="AH547" s="13"/>
      <c r="AI547" s="13"/>
      <c r="AJ547" s="13"/>
    </row>
    <row r="548" ht="15.75" hidden="1" customHeight="1">
      <c r="A548" s="7"/>
      <c r="B548" s="7"/>
      <c r="C548" s="7"/>
      <c r="D548" s="9"/>
      <c r="E548" s="7"/>
      <c r="F548" s="7"/>
      <c r="G548" s="7"/>
      <c r="H548" s="9"/>
      <c r="I548" s="7"/>
      <c r="J548" s="7"/>
      <c r="K548" s="8"/>
      <c r="L548" s="8"/>
      <c r="M548" s="7"/>
      <c r="N548" s="7"/>
      <c r="O548" s="8"/>
      <c r="P548" s="7"/>
      <c r="Q548" s="7"/>
      <c r="R548" s="9"/>
      <c r="S548" s="17"/>
      <c r="T548" s="9"/>
      <c r="U548" s="9"/>
      <c r="V548" s="9"/>
      <c r="W548" s="9"/>
      <c r="X548" s="9"/>
      <c r="Y548" s="9"/>
      <c r="Z548" s="9"/>
      <c r="AA548" s="9"/>
      <c r="AB548" s="9"/>
      <c r="AC548" s="9"/>
      <c r="AD548" s="9"/>
      <c r="AE548" s="9"/>
      <c r="AF548" s="9"/>
      <c r="AG548" s="9"/>
      <c r="AH548" s="9"/>
      <c r="AI548" s="9"/>
      <c r="AJ548" s="9"/>
    </row>
    <row r="549" ht="15.75" hidden="1" customHeight="1">
      <c r="A549" s="11"/>
      <c r="B549" s="11"/>
      <c r="C549" s="11"/>
      <c r="D549" s="13"/>
      <c r="E549" s="11"/>
      <c r="F549" s="11"/>
      <c r="G549" s="11"/>
      <c r="H549" s="13"/>
      <c r="I549" s="11"/>
      <c r="J549" s="11"/>
      <c r="K549" s="12"/>
      <c r="L549" s="12"/>
      <c r="M549" s="11"/>
      <c r="N549" s="11"/>
      <c r="O549" s="12"/>
      <c r="P549" s="11"/>
      <c r="Q549" s="11"/>
      <c r="R549" s="13"/>
      <c r="S549" s="19"/>
      <c r="T549" s="13"/>
      <c r="U549" s="13"/>
      <c r="V549" s="13"/>
      <c r="W549" s="13"/>
      <c r="X549" s="13"/>
      <c r="Y549" s="13"/>
      <c r="Z549" s="13"/>
      <c r="AA549" s="13"/>
      <c r="AB549" s="13"/>
      <c r="AC549" s="13"/>
      <c r="AD549" s="13"/>
      <c r="AE549" s="13"/>
      <c r="AF549" s="13"/>
      <c r="AG549" s="13"/>
      <c r="AH549" s="13"/>
      <c r="AI549" s="13"/>
      <c r="AJ549" s="13"/>
    </row>
    <row r="550" ht="15.75" hidden="1" customHeight="1">
      <c r="A550" s="7"/>
      <c r="B550" s="7"/>
      <c r="C550" s="7"/>
      <c r="D550" s="9"/>
      <c r="E550" s="7"/>
      <c r="F550" s="7"/>
      <c r="G550" s="7"/>
      <c r="H550" s="9"/>
      <c r="I550" s="7"/>
      <c r="J550" s="7"/>
      <c r="K550" s="8"/>
      <c r="L550" s="8"/>
      <c r="M550" s="7"/>
      <c r="N550" s="7"/>
      <c r="O550" s="8"/>
      <c r="P550" s="7"/>
      <c r="Q550" s="7"/>
      <c r="R550" s="9"/>
      <c r="S550" s="17"/>
      <c r="T550" s="9"/>
      <c r="U550" s="9"/>
      <c r="V550" s="9"/>
      <c r="W550" s="9"/>
      <c r="X550" s="9"/>
      <c r="Y550" s="9"/>
      <c r="Z550" s="9"/>
      <c r="AA550" s="9"/>
      <c r="AB550" s="9"/>
      <c r="AC550" s="9"/>
      <c r="AD550" s="9"/>
      <c r="AE550" s="9"/>
      <c r="AF550" s="9"/>
      <c r="AG550" s="9"/>
      <c r="AH550" s="9"/>
      <c r="AI550" s="9"/>
      <c r="AJ550" s="9"/>
    </row>
    <row r="551" ht="15.75" hidden="1" customHeight="1">
      <c r="A551" s="11"/>
      <c r="B551" s="11"/>
      <c r="C551" s="11"/>
      <c r="D551" s="13"/>
      <c r="E551" s="11"/>
      <c r="F551" s="11"/>
      <c r="G551" s="11"/>
      <c r="H551" s="13"/>
      <c r="I551" s="11"/>
      <c r="J551" s="11"/>
      <c r="K551" s="12"/>
      <c r="L551" s="12"/>
      <c r="M551" s="11"/>
      <c r="N551" s="11"/>
      <c r="O551" s="12"/>
      <c r="P551" s="11"/>
      <c r="Q551" s="11"/>
      <c r="R551" s="13"/>
      <c r="S551" s="19"/>
      <c r="T551" s="13"/>
      <c r="U551" s="13"/>
      <c r="V551" s="13"/>
      <c r="W551" s="13"/>
      <c r="X551" s="13"/>
      <c r="Y551" s="13"/>
      <c r="Z551" s="13"/>
      <c r="AA551" s="13"/>
      <c r="AB551" s="13"/>
      <c r="AC551" s="13"/>
      <c r="AD551" s="13"/>
      <c r="AE551" s="13"/>
      <c r="AF551" s="13"/>
      <c r="AG551" s="13"/>
      <c r="AH551" s="13"/>
      <c r="AI551" s="13"/>
      <c r="AJ551" s="13"/>
    </row>
    <row r="552" ht="15.75" hidden="1" customHeight="1">
      <c r="A552" s="7"/>
      <c r="B552" s="7"/>
      <c r="C552" s="7"/>
      <c r="D552" s="9"/>
      <c r="E552" s="7"/>
      <c r="F552" s="7"/>
      <c r="G552" s="7"/>
      <c r="H552" s="9"/>
      <c r="I552" s="7"/>
      <c r="J552" s="7"/>
      <c r="K552" s="8"/>
      <c r="L552" s="8"/>
      <c r="M552" s="7"/>
      <c r="N552" s="7"/>
      <c r="O552" s="8"/>
      <c r="P552" s="7"/>
      <c r="Q552" s="7"/>
      <c r="R552" s="9"/>
      <c r="S552" s="17"/>
      <c r="T552" s="9"/>
      <c r="U552" s="9"/>
      <c r="V552" s="9"/>
      <c r="W552" s="9"/>
      <c r="X552" s="9"/>
      <c r="Y552" s="9"/>
      <c r="Z552" s="9"/>
      <c r="AA552" s="9"/>
      <c r="AB552" s="9"/>
      <c r="AC552" s="9"/>
      <c r="AD552" s="9"/>
      <c r="AE552" s="9"/>
      <c r="AF552" s="9"/>
      <c r="AG552" s="9"/>
      <c r="AH552" s="9"/>
      <c r="AI552" s="9"/>
      <c r="AJ552" s="9"/>
    </row>
    <row r="553" ht="15.75" hidden="1" customHeight="1">
      <c r="A553" s="11"/>
      <c r="B553" s="11"/>
      <c r="C553" s="11"/>
      <c r="D553" s="13"/>
      <c r="E553" s="11"/>
      <c r="F553" s="11"/>
      <c r="G553" s="11"/>
      <c r="H553" s="13"/>
      <c r="I553" s="11"/>
      <c r="J553" s="11"/>
      <c r="K553" s="12"/>
      <c r="L553" s="12"/>
      <c r="M553" s="11"/>
      <c r="N553" s="11"/>
      <c r="O553" s="12"/>
      <c r="P553" s="11"/>
      <c r="Q553" s="11"/>
      <c r="R553" s="13"/>
      <c r="S553" s="19"/>
      <c r="T553" s="13"/>
      <c r="U553" s="13"/>
      <c r="V553" s="13"/>
      <c r="W553" s="13"/>
      <c r="X553" s="13"/>
      <c r="Y553" s="13"/>
      <c r="Z553" s="13"/>
      <c r="AA553" s="13"/>
      <c r="AB553" s="13"/>
      <c r="AC553" s="13"/>
      <c r="AD553" s="13"/>
      <c r="AE553" s="13"/>
      <c r="AF553" s="13"/>
      <c r="AG553" s="13"/>
      <c r="AH553" s="13"/>
      <c r="AI553" s="13"/>
      <c r="AJ553" s="13"/>
    </row>
    <row r="554" ht="15.75" hidden="1" customHeight="1">
      <c r="A554" s="7"/>
      <c r="B554" s="7"/>
      <c r="C554" s="7"/>
      <c r="D554" s="9"/>
      <c r="E554" s="7"/>
      <c r="F554" s="7"/>
      <c r="G554" s="7"/>
      <c r="H554" s="9"/>
      <c r="I554" s="7"/>
      <c r="J554" s="7"/>
      <c r="K554" s="8"/>
      <c r="L554" s="8"/>
      <c r="M554" s="7"/>
      <c r="N554" s="7"/>
      <c r="O554" s="8"/>
      <c r="P554" s="7"/>
      <c r="Q554" s="7"/>
      <c r="R554" s="9"/>
      <c r="S554" s="17"/>
      <c r="T554" s="9"/>
      <c r="U554" s="9"/>
      <c r="V554" s="9"/>
      <c r="W554" s="9"/>
      <c r="X554" s="9"/>
      <c r="Y554" s="9"/>
      <c r="Z554" s="9"/>
      <c r="AA554" s="9"/>
      <c r="AB554" s="9"/>
      <c r="AC554" s="9"/>
      <c r="AD554" s="9"/>
      <c r="AE554" s="9"/>
      <c r="AF554" s="9"/>
      <c r="AG554" s="9"/>
      <c r="AH554" s="9"/>
      <c r="AI554" s="9"/>
      <c r="AJ554" s="9"/>
    </row>
    <row r="555" ht="15.75" hidden="1" customHeight="1">
      <c r="A555" s="11"/>
      <c r="B555" s="11"/>
      <c r="C555" s="11"/>
      <c r="D555" s="13"/>
      <c r="E555" s="11"/>
      <c r="F555" s="11"/>
      <c r="G555" s="11"/>
      <c r="H555" s="13"/>
      <c r="I555" s="11"/>
      <c r="J555" s="11"/>
      <c r="K555" s="12"/>
      <c r="L555" s="12"/>
      <c r="M555" s="11"/>
      <c r="N555" s="11"/>
      <c r="O555" s="12"/>
      <c r="P555" s="11"/>
      <c r="Q555" s="11"/>
      <c r="R555" s="13"/>
      <c r="S555" s="19"/>
      <c r="T555" s="13"/>
      <c r="U555" s="13"/>
      <c r="V555" s="13"/>
      <c r="W555" s="13"/>
      <c r="X555" s="13"/>
      <c r="Y555" s="13"/>
      <c r="Z555" s="13"/>
      <c r="AA555" s="13"/>
      <c r="AB555" s="13"/>
      <c r="AC555" s="13"/>
      <c r="AD555" s="13"/>
      <c r="AE555" s="13"/>
      <c r="AF555" s="13"/>
      <c r="AG555" s="13"/>
      <c r="AH555" s="13"/>
      <c r="AI555" s="13"/>
      <c r="AJ555" s="13"/>
    </row>
    <row r="556" ht="15.75" hidden="1" customHeight="1">
      <c r="A556" s="7"/>
      <c r="B556" s="7"/>
      <c r="C556" s="7"/>
      <c r="D556" s="9"/>
      <c r="E556" s="7"/>
      <c r="F556" s="7"/>
      <c r="G556" s="7"/>
      <c r="H556" s="9"/>
      <c r="I556" s="7"/>
      <c r="J556" s="7"/>
      <c r="K556" s="8"/>
      <c r="L556" s="8"/>
      <c r="M556" s="7"/>
      <c r="N556" s="7"/>
      <c r="O556" s="8"/>
      <c r="P556" s="7"/>
      <c r="Q556" s="7"/>
      <c r="R556" s="9"/>
      <c r="S556" s="17"/>
      <c r="T556" s="9"/>
      <c r="U556" s="9"/>
      <c r="V556" s="9"/>
      <c r="W556" s="9"/>
      <c r="X556" s="9"/>
      <c r="Y556" s="9"/>
      <c r="Z556" s="9"/>
      <c r="AA556" s="9"/>
      <c r="AB556" s="9"/>
      <c r="AC556" s="9"/>
      <c r="AD556" s="9"/>
      <c r="AE556" s="9"/>
      <c r="AF556" s="9"/>
      <c r="AG556" s="9"/>
      <c r="AH556" s="9"/>
      <c r="AI556" s="9"/>
      <c r="AJ556" s="9"/>
    </row>
    <row r="557" ht="15.75" hidden="1" customHeight="1">
      <c r="A557" s="11"/>
      <c r="B557" s="11"/>
      <c r="C557" s="11"/>
      <c r="D557" s="13"/>
      <c r="E557" s="11"/>
      <c r="F557" s="11"/>
      <c r="G557" s="11"/>
      <c r="H557" s="13"/>
      <c r="I557" s="11"/>
      <c r="J557" s="11"/>
      <c r="K557" s="12"/>
      <c r="L557" s="12"/>
      <c r="M557" s="11"/>
      <c r="N557" s="11"/>
      <c r="O557" s="12"/>
      <c r="P557" s="11"/>
      <c r="Q557" s="11"/>
      <c r="R557" s="13"/>
      <c r="S557" s="19"/>
      <c r="T557" s="13"/>
      <c r="U557" s="13"/>
      <c r="V557" s="13"/>
      <c r="W557" s="13"/>
      <c r="X557" s="13"/>
      <c r="Y557" s="13"/>
      <c r="Z557" s="13"/>
      <c r="AA557" s="13"/>
      <c r="AB557" s="13"/>
      <c r="AC557" s="13"/>
      <c r="AD557" s="13"/>
      <c r="AE557" s="13"/>
      <c r="AF557" s="13"/>
      <c r="AG557" s="13"/>
      <c r="AH557" s="13"/>
      <c r="AI557" s="13"/>
      <c r="AJ557" s="13"/>
    </row>
    <row r="558" ht="15.75" hidden="1" customHeight="1">
      <c r="A558" s="7"/>
      <c r="B558" s="7"/>
      <c r="C558" s="7"/>
      <c r="D558" s="9"/>
      <c r="E558" s="7"/>
      <c r="F558" s="7"/>
      <c r="G558" s="7"/>
      <c r="H558" s="9"/>
      <c r="I558" s="7"/>
      <c r="J558" s="7"/>
      <c r="K558" s="8"/>
      <c r="L558" s="8"/>
      <c r="M558" s="7"/>
      <c r="N558" s="7"/>
      <c r="O558" s="8"/>
      <c r="P558" s="7"/>
      <c r="Q558" s="7"/>
      <c r="R558" s="9"/>
      <c r="S558" s="17"/>
      <c r="T558" s="9"/>
      <c r="U558" s="9"/>
      <c r="V558" s="9"/>
      <c r="W558" s="9"/>
      <c r="X558" s="9"/>
      <c r="Y558" s="9"/>
      <c r="Z558" s="9"/>
      <c r="AA558" s="9"/>
      <c r="AB558" s="9"/>
      <c r="AC558" s="9"/>
      <c r="AD558" s="9"/>
      <c r="AE558" s="9"/>
      <c r="AF558" s="9"/>
      <c r="AG558" s="9"/>
      <c r="AH558" s="9"/>
      <c r="AI558" s="9"/>
      <c r="AJ558" s="9"/>
    </row>
    <row r="559" ht="15.75" hidden="1" customHeight="1">
      <c r="A559" s="11"/>
      <c r="B559" s="11"/>
      <c r="C559" s="11"/>
      <c r="D559" s="13"/>
      <c r="E559" s="11"/>
      <c r="F559" s="11"/>
      <c r="G559" s="11"/>
      <c r="H559" s="13"/>
      <c r="I559" s="11"/>
      <c r="J559" s="11"/>
      <c r="K559" s="12"/>
      <c r="L559" s="12"/>
      <c r="M559" s="11"/>
      <c r="N559" s="11"/>
      <c r="O559" s="12"/>
      <c r="P559" s="11"/>
      <c r="Q559" s="11"/>
      <c r="R559" s="13"/>
      <c r="S559" s="19"/>
      <c r="T559" s="13"/>
      <c r="U559" s="13"/>
      <c r="V559" s="13"/>
      <c r="W559" s="13"/>
      <c r="X559" s="13"/>
      <c r="Y559" s="13"/>
      <c r="Z559" s="13"/>
      <c r="AA559" s="13"/>
      <c r="AB559" s="13"/>
      <c r="AC559" s="13"/>
      <c r="AD559" s="13"/>
      <c r="AE559" s="13"/>
      <c r="AF559" s="13"/>
      <c r="AG559" s="13"/>
      <c r="AH559" s="13"/>
      <c r="AI559" s="13"/>
      <c r="AJ559" s="13"/>
    </row>
    <row r="560" ht="15.75" hidden="1" customHeight="1">
      <c r="A560" s="7"/>
      <c r="B560" s="7"/>
      <c r="C560" s="7"/>
      <c r="D560" s="9"/>
      <c r="E560" s="7"/>
      <c r="F560" s="7"/>
      <c r="G560" s="7"/>
      <c r="H560" s="9"/>
      <c r="I560" s="7"/>
      <c r="J560" s="7"/>
      <c r="K560" s="8"/>
      <c r="L560" s="8"/>
      <c r="M560" s="7"/>
      <c r="N560" s="7"/>
      <c r="O560" s="8"/>
      <c r="P560" s="7"/>
      <c r="Q560" s="7"/>
      <c r="R560" s="9"/>
      <c r="S560" s="17"/>
      <c r="T560" s="9"/>
      <c r="U560" s="9"/>
      <c r="V560" s="9"/>
      <c r="W560" s="9"/>
      <c r="X560" s="9"/>
      <c r="Y560" s="9"/>
      <c r="Z560" s="9"/>
      <c r="AA560" s="9"/>
      <c r="AB560" s="9"/>
      <c r="AC560" s="9"/>
      <c r="AD560" s="9"/>
      <c r="AE560" s="9"/>
      <c r="AF560" s="9"/>
      <c r="AG560" s="9"/>
      <c r="AH560" s="9"/>
      <c r="AI560" s="9"/>
      <c r="AJ560" s="9"/>
    </row>
    <row r="561" ht="15.75" hidden="1" customHeight="1">
      <c r="A561" s="11"/>
      <c r="B561" s="11"/>
      <c r="C561" s="11"/>
      <c r="D561" s="13"/>
      <c r="E561" s="11"/>
      <c r="F561" s="11"/>
      <c r="G561" s="11"/>
      <c r="H561" s="13"/>
      <c r="I561" s="11"/>
      <c r="J561" s="11"/>
      <c r="K561" s="12"/>
      <c r="L561" s="12"/>
      <c r="M561" s="11"/>
      <c r="N561" s="11"/>
      <c r="O561" s="12"/>
      <c r="P561" s="11"/>
      <c r="Q561" s="11"/>
      <c r="R561" s="13"/>
      <c r="S561" s="19"/>
      <c r="T561" s="13"/>
      <c r="U561" s="13"/>
      <c r="V561" s="13"/>
      <c r="W561" s="13"/>
      <c r="X561" s="13"/>
      <c r="Y561" s="13"/>
      <c r="Z561" s="13"/>
      <c r="AA561" s="13"/>
      <c r="AB561" s="13"/>
      <c r="AC561" s="13"/>
      <c r="AD561" s="13"/>
      <c r="AE561" s="13"/>
      <c r="AF561" s="13"/>
      <c r="AG561" s="13"/>
      <c r="AH561" s="13"/>
      <c r="AI561" s="13"/>
      <c r="AJ561" s="13"/>
    </row>
    <row r="562" ht="15.75" hidden="1" customHeight="1">
      <c r="A562" s="7"/>
      <c r="B562" s="7"/>
      <c r="C562" s="7"/>
      <c r="D562" s="9"/>
      <c r="E562" s="7"/>
      <c r="F562" s="7"/>
      <c r="G562" s="7"/>
      <c r="H562" s="9"/>
      <c r="I562" s="7"/>
      <c r="J562" s="7"/>
      <c r="K562" s="8"/>
      <c r="L562" s="8"/>
      <c r="M562" s="7"/>
      <c r="N562" s="7"/>
      <c r="O562" s="8"/>
      <c r="P562" s="7"/>
      <c r="Q562" s="7"/>
      <c r="R562" s="9"/>
      <c r="S562" s="17"/>
      <c r="T562" s="9"/>
      <c r="U562" s="9"/>
      <c r="V562" s="9"/>
      <c r="W562" s="9"/>
      <c r="X562" s="9"/>
      <c r="Y562" s="9"/>
      <c r="Z562" s="9"/>
      <c r="AA562" s="9"/>
      <c r="AB562" s="9"/>
      <c r="AC562" s="9"/>
      <c r="AD562" s="9"/>
      <c r="AE562" s="9"/>
      <c r="AF562" s="9"/>
      <c r="AG562" s="9"/>
      <c r="AH562" s="9"/>
      <c r="AI562" s="9"/>
      <c r="AJ562" s="9"/>
    </row>
    <row r="563" ht="15.75" hidden="1" customHeight="1">
      <c r="A563" s="11"/>
      <c r="B563" s="11"/>
      <c r="C563" s="11"/>
      <c r="D563" s="13"/>
      <c r="E563" s="11"/>
      <c r="F563" s="11"/>
      <c r="G563" s="11"/>
      <c r="H563" s="13"/>
      <c r="I563" s="11"/>
      <c r="J563" s="11"/>
      <c r="K563" s="12"/>
      <c r="L563" s="12"/>
      <c r="M563" s="11"/>
      <c r="N563" s="11"/>
      <c r="O563" s="12"/>
      <c r="P563" s="11"/>
      <c r="Q563" s="11"/>
      <c r="R563" s="13"/>
      <c r="S563" s="19"/>
      <c r="T563" s="13"/>
      <c r="U563" s="13"/>
      <c r="V563" s="13"/>
      <c r="W563" s="13"/>
      <c r="X563" s="13"/>
      <c r="Y563" s="13"/>
      <c r="Z563" s="13"/>
      <c r="AA563" s="13"/>
      <c r="AB563" s="13"/>
      <c r="AC563" s="13"/>
      <c r="AD563" s="13"/>
      <c r="AE563" s="13"/>
      <c r="AF563" s="13"/>
      <c r="AG563" s="13"/>
      <c r="AH563" s="13"/>
      <c r="AI563" s="13"/>
      <c r="AJ563" s="13"/>
    </row>
    <row r="564" ht="15.75" hidden="1" customHeight="1">
      <c r="A564" s="7"/>
      <c r="B564" s="7"/>
      <c r="C564" s="7"/>
      <c r="D564" s="9"/>
      <c r="E564" s="7"/>
      <c r="F564" s="7"/>
      <c r="G564" s="7"/>
      <c r="H564" s="9"/>
      <c r="I564" s="7"/>
      <c r="J564" s="7"/>
      <c r="K564" s="8"/>
      <c r="L564" s="8"/>
      <c r="M564" s="7"/>
      <c r="N564" s="7"/>
      <c r="O564" s="8"/>
      <c r="P564" s="7"/>
      <c r="Q564" s="7"/>
      <c r="R564" s="9"/>
      <c r="S564" s="17"/>
      <c r="T564" s="9"/>
      <c r="U564" s="9"/>
      <c r="V564" s="9"/>
      <c r="W564" s="9"/>
      <c r="X564" s="9"/>
      <c r="Y564" s="9"/>
      <c r="Z564" s="9"/>
      <c r="AA564" s="9"/>
      <c r="AB564" s="9"/>
      <c r="AC564" s="9"/>
      <c r="AD564" s="9"/>
      <c r="AE564" s="9"/>
      <c r="AF564" s="9"/>
      <c r="AG564" s="9"/>
      <c r="AH564" s="9"/>
      <c r="AI564" s="9"/>
      <c r="AJ564" s="9"/>
    </row>
    <row r="565" ht="15.75" hidden="1" customHeight="1">
      <c r="A565" s="11"/>
      <c r="B565" s="11"/>
      <c r="C565" s="11"/>
      <c r="D565" s="13"/>
      <c r="E565" s="11"/>
      <c r="F565" s="11"/>
      <c r="G565" s="11"/>
      <c r="H565" s="13"/>
      <c r="I565" s="11"/>
      <c r="J565" s="11"/>
      <c r="K565" s="12"/>
      <c r="L565" s="12"/>
      <c r="M565" s="11"/>
      <c r="N565" s="11"/>
      <c r="O565" s="12"/>
      <c r="P565" s="11"/>
      <c r="Q565" s="11"/>
      <c r="R565" s="13"/>
      <c r="S565" s="19"/>
      <c r="T565" s="13"/>
      <c r="U565" s="13"/>
      <c r="V565" s="13"/>
      <c r="W565" s="13"/>
      <c r="X565" s="13"/>
      <c r="Y565" s="13"/>
      <c r="Z565" s="13"/>
      <c r="AA565" s="13"/>
      <c r="AB565" s="13"/>
      <c r="AC565" s="13"/>
      <c r="AD565" s="13"/>
      <c r="AE565" s="13"/>
      <c r="AF565" s="13"/>
      <c r="AG565" s="13"/>
      <c r="AH565" s="13"/>
      <c r="AI565" s="13"/>
      <c r="AJ565" s="13"/>
    </row>
    <row r="566" ht="15.75" hidden="1" customHeight="1">
      <c r="A566" s="7"/>
      <c r="B566" s="7"/>
      <c r="C566" s="7"/>
      <c r="D566" s="9"/>
      <c r="E566" s="7"/>
      <c r="F566" s="7"/>
      <c r="G566" s="7"/>
      <c r="H566" s="9"/>
      <c r="I566" s="7"/>
      <c r="J566" s="7"/>
      <c r="K566" s="8"/>
      <c r="L566" s="8"/>
      <c r="M566" s="7"/>
      <c r="N566" s="7"/>
      <c r="O566" s="8"/>
      <c r="P566" s="7"/>
      <c r="Q566" s="7"/>
      <c r="R566" s="9"/>
      <c r="S566" s="17"/>
      <c r="T566" s="9"/>
      <c r="U566" s="9"/>
      <c r="V566" s="9"/>
      <c r="W566" s="9"/>
      <c r="X566" s="9"/>
      <c r="Y566" s="9"/>
      <c r="Z566" s="9"/>
      <c r="AA566" s="9"/>
      <c r="AB566" s="9"/>
      <c r="AC566" s="9"/>
      <c r="AD566" s="9"/>
      <c r="AE566" s="9"/>
      <c r="AF566" s="9"/>
      <c r="AG566" s="9"/>
      <c r="AH566" s="9"/>
      <c r="AI566" s="9"/>
      <c r="AJ566" s="9"/>
    </row>
    <row r="567" ht="15.75" hidden="1" customHeight="1">
      <c r="A567" s="11"/>
      <c r="B567" s="11"/>
      <c r="C567" s="11"/>
      <c r="D567" s="13"/>
      <c r="E567" s="11"/>
      <c r="F567" s="11"/>
      <c r="G567" s="11"/>
      <c r="H567" s="13"/>
      <c r="I567" s="11"/>
      <c r="J567" s="11"/>
      <c r="K567" s="12"/>
      <c r="L567" s="12"/>
      <c r="M567" s="11"/>
      <c r="N567" s="11"/>
      <c r="O567" s="12"/>
      <c r="P567" s="11"/>
      <c r="Q567" s="11"/>
      <c r="R567" s="13"/>
      <c r="S567" s="19"/>
      <c r="T567" s="13"/>
      <c r="U567" s="13"/>
      <c r="V567" s="13"/>
      <c r="W567" s="13"/>
      <c r="X567" s="13"/>
      <c r="Y567" s="13"/>
      <c r="Z567" s="13"/>
      <c r="AA567" s="13"/>
      <c r="AB567" s="13"/>
      <c r="AC567" s="13"/>
      <c r="AD567" s="13"/>
      <c r="AE567" s="13"/>
      <c r="AF567" s="13"/>
      <c r="AG567" s="13"/>
      <c r="AH567" s="13"/>
      <c r="AI567" s="13"/>
      <c r="AJ567" s="13"/>
    </row>
    <row r="568" ht="15.75" hidden="1" customHeight="1">
      <c r="A568" s="7"/>
      <c r="B568" s="7"/>
      <c r="C568" s="7"/>
      <c r="D568" s="9"/>
      <c r="E568" s="7"/>
      <c r="F568" s="7"/>
      <c r="G568" s="7"/>
      <c r="H568" s="9"/>
      <c r="I568" s="7"/>
      <c r="J568" s="7"/>
      <c r="K568" s="8"/>
      <c r="L568" s="8"/>
      <c r="M568" s="7"/>
      <c r="N568" s="7"/>
      <c r="O568" s="8"/>
      <c r="P568" s="7"/>
      <c r="Q568" s="7"/>
      <c r="R568" s="9"/>
      <c r="S568" s="17"/>
      <c r="T568" s="9"/>
      <c r="U568" s="9"/>
      <c r="V568" s="9"/>
      <c r="W568" s="9"/>
      <c r="X568" s="9"/>
      <c r="Y568" s="9"/>
      <c r="Z568" s="9"/>
      <c r="AA568" s="9"/>
      <c r="AB568" s="9"/>
      <c r="AC568" s="9"/>
      <c r="AD568" s="9"/>
      <c r="AE568" s="9"/>
      <c r="AF568" s="9"/>
      <c r="AG568" s="9"/>
      <c r="AH568" s="9"/>
      <c r="AI568" s="9"/>
      <c r="AJ568" s="9"/>
    </row>
    <row r="569" ht="15.75" hidden="1" customHeight="1">
      <c r="A569" s="11"/>
      <c r="B569" s="11"/>
      <c r="C569" s="11"/>
      <c r="D569" s="13"/>
      <c r="E569" s="11"/>
      <c r="F569" s="11"/>
      <c r="G569" s="11"/>
      <c r="H569" s="13"/>
      <c r="I569" s="11"/>
      <c r="J569" s="11"/>
      <c r="K569" s="12"/>
      <c r="L569" s="12"/>
      <c r="M569" s="11"/>
      <c r="N569" s="11"/>
      <c r="O569" s="12"/>
      <c r="P569" s="11"/>
      <c r="Q569" s="11"/>
      <c r="R569" s="13"/>
      <c r="S569" s="19"/>
      <c r="T569" s="13"/>
      <c r="U569" s="13"/>
      <c r="V569" s="13"/>
      <c r="W569" s="13"/>
      <c r="X569" s="13"/>
      <c r="Y569" s="13"/>
      <c r="Z569" s="13"/>
      <c r="AA569" s="13"/>
      <c r="AB569" s="13"/>
      <c r="AC569" s="13"/>
      <c r="AD569" s="13"/>
      <c r="AE569" s="13"/>
      <c r="AF569" s="13"/>
      <c r="AG569" s="13"/>
      <c r="AH569" s="13"/>
      <c r="AI569" s="13"/>
      <c r="AJ569" s="13"/>
    </row>
    <row r="570" ht="15.75" hidden="1" customHeight="1">
      <c r="A570" s="7"/>
      <c r="B570" s="7"/>
      <c r="C570" s="7"/>
      <c r="D570" s="9"/>
      <c r="E570" s="7"/>
      <c r="F570" s="7"/>
      <c r="G570" s="7"/>
      <c r="H570" s="9"/>
      <c r="I570" s="7"/>
      <c r="J570" s="7"/>
      <c r="K570" s="8"/>
      <c r="L570" s="8"/>
      <c r="M570" s="7"/>
      <c r="N570" s="7"/>
      <c r="O570" s="8"/>
      <c r="P570" s="7"/>
      <c r="Q570" s="7"/>
      <c r="R570" s="9"/>
      <c r="S570" s="17"/>
      <c r="T570" s="9"/>
      <c r="U570" s="9"/>
      <c r="V570" s="9"/>
      <c r="W570" s="9"/>
      <c r="X570" s="9"/>
      <c r="Y570" s="9"/>
      <c r="Z570" s="9"/>
      <c r="AA570" s="9"/>
      <c r="AB570" s="9"/>
      <c r="AC570" s="9"/>
      <c r="AD570" s="9"/>
      <c r="AE570" s="9"/>
      <c r="AF570" s="9"/>
      <c r="AG570" s="9"/>
      <c r="AH570" s="9"/>
      <c r="AI570" s="9"/>
      <c r="AJ570" s="9"/>
    </row>
    <row r="571" ht="15.75" hidden="1" customHeight="1">
      <c r="A571" s="11"/>
      <c r="B571" s="11"/>
      <c r="C571" s="11"/>
      <c r="D571" s="13"/>
      <c r="E571" s="11"/>
      <c r="F571" s="11"/>
      <c r="G571" s="11"/>
      <c r="H571" s="13"/>
      <c r="I571" s="11"/>
      <c r="J571" s="11"/>
      <c r="K571" s="12"/>
      <c r="L571" s="12"/>
      <c r="M571" s="11"/>
      <c r="N571" s="11"/>
      <c r="O571" s="12"/>
      <c r="P571" s="11"/>
      <c r="Q571" s="11"/>
      <c r="R571" s="13"/>
      <c r="S571" s="19"/>
      <c r="T571" s="13"/>
      <c r="U571" s="13"/>
      <c r="V571" s="13"/>
      <c r="W571" s="13"/>
      <c r="X571" s="13"/>
      <c r="Y571" s="13"/>
      <c r="Z571" s="13"/>
      <c r="AA571" s="13"/>
      <c r="AB571" s="13"/>
      <c r="AC571" s="13"/>
      <c r="AD571" s="13"/>
      <c r="AE571" s="13"/>
      <c r="AF571" s="13"/>
      <c r="AG571" s="13"/>
      <c r="AH571" s="13"/>
      <c r="AI571" s="13"/>
      <c r="AJ571" s="13"/>
    </row>
    <row r="572" ht="15.75" hidden="1" customHeight="1">
      <c r="A572" s="7"/>
      <c r="B572" s="7"/>
      <c r="C572" s="7"/>
      <c r="D572" s="9"/>
      <c r="E572" s="7"/>
      <c r="F572" s="7"/>
      <c r="G572" s="7"/>
      <c r="H572" s="9"/>
      <c r="I572" s="7"/>
      <c r="J572" s="7"/>
      <c r="K572" s="8"/>
      <c r="L572" s="8"/>
      <c r="M572" s="7"/>
      <c r="N572" s="7"/>
      <c r="O572" s="8"/>
      <c r="P572" s="7"/>
      <c r="Q572" s="7"/>
      <c r="R572" s="9"/>
      <c r="S572" s="17"/>
      <c r="T572" s="9"/>
      <c r="U572" s="9"/>
      <c r="V572" s="9"/>
      <c r="W572" s="9"/>
      <c r="X572" s="9"/>
      <c r="Y572" s="9"/>
      <c r="Z572" s="9"/>
      <c r="AA572" s="9"/>
      <c r="AB572" s="9"/>
      <c r="AC572" s="9"/>
      <c r="AD572" s="9"/>
      <c r="AE572" s="9"/>
      <c r="AF572" s="9"/>
      <c r="AG572" s="9"/>
      <c r="AH572" s="9"/>
      <c r="AI572" s="9"/>
      <c r="AJ572" s="9"/>
    </row>
    <row r="573" ht="15.75" hidden="1" customHeight="1">
      <c r="A573" s="11"/>
      <c r="B573" s="11"/>
      <c r="C573" s="11"/>
      <c r="D573" s="13"/>
      <c r="E573" s="11"/>
      <c r="F573" s="11"/>
      <c r="G573" s="11"/>
      <c r="H573" s="13"/>
      <c r="I573" s="11"/>
      <c r="J573" s="11"/>
      <c r="K573" s="12"/>
      <c r="L573" s="12"/>
      <c r="M573" s="11"/>
      <c r="N573" s="11"/>
      <c r="O573" s="12"/>
      <c r="P573" s="11"/>
      <c r="Q573" s="11"/>
      <c r="R573" s="13"/>
      <c r="S573" s="19"/>
      <c r="T573" s="13"/>
      <c r="U573" s="13"/>
      <c r="V573" s="13"/>
      <c r="W573" s="13"/>
      <c r="X573" s="13"/>
      <c r="Y573" s="13"/>
      <c r="Z573" s="13"/>
      <c r="AA573" s="13"/>
      <c r="AB573" s="13"/>
      <c r="AC573" s="13"/>
      <c r="AD573" s="13"/>
      <c r="AE573" s="13"/>
      <c r="AF573" s="13"/>
      <c r="AG573" s="13"/>
      <c r="AH573" s="13"/>
      <c r="AI573" s="13"/>
      <c r="AJ573" s="13"/>
    </row>
    <row r="574" ht="15.75" hidden="1" customHeight="1">
      <c r="A574" s="7"/>
      <c r="B574" s="7"/>
      <c r="C574" s="7"/>
      <c r="D574" s="9"/>
      <c r="E574" s="7"/>
      <c r="F574" s="7"/>
      <c r="G574" s="7"/>
      <c r="H574" s="9"/>
      <c r="I574" s="7"/>
      <c r="J574" s="7"/>
      <c r="K574" s="8"/>
      <c r="L574" s="8"/>
      <c r="M574" s="7"/>
      <c r="N574" s="7"/>
      <c r="O574" s="8"/>
      <c r="P574" s="7"/>
      <c r="Q574" s="7"/>
      <c r="R574" s="9"/>
      <c r="S574" s="17"/>
      <c r="T574" s="9"/>
      <c r="U574" s="9"/>
      <c r="V574" s="9"/>
      <c r="W574" s="9"/>
      <c r="X574" s="9"/>
      <c r="Y574" s="9"/>
      <c r="Z574" s="9"/>
      <c r="AA574" s="9"/>
      <c r="AB574" s="9"/>
      <c r="AC574" s="9"/>
      <c r="AD574" s="9"/>
      <c r="AE574" s="9"/>
      <c r="AF574" s="9"/>
      <c r="AG574" s="9"/>
      <c r="AH574" s="9"/>
      <c r="AI574" s="9"/>
      <c r="AJ574" s="9"/>
    </row>
    <row r="575" ht="15.75" hidden="1" customHeight="1">
      <c r="A575" s="91"/>
      <c r="E575" s="91"/>
      <c r="H575" s="91"/>
      <c r="I575" s="91"/>
      <c r="M575" s="91"/>
      <c r="N575" s="91"/>
    </row>
    <row r="576" ht="15.75" hidden="1" customHeight="1">
      <c r="A576" s="91"/>
      <c r="E576" s="91"/>
      <c r="H576" s="91"/>
      <c r="I576" s="91"/>
      <c r="M576" s="91"/>
      <c r="N576" s="91"/>
    </row>
    <row r="577" ht="15.75" hidden="1" customHeight="1">
      <c r="A577" s="91"/>
      <c r="E577" s="91"/>
      <c r="H577" s="91"/>
      <c r="I577" s="91"/>
      <c r="M577" s="91"/>
      <c r="N577" s="91"/>
    </row>
    <row r="578" ht="15.75" hidden="1" customHeight="1">
      <c r="A578" s="91"/>
      <c r="E578" s="91"/>
      <c r="H578" s="91"/>
      <c r="I578" s="91"/>
      <c r="M578" s="91"/>
      <c r="N578" s="91"/>
    </row>
    <row r="579" ht="15.75" hidden="1" customHeight="1">
      <c r="A579" s="91"/>
      <c r="E579" s="91"/>
      <c r="H579" s="91"/>
      <c r="I579" s="91"/>
      <c r="M579" s="91"/>
      <c r="N579" s="91"/>
    </row>
    <row r="580" ht="15.75" hidden="1" customHeight="1">
      <c r="A580" s="91"/>
      <c r="E580" s="91"/>
      <c r="H580" s="91"/>
      <c r="I580" s="91"/>
      <c r="M580" s="91"/>
      <c r="N580" s="91"/>
    </row>
    <row r="581" ht="15.75" hidden="1" customHeight="1">
      <c r="A581" s="91"/>
      <c r="E581" s="91"/>
      <c r="H581" s="91"/>
      <c r="I581" s="91"/>
      <c r="M581" s="91"/>
      <c r="N581" s="91"/>
    </row>
    <row r="582" ht="15.75" hidden="1" customHeight="1">
      <c r="A582" s="91"/>
      <c r="E582" s="91"/>
      <c r="H582" s="91"/>
      <c r="I582" s="91"/>
      <c r="M582" s="91"/>
      <c r="N582" s="91"/>
    </row>
    <row r="583" ht="15.75" hidden="1" customHeight="1">
      <c r="A583" s="91"/>
      <c r="E583" s="91"/>
      <c r="H583" s="91"/>
      <c r="I583" s="91"/>
      <c r="M583" s="91"/>
      <c r="N583" s="91"/>
    </row>
    <row r="584" ht="15.75" hidden="1" customHeight="1">
      <c r="A584" s="91"/>
      <c r="E584" s="91"/>
      <c r="H584" s="91"/>
      <c r="I584" s="91"/>
      <c r="M584" s="91"/>
      <c r="N584" s="91"/>
    </row>
    <row r="585" ht="15.75" hidden="1" customHeight="1">
      <c r="A585" s="91"/>
      <c r="E585" s="91"/>
      <c r="H585" s="91"/>
      <c r="I585" s="91"/>
      <c r="M585" s="91"/>
      <c r="N585" s="91"/>
    </row>
    <row r="586" ht="15.75" hidden="1" customHeight="1">
      <c r="A586" s="91"/>
      <c r="E586" s="91"/>
      <c r="H586" s="91"/>
      <c r="I586" s="91"/>
      <c r="M586" s="91"/>
      <c r="N586" s="91"/>
    </row>
    <row r="587" ht="15.75" hidden="1" customHeight="1">
      <c r="A587" s="91"/>
      <c r="E587" s="91"/>
      <c r="H587" s="91"/>
      <c r="I587" s="91"/>
      <c r="M587" s="91"/>
      <c r="N587" s="91"/>
    </row>
    <row r="588" ht="15.75" hidden="1" customHeight="1">
      <c r="A588" s="91"/>
      <c r="E588" s="91"/>
      <c r="H588" s="91"/>
      <c r="I588" s="91"/>
      <c r="M588" s="91"/>
      <c r="N588" s="91"/>
    </row>
    <row r="589" ht="15.75" hidden="1" customHeight="1">
      <c r="A589" s="91"/>
      <c r="E589" s="91"/>
      <c r="H589" s="91"/>
      <c r="I589" s="91"/>
      <c r="M589" s="91"/>
      <c r="N589" s="91"/>
    </row>
    <row r="590" ht="15.75" hidden="1" customHeight="1">
      <c r="A590" s="91"/>
      <c r="E590" s="91"/>
      <c r="H590" s="91"/>
      <c r="I590" s="91"/>
      <c r="M590" s="91"/>
      <c r="N590" s="91"/>
    </row>
    <row r="591" ht="15.75" hidden="1" customHeight="1">
      <c r="A591" s="91"/>
      <c r="E591" s="91"/>
      <c r="H591" s="91"/>
      <c r="I591" s="91"/>
      <c r="M591" s="91"/>
      <c r="N591" s="91"/>
    </row>
    <row r="592" ht="15.75" hidden="1" customHeight="1">
      <c r="A592" s="91"/>
      <c r="E592" s="91"/>
      <c r="H592" s="91"/>
      <c r="I592" s="91"/>
      <c r="M592" s="91"/>
      <c r="N592" s="91"/>
    </row>
    <row r="593" ht="15.75" hidden="1" customHeight="1">
      <c r="A593" s="91"/>
      <c r="E593" s="91"/>
      <c r="H593" s="91"/>
      <c r="I593" s="91"/>
      <c r="M593" s="91"/>
      <c r="N593" s="91"/>
    </row>
    <row r="594" ht="15.75" hidden="1" customHeight="1">
      <c r="A594" s="91"/>
      <c r="E594" s="91"/>
      <c r="H594" s="91"/>
      <c r="I594" s="91"/>
      <c r="M594" s="91"/>
      <c r="N594" s="91"/>
    </row>
    <row r="595" ht="15.75" hidden="1" customHeight="1">
      <c r="A595" s="91"/>
      <c r="E595" s="91"/>
      <c r="H595" s="91"/>
      <c r="I595" s="91"/>
      <c r="M595" s="91"/>
      <c r="N595" s="91"/>
    </row>
    <row r="596" ht="15.75" hidden="1" customHeight="1">
      <c r="A596" s="91"/>
      <c r="E596" s="91"/>
      <c r="H596" s="91"/>
      <c r="I596" s="91"/>
      <c r="M596" s="91"/>
      <c r="N596" s="91"/>
    </row>
    <row r="597" ht="15.75" hidden="1" customHeight="1">
      <c r="A597" s="91"/>
      <c r="E597" s="91"/>
      <c r="H597" s="91"/>
      <c r="I597" s="91"/>
      <c r="M597" s="91"/>
      <c r="N597" s="91"/>
    </row>
    <row r="598" ht="15.75" hidden="1" customHeight="1">
      <c r="A598" s="91"/>
      <c r="E598" s="91"/>
      <c r="H598" s="91"/>
      <c r="I598" s="91"/>
      <c r="M598" s="91"/>
      <c r="N598" s="91"/>
    </row>
    <row r="599" ht="15.75" hidden="1" customHeight="1">
      <c r="A599" s="91"/>
      <c r="E599" s="91"/>
      <c r="H599" s="91"/>
      <c r="I599" s="91"/>
      <c r="M599" s="91"/>
      <c r="N599" s="91"/>
    </row>
    <row r="600" ht="15.75" hidden="1" customHeight="1">
      <c r="A600" s="91"/>
      <c r="E600" s="91"/>
      <c r="H600" s="91"/>
      <c r="I600" s="91"/>
      <c r="M600" s="91"/>
      <c r="N600" s="91"/>
    </row>
    <row r="601" ht="15.75" hidden="1" customHeight="1">
      <c r="A601" s="91"/>
      <c r="E601" s="91"/>
      <c r="H601" s="91"/>
      <c r="I601" s="91"/>
      <c r="M601" s="91"/>
      <c r="N601" s="91"/>
    </row>
    <row r="602" ht="15.75" hidden="1" customHeight="1">
      <c r="A602" s="91"/>
      <c r="E602" s="91"/>
      <c r="H602" s="91"/>
      <c r="I602" s="91"/>
      <c r="M602" s="91"/>
      <c r="N602" s="91"/>
    </row>
    <row r="603" ht="15.75" hidden="1" customHeight="1">
      <c r="A603" s="91"/>
      <c r="E603" s="91"/>
      <c r="H603" s="91"/>
      <c r="I603" s="91"/>
      <c r="M603" s="91"/>
      <c r="N603" s="91"/>
    </row>
    <row r="604" ht="15.75" hidden="1" customHeight="1">
      <c r="A604" s="91"/>
      <c r="E604" s="91"/>
      <c r="H604" s="91"/>
      <c r="I604" s="91"/>
      <c r="M604" s="91"/>
      <c r="N604" s="91"/>
    </row>
    <row r="605" ht="15.75" hidden="1" customHeight="1">
      <c r="A605" s="91"/>
      <c r="E605" s="91"/>
      <c r="H605" s="91"/>
      <c r="I605" s="91"/>
      <c r="M605" s="91"/>
      <c r="N605" s="91"/>
    </row>
    <row r="606" ht="15.75" hidden="1" customHeight="1">
      <c r="A606" s="91"/>
      <c r="E606" s="91"/>
      <c r="H606" s="91"/>
      <c r="I606" s="91"/>
      <c r="M606" s="91"/>
      <c r="N606" s="91"/>
    </row>
    <row r="607" ht="15.75" hidden="1" customHeight="1">
      <c r="A607" s="91"/>
      <c r="E607" s="91"/>
      <c r="H607" s="91"/>
      <c r="I607" s="91"/>
      <c r="M607" s="91"/>
      <c r="N607" s="91"/>
    </row>
    <row r="608" ht="15.75" hidden="1" customHeight="1">
      <c r="A608" s="91"/>
      <c r="E608" s="91"/>
      <c r="H608" s="91"/>
      <c r="I608" s="91"/>
      <c r="M608" s="91"/>
      <c r="N608" s="91"/>
    </row>
    <row r="609" ht="15.75" hidden="1" customHeight="1">
      <c r="A609" s="91"/>
      <c r="E609" s="91"/>
      <c r="H609" s="91"/>
      <c r="I609" s="91"/>
      <c r="M609" s="91"/>
      <c r="N609" s="91"/>
    </row>
    <row r="610" ht="15.75" hidden="1" customHeight="1">
      <c r="A610" s="91"/>
      <c r="E610" s="91"/>
      <c r="H610" s="91"/>
      <c r="I610" s="91"/>
      <c r="M610" s="91"/>
      <c r="N610" s="91"/>
    </row>
    <row r="611" ht="15.75" hidden="1" customHeight="1">
      <c r="A611" s="91"/>
      <c r="E611" s="91"/>
      <c r="H611" s="91"/>
      <c r="I611" s="91"/>
      <c r="M611" s="91"/>
      <c r="N611" s="91"/>
    </row>
    <row r="612" ht="15.75" hidden="1" customHeight="1">
      <c r="A612" s="91"/>
      <c r="E612" s="91"/>
      <c r="H612" s="91"/>
      <c r="I612" s="91"/>
      <c r="M612" s="91"/>
      <c r="N612" s="91"/>
    </row>
    <row r="613" ht="15.75" hidden="1" customHeight="1">
      <c r="A613" s="91"/>
      <c r="E613" s="91"/>
      <c r="H613" s="91"/>
      <c r="I613" s="91"/>
      <c r="M613" s="91"/>
      <c r="N613" s="91"/>
    </row>
    <row r="614" ht="15.75" hidden="1" customHeight="1">
      <c r="A614" s="91"/>
      <c r="E614" s="91"/>
      <c r="H614" s="91"/>
      <c r="I614" s="91"/>
      <c r="M614" s="91"/>
      <c r="N614" s="91"/>
    </row>
    <row r="615" ht="15.75" hidden="1" customHeight="1">
      <c r="A615" s="91"/>
      <c r="E615" s="91"/>
      <c r="H615" s="91"/>
      <c r="I615" s="91"/>
      <c r="M615" s="91"/>
      <c r="N615" s="91"/>
    </row>
    <row r="616" ht="15.75" hidden="1" customHeight="1">
      <c r="A616" s="91"/>
      <c r="E616" s="91"/>
      <c r="H616" s="91"/>
      <c r="I616" s="91"/>
      <c r="M616" s="91"/>
      <c r="N616" s="91"/>
    </row>
    <row r="617" ht="15.75" hidden="1" customHeight="1">
      <c r="A617" s="91"/>
      <c r="E617" s="91"/>
      <c r="H617" s="91"/>
      <c r="I617" s="91"/>
      <c r="M617" s="91"/>
      <c r="N617" s="91"/>
    </row>
    <row r="618" ht="15.75" hidden="1" customHeight="1">
      <c r="A618" s="91"/>
      <c r="E618" s="91"/>
      <c r="H618" s="91"/>
      <c r="I618" s="91"/>
      <c r="M618" s="91"/>
      <c r="N618" s="91"/>
    </row>
    <row r="619" ht="15.75" hidden="1" customHeight="1">
      <c r="A619" s="91"/>
      <c r="E619" s="91"/>
      <c r="H619" s="91"/>
      <c r="I619" s="91"/>
      <c r="M619" s="91"/>
      <c r="N619" s="91"/>
    </row>
    <row r="620" ht="15.75" hidden="1" customHeight="1">
      <c r="A620" s="91"/>
      <c r="E620" s="91"/>
      <c r="H620" s="91"/>
      <c r="I620" s="91"/>
      <c r="M620" s="91"/>
      <c r="N620" s="91"/>
    </row>
    <row r="621" ht="15.75" hidden="1" customHeight="1">
      <c r="A621" s="91"/>
      <c r="E621" s="91"/>
      <c r="H621" s="91"/>
      <c r="I621" s="91"/>
      <c r="M621" s="91"/>
      <c r="N621" s="91"/>
    </row>
    <row r="622" ht="15.75" hidden="1" customHeight="1">
      <c r="A622" s="91"/>
      <c r="E622" s="91"/>
      <c r="H622" s="91"/>
      <c r="I622" s="91"/>
      <c r="M622" s="91"/>
      <c r="N622" s="91"/>
    </row>
    <row r="623" ht="15.75" hidden="1" customHeight="1">
      <c r="A623" s="91"/>
      <c r="E623" s="91"/>
      <c r="H623" s="91"/>
      <c r="I623" s="91"/>
      <c r="M623" s="91"/>
      <c r="N623" s="91"/>
    </row>
    <row r="624" ht="15.75" hidden="1" customHeight="1">
      <c r="A624" s="91"/>
      <c r="E624" s="91"/>
      <c r="H624" s="91"/>
      <c r="I624" s="91"/>
      <c r="M624" s="91"/>
      <c r="N624" s="91"/>
    </row>
    <row r="625" ht="15.75" hidden="1" customHeight="1">
      <c r="A625" s="91"/>
      <c r="E625" s="91"/>
      <c r="H625" s="91"/>
      <c r="I625" s="91"/>
      <c r="M625" s="91"/>
      <c r="N625" s="91"/>
    </row>
    <row r="626" ht="15.75" hidden="1" customHeight="1">
      <c r="A626" s="91"/>
      <c r="E626" s="91"/>
      <c r="H626" s="91"/>
      <c r="I626" s="91"/>
      <c r="M626" s="91"/>
      <c r="N626" s="91"/>
    </row>
    <row r="627" ht="15.75" hidden="1" customHeight="1">
      <c r="A627" s="91"/>
      <c r="E627" s="91"/>
      <c r="H627" s="91"/>
      <c r="I627" s="91"/>
      <c r="M627" s="91"/>
      <c r="N627" s="91"/>
    </row>
    <row r="628" ht="15.75" hidden="1" customHeight="1">
      <c r="A628" s="91"/>
      <c r="E628" s="91"/>
      <c r="H628" s="91"/>
      <c r="I628" s="91"/>
      <c r="M628" s="91"/>
      <c r="N628" s="91"/>
    </row>
    <row r="629" ht="15.75" hidden="1" customHeight="1">
      <c r="A629" s="91"/>
      <c r="E629" s="91"/>
      <c r="H629" s="91"/>
      <c r="I629" s="91"/>
      <c r="M629" s="91"/>
      <c r="N629" s="91"/>
    </row>
    <row r="630" ht="15.75" hidden="1" customHeight="1">
      <c r="A630" s="91"/>
      <c r="E630" s="91"/>
      <c r="H630" s="91"/>
      <c r="I630" s="91"/>
      <c r="M630" s="91"/>
      <c r="N630" s="91"/>
    </row>
    <row r="631" ht="15.75" hidden="1" customHeight="1">
      <c r="A631" s="91"/>
      <c r="E631" s="91"/>
      <c r="H631" s="91"/>
      <c r="I631" s="91"/>
      <c r="M631" s="91"/>
      <c r="N631" s="91"/>
    </row>
    <row r="632" ht="15.75" hidden="1" customHeight="1">
      <c r="A632" s="91"/>
      <c r="E632" s="91"/>
      <c r="H632" s="91"/>
      <c r="I632" s="91"/>
      <c r="M632" s="91"/>
      <c r="N632" s="91"/>
    </row>
    <row r="633" ht="15.75" hidden="1" customHeight="1">
      <c r="A633" s="91"/>
      <c r="E633" s="91"/>
      <c r="H633" s="91"/>
      <c r="I633" s="91"/>
      <c r="M633" s="91"/>
      <c r="N633" s="91"/>
    </row>
    <row r="634" ht="15.75" hidden="1" customHeight="1">
      <c r="A634" s="91"/>
      <c r="E634" s="91"/>
      <c r="H634" s="91"/>
      <c r="I634" s="91"/>
      <c r="M634" s="91"/>
      <c r="N634" s="91"/>
    </row>
    <row r="635" ht="15.75" hidden="1" customHeight="1">
      <c r="A635" s="91"/>
      <c r="E635" s="91"/>
      <c r="H635" s="91"/>
      <c r="I635" s="91"/>
      <c r="M635" s="91"/>
      <c r="N635" s="91"/>
    </row>
    <row r="636" ht="15.75" hidden="1" customHeight="1">
      <c r="A636" s="91"/>
      <c r="E636" s="91"/>
      <c r="H636" s="91"/>
      <c r="I636" s="91"/>
      <c r="M636" s="91"/>
      <c r="N636" s="91"/>
    </row>
    <row r="637" ht="15.75" hidden="1" customHeight="1">
      <c r="A637" s="91"/>
      <c r="E637" s="91"/>
      <c r="H637" s="91"/>
      <c r="I637" s="91"/>
      <c r="M637" s="91"/>
      <c r="N637" s="91"/>
    </row>
    <row r="638" ht="15.75" hidden="1" customHeight="1">
      <c r="A638" s="91"/>
      <c r="E638" s="91"/>
      <c r="H638" s="91"/>
      <c r="I638" s="91"/>
      <c r="M638" s="91"/>
      <c r="N638" s="91"/>
    </row>
    <row r="639" ht="15.75" hidden="1" customHeight="1">
      <c r="A639" s="91"/>
      <c r="E639" s="91"/>
      <c r="H639" s="91"/>
      <c r="I639" s="91"/>
      <c r="M639" s="91"/>
      <c r="N639" s="91"/>
    </row>
    <row r="640" ht="15.75" hidden="1" customHeight="1">
      <c r="A640" s="91"/>
      <c r="E640" s="91"/>
      <c r="H640" s="91"/>
      <c r="I640" s="91"/>
      <c r="M640" s="91"/>
      <c r="N640" s="91"/>
    </row>
    <row r="641" ht="15.75" hidden="1" customHeight="1">
      <c r="A641" s="91"/>
      <c r="E641" s="91"/>
      <c r="H641" s="91"/>
      <c r="I641" s="91"/>
      <c r="M641" s="91"/>
      <c r="N641" s="91"/>
    </row>
    <row r="642" ht="15.75" hidden="1" customHeight="1">
      <c r="A642" s="91"/>
      <c r="E642" s="91"/>
      <c r="H642" s="91"/>
      <c r="I642" s="91"/>
      <c r="M642" s="91"/>
      <c r="N642" s="91"/>
    </row>
    <row r="643" ht="15.75" hidden="1" customHeight="1">
      <c r="A643" s="91"/>
      <c r="E643" s="91"/>
      <c r="H643" s="91"/>
      <c r="I643" s="91"/>
      <c r="M643" s="91"/>
      <c r="N643" s="91"/>
    </row>
    <row r="644" ht="15.75" hidden="1" customHeight="1">
      <c r="A644" s="91"/>
      <c r="E644" s="91"/>
      <c r="H644" s="91"/>
      <c r="I644" s="91"/>
      <c r="M644" s="91"/>
      <c r="N644" s="91"/>
    </row>
    <row r="645" ht="15.75" hidden="1" customHeight="1">
      <c r="A645" s="91"/>
      <c r="E645" s="91"/>
      <c r="H645" s="91"/>
      <c r="I645" s="91"/>
      <c r="M645" s="91"/>
      <c r="N645" s="91"/>
    </row>
    <row r="646" ht="15.75" hidden="1" customHeight="1">
      <c r="A646" s="91"/>
      <c r="E646" s="91"/>
      <c r="H646" s="91"/>
      <c r="I646" s="91"/>
      <c r="M646" s="91"/>
      <c r="N646" s="91"/>
    </row>
    <row r="647" ht="15.75" hidden="1" customHeight="1">
      <c r="A647" s="91"/>
      <c r="E647" s="91"/>
      <c r="H647" s="91"/>
      <c r="I647" s="91"/>
      <c r="M647" s="91"/>
      <c r="N647" s="91"/>
    </row>
    <row r="648" ht="15.75" hidden="1" customHeight="1">
      <c r="A648" s="91"/>
      <c r="E648" s="91"/>
      <c r="H648" s="91"/>
      <c r="I648" s="91"/>
      <c r="M648" s="91"/>
      <c r="N648" s="91"/>
    </row>
    <row r="649" ht="15.75" hidden="1" customHeight="1">
      <c r="A649" s="91"/>
      <c r="E649" s="91"/>
      <c r="H649" s="91"/>
      <c r="I649" s="91"/>
      <c r="M649" s="91"/>
      <c r="N649" s="91"/>
    </row>
    <row r="650" ht="15.75" hidden="1" customHeight="1">
      <c r="A650" s="91"/>
      <c r="E650" s="91"/>
      <c r="H650" s="91"/>
      <c r="I650" s="91"/>
      <c r="M650" s="91"/>
      <c r="N650" s="91"/>
    </row>
    <row r="651" ht="15.75" hidden="1" customHeight="1">
      <c r="A651" s="91"/>
      <c r="E651" s="91"/>
      <c r="H651" s="91"/>
      <c r="I651" s="91"/>
      <c r="M651" s="91"/>
      <c r="N651" s="91"/>
    </row>
    <row r="652" ht="15.75" hidden="1" customHeight="1">
      <c r="A652" s="91"/>
      <c r="E652" s="91"/>
      <c r="H652" s="91"/>
      <c r="I652" s="91"/>
      <c r="M652" s="91"/>
      <c r="N652" s="91"/>
    </row>
    <row r="653" ht="15.75" hidden="1" customHeight="1">
      <c r="A653" s="91"/>
      <c r="E653" s="91"/>
      <c r="H653" s="91"/>
      <c r="I653" s="91"/>
      <c r="M653" s="91"/>
      <c r="N653" s="91"/>
    </row>
    <row r="654" ht="15.75" hidden="1" customHeight="1">
      <c r="A654" s="91"/>
      <c r="E654" s="91"/>
      <c r="H654" s="91"/>
      <c r="I654" s="91"/>
      <c r="M654" s="91"/>
      <c r="N654" s="91"/>
    </row>
    <row r="655" ht="15.75" hidden="1" customHeight="1">
      <c r="A655" s="91"/>
      <c r="E655" s="91"/>
      <c r="H655" s="91"/>
      <c r="I655" s="91"/>
      <c r="M655" s="91"/>
      <c r="N655" s="91"/>
    </row>
    <row r="656" ht="15.75" hidden="1" customHeight="1">
      <c r="A656" s="91"/>
      <c r="E656" s="91"/>
      <c r="H656" s="91"/>
      <c r="I656" s="91"/>
      <c r="M656" s="91"/>
      <c r="N656" s="91"/>
    </row>
    <row r="657" ht="15.75" hidden="1" customHeight="1">
      <c r="A657" s="91"/>
      <c r="E657" s="91"/>
      <c r="H657" s="91"/>
      <c r="I657" s="91"/>
      <c r="M657" s="91"/>
      <c r="N657" s="91"/>
    </row>
    <row r="658" ht="15.75" hidden="1" customHeight="1">
      <c r="A658" s="91"/>
      <c r="E658" s="91"/>
      <c r="H658" s="91"/>
      <c r="I658" s="91"/>
      <c r="M658" s="91"/>
      <c r="N658" s="91"/>
    </row>
    <row r="659" ht="15.75" hidden="1" customHeight="1">
      <c r="A659" s="91"/>
      <c r="E659" s="91"/>
      <c r="H659" s="91"/>
      <c r="I659" s="91"/>
      <c r="M659" s="91"/>
      <c r="N659" s="91"/>
    </row>
    <row r="660" ht="15.75" hidden="1" customHeight="1">
      <c r="A660" s="91"/>
      <c r="E660" s="91"/>
      <c r="H660" s="91"/>
      <c r="I660" s="91"/>
      <c r="M660" s="91"/>
      <c r="N660" s="91"/>
    </row>
    <row r="661" ht="15.75" hidden="1" customHeight="1">
      <c r="A661" s="91"/>
      <c r="E661" s="91"/>
      <c r="H661" s="91"/>
      <c r="I661" s="91"/>
      <c r="M661" s="91"/>
      <c r="N661" s="91"/>
    </row>
    <row r="662" ht="15.75" hidden="1" customHeight="1">
      <c r="A662" s="91"/>
      <c r="E662" s="91"/>
      <c r="H662" s="91"/>
      <c r="I662" s="91"/>
      <c r="M662" s="91"/>
      <c r="N662" s="91"/>
    </row>
    <row r="663" ht="15.75" hidden="1" customHeight="1">
      <c r="A663" s="91"/>
      <c r="E663" s="91"/>
      <c r="H663" s="91"/>
      <c r="I663" s="91"/>
      <c r="M663" s="91"/>
      <c r="N663" s="91"/>
    </row>
    <row r="664" ht="15.75" hidden="1" customHeight="1">
      <c r="A664" s="91"/>
      <c r="E664" s="91"/>
      <c r="H664" s="91"/>
      <c r="I664" s="91"/>
      <c r="M664" s="91"/>
      <c r="N664" s="91"/>
    </row>
    <row r="665" ht="15.75" hidden="1" customHeight="1">
      <c r="A665" s="91"/>
      <c r="E665" s="91"/>
      <c r="H665" s="91"/>
      <c r="I665" s="91"/>
      <c r="M665" s="91"/>
      <c r="N665" s="91"/>
    </row>
    <row r="666" ht="15.75" hidden="1" customHeight="1">
      <c r="A666" s="91"/>
      <c r="E666" s="91"/>
      <c r="H666" s="91"/>
      <c r="I666" s="91"/>
      <c r="M666" s="91"/>
      <c r="N666" s="91"/>
    </row>
    <row r="667" ht="15.75" hidden="1" customHeight="1">
      <c r="A667" s="91"/>
      <c r="E667" s="91"/>
      <c r="H667" s="91"/>
      <c r="I667" s="91"/>
      <c r="M667" s="91"/>
      <c r="N667" s="91"/>
    </row>
    <row r="668" ht="15.75" hidden="1" customHeight="1">
      <c r="A668" s="91"/>
      <c r="E668" s="91"/>
      <c r="H668" s="91"/>
      <c r="I668" s="91"/>
      <c r="M668" s="91"/>
      <c r="N668" s="91"/>
    </row>
    <row r="669" ht="15.75" hidden="1" customHeight="1">
      <c r="A669" s="91"/>
      <c r="E669" s="91"/>
      <c r="H669" s="91"/>
      <c r="I669" s="91"/>
      <c r="M669" s="91"/>
      <c r="N669" s="91"/>
    </row>
    <row r="670" ht="15.75" hidden="1" customHeight="1">
      <c r="A670" s="91"/>
      <c r="E670" s="91"/>
      <c r="H670" s="91"/>
      <c r="I670" s="91"/>
      <c r="M670" s="91"/>
      <c r="N670" s="91"/>
    </row>
    <row r="671" ht="15.75" hidden="1" customHeight="1">
      <c r="A671" s="91"/>
      <c r="E671" s="91"/>
      <c r="H671" s="91"/>
      <c r="I671" s="91"/>
      <c r="M671" s="91"/>
      <c r="N671" s="91"/>
    </row>
    <row r="672" ht="15.75" hidden="1" customHeight="1">
      <c r="A672" s="91"/>
      <c r="E672" s="91"/>
      <c r="H672" s="91"/>
      <c r="I672" s="91"/>
      <c r="M672" s="91"/>
      <c r="N672" s="91"/>
    </row>
    <row r="673" ht="15.75" hidden="1" customHeight="1">
      <c r="A673" s="91"/>
      <c r="E673" s="91"/>
      <c r="H673" s="91"/>
      <c r="I673" s="91"/>
      <c r="M673" s="91"/>
      <c r="N673" s="91"/>
    </row>
    <row r="674" ht="15.75" hidden="1" customHeight="1">
      <c r="A674" s="91"/>
      <c r="E674" s="91"/>
      <c r="H674" s="91"/>
      <c r="I674" s="91"/>
      <c r="M674" s="91"/>
      <c r="N674" s="91"/>
    </row>
    <row r="675" ht="15.75" hidden="1" customHeight="1">
      <c r="A675" s="91"/>
      <c r="E675" s="91"/>
      <c r="H675" s="91"/>
      <c r="I675" s="91"/>
      <c r="M675" s="91"/>
      <c r="N675" s="91"/>
    </row>
    <row r="676" ht="15.75" hidden="1" customHeight="1">
      <c r="A676" s="91"/>
      <c r="E676" s="91"/>
      <c r="H676" s="91"/>
      <c r="I676" s="91"/>
      <c r="M676" s="91"/>
      <c r="N676" s="91"/>
    </row>
    <row r="677" ht="15.75" hidden="1" customHeight="1">
      <c r="A677" s="91"/>
      <c r="E677" s="91"/>
      <c r="H677" s="91"/>
      <c r="I677" s="91"/>
      <c r="M677" s="91"/>
      <c r="N677" s="91"/>
    </row>
    <row r="678" ht="15.75" hidden="1" customHeight="1">
      <c r="A678" s="91"/>
      <c r="E678" s="91"/>
      <c r="H678" s="91"/>
      <c r="I678" s="91"/>
      <c r="M678" s="91"/>
      <c r="N678" s="91"/>
    </row>
    <row r="679" ht="15.75" hidden="1" customHeight="1">
      <c r="A679" s="91"/>
      <c r="E679" s="91"/>
      <c r="H679" s="91"/>
      <c r="I679" s="91"/>
      <c r="M679" s="91"/>
      <c r="N679" s="91"/>
    </row>
    <row r="680" ht="15.75" hidden="1" customHeight="1">
      <c r="A680" s="91"/>
      <c r="E680" s="91"/>
      <c r="H680" s="91"/>
      <c r="I680" s="91"/>
      <c r="M680" s="91"/>
      <c r="N680" s="91"/>
    </row>
    <row r="681" ht="15.75" hidden="1" customHeight="1">
      <c r="A681" s="91"/>
      <c r="E681" s="91"/>
      <c r="H681" s="91"/>
      <c r="I681" s="91"/>
      <c r="M681" s="91"/>
      <c r="N681" s="91"/>
    </row>
    <row r="682" ht="15.75" hidden="1" customHeight="1">
      <c r="A682" s="91"/>
      <c r="E682" s="91"/>
      <c r="H682" s="91"/>
      <c r="I682" s="91"/>
      <c r="M682" s="91"/>
      <c r="N682" s="91"/>
    </row>
    <row r="683" ht="15.75" hidden="1" customHeight="1">
      <c r="A683" s="91"/>
      <c r="E683" s="91"/>
      <c r="H683" s="91"/>
      <c r="I683" s="91"/>
      <c r="M683" s="91"/>
      <c r="N683" s="91"/>
    </row>
    <row r="684" ht="15.75" hidden="1" customHeight="1">
      <c r="A684" s="91"/>
      <c r="E684" s="91"/>
      <c r="H684" s="91"/>
      <c r="I684" s="91"/>
      <c r="M684" s="91"/>
      <c r="N684" s="91"/>
    </row>
    <row r="685" ht="15.75" hidden="1" customHeight="1">
      <c r="A685" s="91"/>
      <c r="E685" s="91"/>
      <c r="H685" s="91"/>
      <c r="I685" s="91"/>
      <c r="M685" s="91"/>
      <c r="N685" s="91"/>
    </row>
    <row r="686" ht="15.75" hidden="1" customHeight="1">
      <c r="A686" s="91"/>
      <c r="E686" s="91"/>
      <c r="H686" s="91"/>
      <c r="I686" s="91"/>
      <c r="M686" s="91"/>
      <c r="N686" s="91"/>
    </row>
    <row r="687" ht="15.75" hidden="1" customHeight="1">
      <c r="A687" s="91"/>
      <c r="E687" s="91"/>
      <c r="H687" s="91"/>
      <c r="I687" s="91"/>
      <c r="M687" s="91"/>
      <c r="N687" s="91"/>
    </row>
    <row r="688" ht="15.75" hidden="1" customHeight="1">
      <c r="A688" s="91"/>
      <c r="E688" s="91"/>
      <c r="H688" s="91"/>
      <c r="I688" s="91"/>
      <c r="M688" s="91"/>
      <c r="N688" s="91"/>
    </row>
    <row r="689" ht="15.75" hidden="1" customHeight="1">
      <c r="A689" s="91"/>
      <c r="E689" s="91"/>
      <c r="H689" s="91"/>
      <c r="I689" s="91"/>
      <c r="M689" s="91"/>
      <c r="N689" s="91"/>
    </row>
    <row r="690" ht="15.75" hidden="1" customHeight="1">
      <c r="A690" s="91"/>
      <c r="E690" s="91"/>
      <c r="H690" s="91"/>
      <c r="I690" s="91"/>
      <c r="M690" s="91"/>
      <c r="N690" s="91"/>
    </row>
    <row r="691" ht="15.75" hidden="1" customHeight="1">
      <c r="A691" s="91"/>
      <c r="E691" s="91"/>
      <c r="H691" s="91"/>
      <c r="I691" s="91"/>
      <c r="M691" s="91"/>
      <c r="N691" s="91"/>
    </row>
    <row r="692" ht="15.75" hidden="1" customHeight="1">
      <c r="A692" s="91"/>
      <c r="E692" s="91"/>
      <c r="H692" s="91"/>
      <c r="I692" s="91"/>
      <c r="M692" s="91"/>
      <c r="N692" s="91"/>
    </row>
    <row r="693" ht="15.75" hidden="1" customHeight="1">
      <c r="A693" s="91"/>
      <c r="E693" s="91"/>
      <c r="H693" s="91"/>
      <c r="I693" s="91"/>
      <c r="M693" s="91"/>
      <c r="N693" s="91"/>
    </row>
    <row r="694" ht="15.75" hidden="1" customHeight="1">
      <c r="A694" s="91"/>
      <c r="E694" s="91"/>
      <c r="H694" s="91"/>
      <c r="I694" s="91"/>
      <c r="M694" s="91"/>
      <c r="N694" s="91"/>
    </row>
    <row r="695" ht="15.75" hidden="1" customHeight="1">
      <c r="A695" s="91"/>
      <c r="E695" s="91"/>
      <c r="H695" s="91"/>
      <c r="I695" s="91"/>
      <c r="M695" s="91"/>
      <c r="N695" s="91"/>
    </row>
    <row r="696" ht="15.75" hidden="1" customHeight="1">
      <c r="A696" s="91"/>
      <c r="E696" s="91"/>
      <c r="H696" s="91"/>
      <c r="I696" s="91"/>
      <c r="M696" s="91"/>
      <c r="N696" s="91"/>
    </row>
    <row r="697" ht="15.75" hidden="1" customHeight="1">
      <c r="A697" s="91"/>
      <c r="E697" s="91"/>
      <c r="H697" s="91"/>
      <c r="I697" s="91"/>
      <c r="M697" s="91"/>
      <c r="N697" s="91"/>
    </row>
    <row r="698" ht="15.75" hidden="1" customHeight="1">
      <c r="A698" s="91"/>
      <c r="E698" s="91"/>
      <c r="H698" s="91"/>
      <c r="I698" s="91"/>
      <c r="M698" s="91"/>
      <c r="N698" s="91"/>
    </row>
    <row r="699" ht="15.75" hidden="1" customHeight="1">
      <c r="A699" s="91"/>
      <c r="E699" s="91"/>
      <c r="H699" s="91"/>
      <c r="I699" s="91"/>
      <c r="M699" s="91"/>
      <c r="N699" s="91"/>
    </row>
    <row r="700" ht="15.75" hidden="1" customHeight="1">
      <c r="A700" s="91"/>
      <c r="E700" s="91"/>
      <c r="H700" s="91"/>
      <c r="I700" s="91"/>
      <c r="M700" s="91"/>
      <c r="N700" s="91"/>
    </row>
    <row r="701" ht="15.75" hidden="1" customHeight="1">
      <c r="A701" s="91"/>
      <c r="E701" s="91"/>
      <c r="H701" s="91"/>
      <c r="I701" s="91"/>
      <c r="M701" s="91"/>
      <c r="N701" s="91"/>
    </row>
    <row r="702" ht="15.75" hidden="1" customHeight="1">
      <c r="A702" s="91"/>
      <c r="E702" s="91"/>
      <c r="H702" s="91"/>
      <c r="I702" s="91"/>
      <c r="M702" s="91"/>
      <c r="N702" s="91"/>
    </row>
    <row r="703" ht="15.75" hidden="1" customHeight="1">
      <c r="A703" s="91"/>
      <c r="E703" s="91"/>
      <c r="H703" s="91"/>
      <c r="I703" s="91"/>
      <c r="M703" s="91"/>
      <c r="N703" s="91"/>
    </row>
    <row r="704" ht="15.75" hidden="1" customHeight="1">
      <c r="A704" s="91"/>
      <c r="E704" s="91"/>
      <c r="H704" s="91"/>
      <c r="I704" s="91"/>
      <c r="M704" s="91"/>
      <c r="N704" s="91"/>
    </row>
    <row r="705" ht="15.75" hidden="1" customHeight="1">
      <c r="A705" s="91"/>
      <c r="E705" s="91"/>
      <c r="H705" s="91"/>
      <c r="I705" s="91"/>
      <c r="M705" s="91"/>
      <c r="N705" s="91"/>
    </row>
    <row r="706" ht="15.75" hidden="1" customHeight="1">
      <c r="A706" s="91"/>
      <c r="E706" s="91"/>
      <c r="H706" s="91"/>
      <c r="I706" s="91"/>
      <c r="M706" s="91"/>
      <c r="N706" s="91"/>
    </row>
    <row r="707" ht="15.75" hidden="1" customHeight="1">
      <c r="A707" s="91"/>
      <c r="E707" s="91"/>
      <c r="H707" s="91"/>
      <c r="I707" s="91"/>
      <c r="M707" s="91"/>
      <c r="N707" s="91"/>
    </row>
    <row r="708" ht="15.75" hidden="1" customHeight="1">
      <c r="A708" s="91"/>
      <c r="E708" s="91"/>
      <c r="H708" s="91"/>
      <c r="I708" s="91"/>
      <c r="M708" s="91"/>
      <c r="N708" s="91"/>
    </row>
    <row r="709" ht="15.75" hidden="1" customHeight="1">
      <c r="A709" s="91"/>
      <c r="E709" s="91"/>
      <c r="H709" s="91"/>
      <c r="I709" s="91"/>
      <c r="M709" s="91"/>
      <c r="N709" s="91"/>
    </row>
    <row r="710" ht="15.75" hidden="1" customHeight="1">
      <c r="A710" s="91"/>
      <c r="E710" s="91"/>
      <c r="H710" s="91"/>
      <c r="I710" s="91"/>
      <c r="M710" s="91"/>
      <c r="N710" s="91"/>
    </row>
    <row r="711" ht="15.75" hidden="1" customHeight="1">
      <c r="A711" s="91"/>
      <c r="E711" s="91"/>
      <c r="H711" s="91"/>
      <c r="I711" s="91"/>
      <c r="M711" s="91"/>
      <c r="N711" s="91"/>
    </row>
    <row r="712" ht="15.75" hidden="1" customHeight="1">
      <c r="A712" s="91"/>
      <c r="E712" s="91"/>
      <c r="H712" s="91"/>
      <c r="I712" s="91"/>
      <c r="M712" s="91"/>
      <c r="N712" s="91"/>
    </row>
    <row r="713" ht="15.75" hidden="1" customHeight="1">
      <c r="A713" s="91"/>
      <c r="E713" s="91"/>
      <c r="H713" s="91"/>
      <c r="I713" s="91"/>
      <c r="M713" s="91"/>
      <c r="N713" s="91"/>
    </row>
    <row r="714" ht="15.75" hidden="1" customHeight="1">
      <c r="A714" s="91"/>
      <c r="E714" s="91"/>
      <c r="H714" s="91"/>
      <c r="I714" s="91"/>
      <c r="M714" s="91"/>
      <c r="N714" s="91"/>
    </row>
    <row r="715" ht="15.75" hidden="1" customHeight="1">
      <c r="A715" s="91"/>
      <c r="E715" s="91"/>
      <c r="H715" s="91"/>
      <c r="I715" s="91"/>
      <c r="M715" s="91"/>
      <c r="N715" s="91"/>
    </row>
    <row r="716" ht="15.75" hidden="1" customHeight="1">
      <c r="A716" s="91"/>
      <c r="E716" s="91"/>
      <c r="H716" s="91"/>
      <c r="I716" s="91"/>
      <c r="M716" s="91"/>
      <c r="N716" s="91"/>
    </row>
    <row r="717" ht="15.75" hidden="1" customHeight="1">
      <c r="A717" s="91"/>
      <c r="E717" s="91"/>
      <c r="H717" s="91"/>
      <c r="I717" s="91"/>
      <c r="M717" s="91"/>
      <c r="N717" s="91"/>
    </row>
    <row r="718" ht="15.75" hidden="1" customHeight="1">
      <c r="A718" s="91"/>
      <c r="E718" s="91"/>
      <c r="H718" s="91"/>
      <c r="I718" s="91"/>
      <c r="M718" s="91"/>
      <c r="N718" s="91"/>
    </row>
    <row r="719" ht="15.75" hidden="1" customHeight="1">
      <c r="A719" s="91"/>
      <c r="E719" s="91"/>
      <c r="H719" s="91"/>
      <c r="I719" s="91"/>
      <c r="M719" s="91"/>
      <c r="N719" s="91"/>
    </row>
    <row r="720" ht="15.75" hidden="1" customHeight="1">
      <c r="A720" s="91"/>
      <c r="E720" s="91"/>
      <c r="H720" s="91"/>
      <c r="I720" s="91"/>
      <c r="M720" s="91"/>
      <c r="N720" s="91"/>
    </row>
    <row r="721" ht="15.75" hidden="1" customHeight="1">
      <c r="A721" s="91"/>
      <c r="E721" s="91"/>
      <c r="H721" s="91"/>
      <c r="I721" s="91"/>
      <c r="M721" s="91"/>
      <c r="N721" s="91"/>
    </row>
    <row r="722" ht="15.75" hidden="1" customHeight="1">
      <c r="A722" s="91"/>
      <c r="E722" s="91"/>
      <c r="H722" s="91"/>
      <c r="I722" s="91"/>
      <c r="M722" s="91"/>
      <c r="N722" s="91"/>
    </row>
    <row r="723" ht="15.75" hidden="1" customHeight="1">
      <c r="A723" s="91"/>
      <c r="E723" s="91"/>
      <c r="H723" s="91"/>
      <c r="I723" s="91"/>
      <c r="M723" s="91"/>
      <c r="N723" s="91"/>
    </row>
    <row r="724" ht="15.75" hidden="1" customHeight="1">
      <c r="A724" s="91"/>
      <c r="E724" s="91"/>
      <c r="H724" s="91"/>
      <c r="I724" s="91"/>
      <c r="M724" s="91"/>
      <c r="N724" s="91"/>
    </row>
    <row r="725" ht="15.75" hidden="1" customHeight="1">
      <c r="A725" s="91"/>
      <c r="E725" s="91"/>
      <c r="H725" s="91"/>
      <c r="I725" s="91"/>
      <c r="M725" s="91"/>
      <c r="N725" s="91"/>
    </row>
    <row r="726" ht="15.75" hidden="1" customHeight="1">
      <c r="A726" s="91"/>
      <c r="E726" s="91"/>
      <c r="H726" s="91"/>
      <c r="I726" s="91"/>
      <c r="M726" s="91"/>
      <c r="N726" s="91"/>
    </row>
    <row r="727" ht="15.75" hidden="1" customHeight="1">
      <c r="A727" s="91"/>
      <c r="E727" s="91"/>
      <c r="H727" s="91"/>
      <c r="I727" s="91"/>
      <c r="M727" s="91"/>
      <c r="N727" s="91"/>
    </row>
    <row r="728" ht="15.75" hidden="1" customHeight="1">
      <c r="A728" s="91"/>
      <c r="E728" s="91"/>
      <c r="H728" s="91"/>
      <c r="I728" s="91"/>
      <c r="M728" s="91"/>
      <c r="N728" s="91"/>
    </row>
    <row r="729" ht="15.75" hidden="1" customHeight="1">
      <c r="A729" s="91"/>
      <c r="E729" s="91"/>
      <c r="H729" s="91"/>
      <c r="I729" s="91"/>
      <c r="M729" s="91"/>
      <c r="N729" s="91"/>
    </row>
    <row r="730" ht="15.75" hidden="1" customHeight="1">
      <c r="A730" s="91"/>
      <c r="E730" s="91"/>
      <c r="H730" s="91"/>
      <c r="I730" s="91"/>
      <c r="M730" s="91"/>
      <c r="N730" s="91"/>
    </row>
    <row r="731" ht="15.75" hidden="1" customHeight="1">
      <c r="A731" s="91"/>
      <c r="E731" s="91"/>
      <c r="H731" s="91"/>
      <c r="I731" s="91"/>
      <c r="M731" s="91"/>
      <c r="N731" s="91"/>
    </row>
    <row r="732" ht="15.75" hidden="1" customHeight="1">
      <c r="A732" s="91"/>
      <c r="E732" s="91"/>
      <c r="H732" s="91"/>
      <c r="I732" s="91"/>
      <c r="M732" s="91"/>
      <c r="N732" s="91"/>
    </row>
    <row r="733" ht="15.75" hidden="1" customHeight="1">
      <c r="A733" s="91"/>
      <c r="E733" s="91"/>
      <c r="H733" s="91"/>
      <c r="I733" s="91"/>
      <c r="M733" s="91"/>
      <c r="N733" s="91"/>
    </row>
    <row r="734" ht="15.75" hidden="1" customHeight="1">
      <c r="A734" s="91"/>
      <c r="E734" s="91"/>
      <c r="H734" s="91"/>
      <c r="I734" s="91"/>
      <c r="M734" s="91"/>
      <c r="N734" s="91"/>
    </row>
    <row r="735" ht="15.75" hidden="1" customHeight="1">
      <c r="A735" s="91"/>
      <c r="E735" s="91"/>
      <c r="H735" s="91"/>
      <c r="I735" s="91"/>
      <c r="M735" s="91"/>
      <c r="N735" s="91"/>
    </row>
    <row r="736" ht="15.75" hidden="1" customHeight="1">
      <c r="A736" s="91"/>
      <c r="E736" s="91"/>
      <c r="H736" s="91"/>
      <c r="I736" s="91"/>
      <c r="M736" s="91"/>
      <c r="N736" s="91"/>
    </row>
    <row r="737" ht="15.75" hidden="1" customHeight="1">
      <c r="A737" s="91"/>
      <c r="E737" s="91"/>
      <c r="H737" s="91"/>
      <c r="I737" s="91"/>
      <c r="M737" s="91"/>
      <c r="N737" s="91"/>
    </row>
    <row r="738" ht="15.75" hidden="1" customHeight="1">
      <c r="A738" s="91"/>
      <c r="E738" s="91"/>
      <c r="H738" s="91"/>
      <c r="I738" s="91"/>
      <c r="M738" s="91"/>
      <c r="N738" s="91"/>
    </row>
    <row r="739" ht="15.75" hidden="1" customHeight="1">
      <c r="A739" s="91"/>
      <c r="E739" s="91"/>
      <c r="H739" s="91"/>
      <c r="I739" s="91"/>
      <c r="M739" s="91"/>
      <c r="N739" s="91"/>
    </row>
    <row r="740" ht="15.75" hidden="1" customHeight="1">
      <c r="A740" s="91"/>
      <c r="E740" s="91"/>
      <c r="H740" s="91"/>
      <c r="I740" s="91"/>
      <c r="M740" s="91"/>
      <c r="N740" s="91"/>
    </row>
    <row r="741" ht="15.75" hidden="1" customHeight="1">
      <c r="A741" s="91"/>
      <c r="E741" s="91"/>
      <c r="H741" s="91"/>
      <c r="I741" s="91"/>
      <c r="M741" s="91"/>
      <c r="N741" s="91"/>
    </row>
    <row r="742" ht="15.75" hidden="1" customHeight="1">
      <c r="A742" s="91"/>
      <c r="E742" s="91"/>
      <c r="H742" s="91"/>
      <c r="I742" s="91"/>
      <c r="M742" s="91"/>
      <c r="N742" s="91"/>
    </row>
    <row r="743" ht="15.75" hidden="1" customHeight="1">
      <c r="A743" s="91"/>
      <c r="E743" s="91"/>
      <c r="H743" s="91"/>
      <c r="I743" s="91"/>
      <c r="M743" s="91"/>
      <c r="N743" s="91"/>
    </row>
    <row r="744" ht="15.75" hidden="1" customHeight="1">
      <c r="A744" s="91"/>
      <c r="E744" s="91"/>
      <c r="H744" s="91"/>
      <c r="I744" s="91"/>
      <c r="M744" s="91"/>
      <c r="N744" s="91"/>
    </row>
    <row r="745" ht="15.75" hidden="1" customHeight="1">
      <c r="A745" s="91"/>
      <c r="E745" s="91"/>
      <c r="H745" s="91"/>
      <c r="I745" s="91"/>
      <c r="M745" s="91"/>
      <c r="N745" s="91"/>
    </row>
    <row r="746" ht="15.75" hidden="1" customHeight="1">
      <c r="A746" s="91"/>
      <c r="E746" s="91"/>
      <c r="H746" s="91"/>
      <c r="I746" s="91"/>
      <c r="M746" s="91"/>
      <c r="N746" s="91"/>
    </row>
    <row r="747" ht="15.75" hidden="1" customHeight="1">
      <c r="A747" s="91"/>
      <c r="E747" s="91"/>
      <c r="H747" s="91"/>
      <c r="I747" s="91"/>
      <c r="M747" s="91"/>
      <c r="N747" s="91"/>
    </row>
    <row r="748" ht="15.75" hidden="1" customHeight="1">
      <c r="A748" s="91"/>
      <c r="E748" s="91"/>
      <c r="H748" s="91"/>
      <c r="I748" s="91"/>
      <c r="M748" s="91"/>
      <c r="N748" s="91"/>
    </row>
    <row r="749" ht="15.75" hidden="1" customHeight="1">
      <c r="A749" s="91"/>
      <c r="E749" s="91"/>
      <c r="H749" s="91"/>
      <c r="I749" s="91"/>
      <c r="M749" s="91"/>
      <c r="N749" s="91"/>
    </row>
    <row r="750" ht="15.75" hidden="1" customHeight="1">
      <c r="A750" s="91"/>
      <c r="E750" s="91"/>
      <c r="H750" s="91"/>
      <c r="I750" s="91"/>
      <c r="M750" s="91"/>
      <c r="N750" s="91"/>
    </row>
    <row r="751" ht="15.75" hidden="1" customHeight="1">
      <c r="A751" s="91"/>
      <c r="E751" s="91"/>
      <c r="H751" s="91"/>
      <c r="I751" s="91"/>
      <c r="M751" s="91"/>
      <c r="N751" s="91"/>
    </row>
    <row r="752" ht="15.75" hidden="1" customHeight="1">
      <c r="A752" s="91"/>
      <c r="E752" s="91"/>
      <c r="H752" s="91"/>
      <c r="I752" s="91"/>
      <c r="M752" s="91"/>
      <c r="N752" s="91"/>
    </row>
    <row r="753" ht="15.75" hidden="1" customHeight="1">
      <c r="A753" s="91"/>
      <c r="E753" s="91"/>
      <c r="H753" s="91"/>
      <c r="I753" s="91"/>
      <c r="M753" s="91"/>
      <c r="N753" s="91"/>
    </row>
    <row r="754" ht="15.75" hidden="1" customHeight="1">
      <c r="A754" s="91"/>
      <c r="E754" s="91"/>
      <c r="H754" s="91"/>
      <c r="I754" s="91"/>
      <c r="M754" s="91"/>
      <c r="N754" s="91"/>
    </row>
    <row r="755" ht="15.75" hidden="1" customHeight="1">
      <c r="A755" s="91"/>
      <c r="E755" s="91"/>
      <c r="H755" s="91"/>
      <c r="I755" s="91"/>
      <c r="M755" s="91"/>
      <c r="N755" s="91"/>
    </row>
    <row r="756" ht="15.75" hidden="1" customHeight="1">
      <c r="A756" s="91"/>
      <c r="E756" s="91"/>
      <c r="H756" s="91"/>
      <c r="I756" s="91"/>
      <c r="M756" s="91"/>
      <c r="N756" s="91"/>
    </row>
    <row r="757" ht="15.75" hidden="1" customHeight="1">
      <c r="A757" s="91"/>
      <c r="E757" s="91"/>
      <c r="H757" s="91"/>
      <c r="I757" s="91"/>
      <c r="M757" s="91"/>
      <c r="N757" s="91"/>
    </row>
    <row r="758" ht="15.75" hidden="1" customHeight="1">
      <c r="A758" s="91"/>
      <c r="E758" s="91"/>
      <c r="H758" s="91"/>
      <c r="I758" s="91"/>
      <c r="M758" s="91"/>
      <c r="N758" s="91"/>
    </row>
    <row r="759" ht="15.75" hidden="1" customHeight="1">
      <c r="A759" s="91"/>
      <c r="E759" s="91"/>
      <c r="H759" s="91"/>
      <c r="I759" s="91"/>
      <c r="M759" s="91"/>
      <c r="N759" s="91"/>
    </row>
    <row r="760" ht="15.75" hidden="1" customHeight="1">
      <c r="A760" s="91"/>
      <c r="E760" s="91"/>
      <c r="H760" s="91"/>
      <c r="I760" s="91"/>
      <c r="M760" s="91"/>
      <c r="N760" s="91"/>
    </row>
    <row r="761" ht="15.75" hidden="1" customHeight="1">
      <c r="A761" s="91"/>
      <c r="E761" s="91"/>
      <c r="H761" s="91"/>
      <c r="I761" s="91"/>
      <c r="M761" s="91"/>
      <c r="N761" s="91"/>
    </row>
    <row r="762" ht="15.75" hidden="1" customHeight="1">
      <c r="A762" s="91"/>
      <c r="E762" s="91"/>
      <c r="H762" s="91"/>
      <c r="I762" s="91"/>
      <c r="M762" s="91"/>
      <c r="N762" s="91"/>
    </row>
    <row r="763" ht="15.75" hidden="1" customHeight="1">
      <c r="A763" s="91"/>
      <c r="E763" s="91"/>
      <c r="H763" s="91"/>
      <c r="I763" s="91"/>
      <c r="M763" s="91"/>
      <c r="N763" s="91"/>
    </row>
    <row r="764" ht="15.75" hidden="1" customHeight="1">
      <c r="A764" s="91"/>
      <c r="E764" s="91"/>
      <c r="H764" s="91"/>
      <c r="I764" s="91"/>
      <c r="M764" s="91"/>
      <c r="N764" s="91"/>
    </row>
    <row r="765" ht="15.75" hidden="1" customHeight="1">
      <c r="A765" s="91"/>
      <c r="E765" s="91"/>
      <c r="H765" s="91"/>
      <c r="I765" s="91"/>
      <c r="M765" s="91"/>
      <c r="N765" s="91"/>
    </row>
    <row r="766" ht="15.75" hidden="1" customHeight="1">
      <c r="A766" s="91"/>
      <c r="E766" s="91"/>
      <c r="H766" s="91"/>
      <c r="I766" s="91"/>
      <c r="M766" s="91"/>
      <c r="N766" s="91"/>
    </row>
    <row r="767" ht="15.75" hidden="1" customHeight="1">
      <c r="A767" s="91"/>
      <c r="E767" s="91"/>
      <c r="H767" s="91"/>
      <c r="I767" s="91"/>
      <c r="M767" s="91"/>
      <c r="N767" s="91"/>
    </row>
    <row r="768" ht="15.75" hidden="1" customHeight="1">
      <c r="A768" s="91"/>
      <c r="E768" s="91"/>
      <c r="H768" s="91"/>
      <c r="I768" s="91"/>
      <c r="M768" s="91"/>
      <c r="N768" s="91"/>
    </row>
    <row r="769" ht="15.75" hidden="1" customHeight="1">
      <c r="A769" s="91"/>
      <c r="E769" s="91"/>
      <c r="H769" s="91"/>
      <c r="I769" s="91"/>
      <c r="M769" s="91"/>
      <c r="N769" s="91"/>
    </row>
    <row r="770" ht="15.75" hidden="1" customHeight="1">
      <c r="A770" s="91"/>
      <c r="E770" s="91"/>
      <c r="H770" s="91"/>
      <c r="I770" s="91"/>
      <c r="M770" s="91"/>
      <c r="N770" s="91"/>
    </row>
    <row r="771" ht="15.75" hidden="1" customHeight="1">
      <c r="A771" s="91"/>
      <c r="E771" s="91"/>
      <c r="H771" s="91"/>
      <c r="I771" s="91"/>
      <c r="M771" s="91"/>
      <c r="N771" s="91"/>
    </row>
    <row r="772" ht="15.75" hidden="1" customHeight="1">
      <c r="A772" s="91"/>
      <c r="E772" s="91"/>
      <c r="H772" s="91"/>
      <c r="I772" s="91"/>
      <c r="M772" s="91"/>
      <c r="N772" s="91"/>
    </row>
    <row r="773" ht="15.75" hidden="1" customHeight="1">
      <c r="A773" s="91"/>
      <c r="E773" s="91"/>
      <c r="H773" s="91"/>
      <c r="I773" s="91"/>
      <c r="M773" s="91"/>
      <c r="N773" s="91"/>
    </row>
    <row r="774" ht="15.75" hidden="1" customHeight="1">
      <c r="A774" s="91"/>
      <c r="E774" s="91"/>
      <c r="H774" s="91"/>
      <c r="I774" s="91"/>
      <c r="M774" s="91"/>
      <c r="N774" s="91"/>
    </row>
    <row r="775" ht="15.75" hidden="1" customHeight="1">
      <c r="A775" s="91"/>
      <c r="E775" s="91"/>
      <c r="H775" s="91"/>
      <c r="I775" s="91"/>
      <c r="M775" s="91"/>
      <c r="N775" s="91"/>
    </row>
    <row r="776" ht="15.75" hidden="1" customHeight="1">
      <c r="A776" s="91"/>
      <c r="E776" s="91"/>
      <c r="H776" s="91"/>
      <c r="I776" s="91"/>
      <c r="M776" s="91"/>
      <c r="N776" s="91"/>
    </row>
    <row r="777" ht="15.75" hidden="1" customHeight="1">
      <c r="A777" s="91"/>
      <c r="E777" s="91"/>
      <c r="H777" s="91"/>
      <c r="I777" s="91"/>
      <c r="M777" s="91"/>
      <c r="N777" s="91"/>
    </row>
    <row r="778" ht="15.75" hidden="1" customHeight="1">
      <c r="A778" s="91"/>
      <c r="E778" s="91"/>
      <c r="H778" s="91"/>
      <c r="I778" s="91"/>
      <c r="M778" s="91"/>
      <c r="N778" s="91"/>
    </row>
    <row r="779" ht="15.75" hidden="1" customHeight="1">
      <c r="A779" s="91"/>
      <c r="E779" s="91"/>
      <c r="H779" s="91"/>
      <c r="I779" s="91"/>
      <c r="M779" s="91"/>
      <c r="N779" s="91"/>
    </row>
    <row r="780" ht="15.75" hidden="1" customHeight="1">
      <c r="A780" s="91"/>
      <c r="E780" s="91"/>
      <c r="H780" s="91"/>
      <c r="I780" s="91"/>
      <c r="M780" s="91"/>
      <c r="N780" s="91"/>
    </row>
    <row r="781" ht="15.75" hidden="1" customHeight="1">
      <c r="A781" s="91"/>
      <c r="E781" s="91"/>
      <c r="H781" s="91"/>
      <c r="I781" s="91"/>
      <c r="M781" s="91"/>
      <c r="N781" s="91"/>
    </row>
    <row r="782" ht="15.75" hidden="1" customHeight="1">
      <c r="A782" s="91"/>
      <c r="E782" s="91"/>
      <c r="H782" s="91"/>
      <c r="I782" s="91"/>
      <c r="M782" s="91"/>
      <c r="N782" s="91"/>
    </row>
    <row r="783" ht="15.75" hidden="1" customHeight="1">
      <c r="A783" s="91"/>
      <c r="E783" s="91"/>
      <c r="H783" s="91"/>
      <c r="I783" s="91"/>
      <c r="M783" s="91"/>
      <c r="N783" s="91"/>
    </row>
    <row r="784" ht="15.75" hidden="1" customHeight="1">
      <c r="A784" s="91"/>
      <c r="E784" s="91"/>
      <c r="H784" s="91"/>
      <c r="I784" s="91"/>
      <c r="M784" s="91"/>
      <c r="N784" s="91"/>
    </row>
    <row r="785" ht="15.75" hidden="1" customHeight="1">
      <c r="A785" s="91"/>
      <c r="E785" s="91"/>
      <c r="H785" s="91"/>
      <c r="I785" s="91"/>
      <c r="M785" s="91"/>
      <c r="N785" s="91"/>
    </row>
    <row r="786" ht="15.75" hidden="1" customHeight="1">
      <c r="A786" s="91"/>
      <c r="E786" s="91"/>
      <c r="H786" s="91"/>
      <c r="I786" s="91"/>
      <c r="M786" s="91"/>
      <c r="N786" s="91"/>
    </row>
    <row r="787" ht="15.75" hidden="1" customHeight="1">
      <c r="A787" s="91"/>
      <c r="E787" s="91"/>
      <c r="H787" s="91"/>
      <c r="I787" s="91"/>
      <c r="M787" s="91"/>
      <c r="N787" s="91"/>
    </row>
    <row r="788" ht="15.75" hidden="1" customHeight="1">
      <c r="A788" s="91"/>
      <c r="E788" s="91"/>
      <c r="H788" s="91"/>
      <c r="I788" s="91"/>
      <c r="M788" s="91"/>
      <c r="N788" s="91"/>
    </row>
    <row r="789" ht="15.75" hidden="1" customHeight="1">
      <c r="A789" s="91"/>
      <c r="E789" s="91"/>
      <c r="H789" s="91"/>
      <c r="I789" s="91"/>
      <c r="M789" s="91"/>
      <c r="N789" s="91"/>
    </row>
    <row r="790" ht="15.75" hidden="1" customHeight="1">
      <c r="A790" s="91"/>
      <c r="E790" s="91"/>
      <c r="H790" s="91"/>
      <c r="I790" s="91"/>
      <c r="M790" s="91"/>
      <c r="N790" s="91"/>
    </row>
    <row r="791" ht="15.75" hidden="1" customHeight="1">
      <c r="A791" s="91"/>
      <c r="E791" s="91"/>
      <c r="H791" s="91"/>
      <c r="I791" s="91"/>
      <c r="M791" s="91"/>
      <c r="N791" s="91"/>
    </row>
    <row r="792" ht="15.75" hidden="1" customHeight="1">
      <c r="A792" s="91"/>
      <c r="E792" s="91"/>
      <c r="H792" s="91"/>
      <c r="I792" s="91"/>
      <c r="M792" s="91"/>
      <c r="N792" s="91"/>
    </row>
    <row r="793" ht="15.75" hidden="1" customHeight="1">
      <c r="A793" s="91"/>
      <c r="E793" s="91"/>
      <c r="H793" s="91"/>
      <c r="I793" s="91"/>
      <c r="M793" s="91"/>
      <c r="N793" s="91"/>
    </row>
    <row r="794" ht="15.75" hidden="1" customHeight="1">
      <c r="A794" s="91"/>
      <c r="E794" s="91"/>
      <c r="H794" s="91"/>
      <c r="I794" s="91"/>
      <c r="M794" s="91"/>
      <c r="N794" s="91"/>
    </row>
    <row r="795" ht="15.75" hidden="1" customHeight="1">
      <c r="A795" s="91"/>
      <c r="E795" s="91"/>
      <c r="H795" s="91"/>
      <c r="I795" s="91"/>
      <c r="M795" s="91"/>
      <c r="N795" s="91"/>
    </row>
    <row r="796" ht="15.75" hidden="1" customHeight="1">
      <c r="A796" s="91"/>
      <c r="E796" s="91"/>
      <c r="H796" s="91"/>
      <c r="I796" s="91"/>
      <c r="M796" s="91"/>
      <c r="N796" s="91"/>
    </row>
    <row r="797" ht="15.75" hidden="1" customHeight="1">
      <c r="A797" s="91"/>
      <c r="E797" s="91"/>
      <c r="H797" s="91"/>
      <c r="I797" s="91"/>
      <c r="M797" s="91"/>
      <c r="N797" s="91"/>
    </row>
    <row r="798" ht="15.75" hidden="1" customHeight="1">
      <c r="A798" s="91"/>
      <c r="E798" s="91"/>
      <c r="H798" s="91"/>
      <c r="I798" s="91"/>
      <c r="M798" s="91"/>
      <c r="N798" s="91"/>
    </row>
    <row r="799" ht="15.75" hidden="1" customHeight="1">
      <c r="A799" s="91"/>
      <c r="E799" s="91"/>
      <c r="H799" s="91"/>
      <c r="I799" s="91"/>
      <c r="M799" s="91"/>
      <c r="N799" s="91"/>
    </row>
    <row r="800" ht="15.75" hidden="1" customHeight="1">
      <c r="A800" s="91"/>
      <c r="E800" s="91"/>
      <c r="H800" s="91"/>
      <c r="I800" s="91"/>
      <c r="M800" s="91"/>
      <c r="N800" s="91"/>
    </row>
    <row r="801" ht="15.75" hidden="1" customHeight="1">
      <c r="A801" s="91"/>
      <c r="E801" s="91"/>
      <c r="H801" s="91"/>
      <c r="I801" s="91"/>
      <c r="M801" s="91"/>
      <c r="N801" s="91"/>
    </row>
    <row r="802" ht="15.75" hidden="1" customHeight="1">
      <c r="A802" s="91"/>
      <c r="E802" s="91"/>
      <c r="H802" s="91"/>
      <c r="I802" s="91"/>
      <c r="M802" s="91"/>
      <c r="N802" s="91"/>
    </row>
    <row r="803" ht="15.75" hidden="1" customHeight="1">
      <c r="A803" s="91"/>
      <c r="E803" s="91"/>
      <c r="H803" s="91"/>
      <c r="I803" s="91"/>
      <c r="M803" s="91"/>
      <c r="N803" s="91"/>
    </row>
    <row r="804" ht="15.75" hidden="1" customHeight="1">
      <c r="A804" s="91"/>
      <c r="E804" s="91"/>
      <c r="H804" s="91"/>
      <c r="I804" s="91"/>
      <c r="M804" s="91"/>
      <c r="N804" s="91"/>
    </row>
    <row r="805" ht="15.75" hidden="1" customHeight="1">
      <c r="A805" s="91"/>
      <c r="E805" s="91"/>
      <c r="H805" s="91"/>
      <c r="I805" s="91"/>
      <c r="M805" s="91"/>
      <c r="N805" s="91"/>
    </row>
    <row r="806" ht="15.75" hidden="1" customHeight="1">
      <c r="A806" s="91"/>
      <c r="E806" s="91"/>
      <c r="H806" s="91"/>
      <c r="I806" s="91"/>
      <c r="M806" s="91"/>
      <c r="N806" s="91"/>
    </row>
    <row r="807" ht="15.75" hidden="1" customHeight="1">
      <c r="A807" s="91"/>
      <c r="E807" s="91"/>
      <c r="H807" s="91"/>
      <c r="I807" s="91"/>
      <c r="M807" s="91"/>
      <c r="N807" s="91"/>
    </row>
    <row r="808" ht="15.75" hidden="1" customHeight="1">
      <c r="A808" s="91"/>
      <c r="E808" s="91"/>
      <c r="H808" s="91"/>
      <c r="I808" s="91"/>
      <c r="M808" s="91"/>
      <c r="N808" s="91"/>
    </row>
    <row r="809" ht="15.75" hidden="1" customHeight="1">
      <c r="A809" s="91"/>
      <c r="E809" s="91"/>
      <c r="H809" s="91"/>
      <c r="I809" s="91"/>
      <c r="M809" s="91"/>
      <c r="N809" s="91"/>
    </row>
    <row r="810" ht="15.75" hidden="1" customHeight="1">
      <c r="A810" s="91"/>
      <c r="E810" s="91"/>
      <c r="H810" s="91"/>
      <c r="I810" s="91"/>
      <c r="M810" s="91"/>
      <c r="N810" s="91"/>
    </row>
    <row r="811" ht="15.75" hidden="1" customHeight="1">
      <c r="A811" s="91"/>
      <c r="E811" s="91"/>
      <c r="H811" s="91"/>
      <c r="I811" s="91"/>
      <c r="M811" s="91"/>
      <c r="N811" s="91"/>
    </row>
    <row r="812" ht="15.75" hidden="1" customHeight="1">
      <c r="A812" s="91"/>
      <c r="E812" s="91"/>
      <c r="H812" s="91"/>
      <c r="I812" s="91"/>
      <c r="M812" s="91"/>
      <c r="N812" s="91"/>
    </row>
    <row r="813" ht="15.75" hidden="1" customHeight="1">
      <c r="A813" s="91"/>
      <c r="E813" s="91"/>
      <c r="H813" s="91"/>
      <c r="I813" s="91"/>
      <c r="M813" s="91"/>
      <c r="N813" s="91"/>
    </row>
    <row r="814" ht="15.75" hidden="1" customHeight="1">
      <c r="A814" s="91"/>
      <c r="E814" s="91"/>
      <c r="H814" s="91"/>
      <c r="I814" s="91"/>
      <c r="M814" s="91"/>
      <c r="N814" s="91"/>
    </row>
    <row r="815" ht="15.75" hidden="1" customHeight="1">
      <c r="A815" s="91"/>
      <c r="E815" s="91"/>
      <c r="H815" s="91"/>
      <c r="I815" s="91"/>
      <c r="M815" s="91"/>
      <c r="N815" s="91"/>
    </row>
    <row r="816" ht="15.75" hidden="1" customHeight="1">
      <c r="A816" s="91"/>
      <c r="E816" s="91"/>
      <c r="H816" s="91"/>
      <c r="I816" s="91"/>
      <c r="M816" s="91"/>
      <c r="N816" s="91"/>
    </row>
    <row r="817" ht="15.75" hidden="1" customHeight="1">
      <c r="A817" s="91"/>
      <c r="E817" s="91"/>
      <c r="H817" s="91"/>
      <c r="I817" s="91"/>
      <c r="M817" s="91"/>
      <c r="N817" s="91"/>
    </row>
    <row r="818" ht="15.75" hidden="1" customHeight="1">
      <c r="A818" s="91"/>
      <c r="E818" s="91"/>
      <c r="H818" s="91"/>
      <c r="I818" s="91"/>
      <c r="M818" s="91"/>
      <c r="N818" s="91"/>
    </row>
    <row r="819" ht="15.75" hidden="1" customHeight="1">
      <c r="A819" s="91"/>
      <c r="E819" s="91"/>
      <c r="H819" s="91"/>
      <c r="I819" s="91"/>
      <c r="M819" s="91"/>
      <c r="N819" s="91"/>
    </row>
    <row r="820" ht="15.75" hidden="1" customHeight="1">
      <c r="A820" s="91"/>
      <c r="E820" s="91"/>
      <c r="H820" s="91"/>
      <c r="I820" s="91"/>
      <c r="M820" s="91"/>
      <c r="N820" s="91"/>
    </row>
    <row r="821" ht="15.75" hidden="1" customHeight="1">
      <c r="A821" s="91"/>
      <c r="E821" s="91"/>
      <c r="H821" s="91"/>
      <c r="I821" s="91"/>
      <c r="M821" s="91"/>
      <c r="N821" s="91"/>
    </row>
    <row r="822" ht="15.75" hidden="1" customHeight="1">
      <c r="A822" s="91"/>
      <c r="E822" s="91"/>
      <c r="H822" s="91"/>
      <c r="I822" s="91"/>
      <c r="M822" s="91"/>
      <c r="N822" s="91"/>
    </row>
    <row r="823" ht="15.75" hidden="1" customHeight="1">
      <c r="A823" s="91"/>
      <c r="E823" s="91"/>
      <c r="H823" s="91"/>
      <c r="I823" s="91"/>
      <c r="M823" s="91"/>
      <c r="N823" s="91"/>
    </row>
    <row r="824" ht="15.75" hidden="1" customHeight="1">
      <c r="A824" s="91"/>
      <c r="E824" s="91"/>
      <c r="H824" s="91"/>
      <c r="I824" s="91"/>
      <c r="M824" s="91"/>
      <c r="N824" s="91"/>
    </row>
    <row r="825" ht="15.75" hidden="1" customHeight="1">
      <c r="A825" s="91"/>
      <c r="E825" s="91"/>
      <c r="H825" s="91"/>
      <c r="I825" s="91"/>
      <c r="M825" s="91"/>
      <c r="N825" s="91"/>
    </row>
    <row r="826" ht="15.75" hidden="1" customHeight="1">
      <c r="A826" s="91"/>
      <c r="E826" s="91"/>
      <c r="H826" s="91"/>
      <c r="I826" s="91"/>
      <c r="M826" s="91"/>
      <c r="N826" s="91"/>
    </row>
    <row r="827" ht="15.75" hidden="1" customHeight="1">
      <c r="A827" s="91"/>
      <c r="E827" s="91"/>
      <c r="H827" s="91"/>
      <c r="I827" s="91"/>
      <c r="M827" s="91"/>
      <c r="N827" s="91"/>
    </row>
    <row r="828" ht="15.75" hidden="1" customHeight="1">
      <c r="A828" s="91"/>
      <c r="E828" s="91"/>
      <c r="H828" s="91"/>
      <c r="I828" s="91"/>
      <c r="M828" s="91"/>
      <c r="N828" s="91"/>
    </row>
    <row r="829" ht="15.75" hidden="1" customHeight="1">
      <c r="A829" s="91"/>
      <c r="E829" s="91"/>
      <c r="H829" s="91"/>
      <c r="I829" s="91"/>
      <c r="M829" s="91"/>
      <c r="N829" s="91"/>
    </row>
    <row r="830" ht="15.75" hidden="1" customHeight="1">
      <c r="A830" s="91"/>
      <c r="E830" s="91"/>
      <c r="H830" s="91"/>
      <c r="I830" s="91"/>
      <c r="M830" s="91"/>
      <c r="N830" s="91"/>
    </row>
    <row r="831" ht="15.75" hidden="1" customHeight="1">
      <c r="A831" s="91"/>
      <c r="E831" s="91"/>
      <c r="H831" s="91"/>
      <c r="I831" s="91"/>
      <c r="M831" s="91"/>
      <c r="N831" s="91"/>
    </row>
    <row r="832" ht="15.75" hidden="1" customHeight="1">
      <c r="A832" s="91"/>
      <c r="E832" s="91"/>
      <c r="H832" s="91"/>
      <c r="I832" s="91"/>
      <c r="M832" s="91"/>
      <c r="N832" s="91"/>
    </row>
    <row r="833" ht="15.75" hidden="1" customHeight="1">
      <c r="A833" s="91"/>
      <c r="E833" s="91"/>
      <c r="H833" s="91"/>
      <c r="I833" s="91"/>
      <c r="M833" s="91"/>
      <c r="N833" s="91"/>
    </row>
    <row r="834" ht="15.75" hidden="1" customHeight="1">
      <c r="A834" s="91"/>
      <c r="E834" s="91"/>
      <c r="H834" s="91"/>
      <c r="I834" s="91"/>
      <c r="M834" s="91"/>
      <c r="N834" s="91"/>
    </row>
    <row r="835" ht="15.75" hidden="1" customHeight="1">
      <c r="A835" s="91"/>
      <c r="E835" s="91"/>
      <c r="H835" s="91"/>
      <c r="I835" s="91"/>
      <c r="M835" s="91"/>
      <c r="N835" s="91"/>
    </row>
    <row r="836" ht="15.75" hidden="1" customHeight="1">
      <c r="A836" s="91"/>
      <c r="E836" s="91"/>
      <c r="H836" s="91"/>
      <c r="I836" s="91"/>
      <c r="M836" s="91"/>
      <c r="N836" s="91"/>
    </row>
    <row r="837" ht="15.75" hidden="1" customHeight="1">
      <c r="A837" s="91"/>
      <c r="E837" s="91"/>
      <c r="H837" s="91"/>
      <c r="I837" s="91"/>
      <c r="M837" s="91"/>
      <c r="N837" s="91"/>
    </row>
    <row r="838" ht="15.75" hidden="1" customHeight="1">
      <c r="A838" s="91"/>
      <c r="E838" s="91"/>
      <c r="H838" s="91"/>
      <c r="I838" s="91"/>
      <c r="M838" s="91"/>
      <c r="N838" s="91"/>
    </row>
    <row r="839" ht="15.75" hidden="1" customHeight="1">
      <c r="A839" s="91"/>
      <c r="E839" s="91"/>
      <c r="H839" s="91"/>
      <c r="I839" s="91"/>
      <c r="M839" s="91"/>
      <c r="N839" s="91"/>
    </row>
    <row r="840" ht="15.75" hidden="1" customHeight="1">
      <c r="A840" s="91"/>
      <c r="E840" s="91"/>
      <c r="H840" s="91"/>
      <c r="I840" s="91"/>
      <c r="M840" s="91"/>
      <c r="N840" s="91"/>
    </row>
    <row r="841" ht="15.75" hidden="1" customHeight="1">
      <c r="A841" s="91"/>
      <c r="E841" s="91"/>
      <c r="H841" s="91"/>
      <c r="I841" s="91"/>
      <c r="M841" s="91"/>
      <c r="N841" s="91"/>
    </row>
    <row r="842" ht="15.75" hidden="1" customHeight="1">
      <c r="A842" s="91"/>
      <c r="E842" s="91"/>
      <c r="H842" s="91"/>
      <c r="I842" s="91"/>
      <c r="M842" s="91"/>
      <c r="N842" s="91"/>
    </row>
    <row r="843" ht="15.75" hidden="1" customHeight="1">
      <c r="A843" s="91"/>
      <c r="E843" s="91"/>
      <c r="H843" s="91"/>
      <c r="I843" s="91"/>
      <c r="M843" s="91"/>
      <c r="N843" s="91"/>
    </row>
    <row r="844" ht="15.75" hidden="1" customHeight="1">
      <c r="A844" s="91"/>
      <c r="E844" s="91"/>
      <c r="H844" s="91"/>
      <c r="I844" s="91"/>
      <c r="M844" s="91"/>
      <c r="N844" s="91"/>
    </row>
    <row r="845" ht="15.75" hidden="1" customHeight="1">
      <c r="A845" s="91"/>
      <c r="E845" s="91"/>
      <c r="H845" s="91"/>
      <c r="I845" s="91"/>
      <c r="M845" s="91"/>
      <c r="N845" s="91"/>
    </row>
    <row r="846" ht="15.75" hidden="1" customHeight="1">
      <c r="A846" s="91"/>
      <c r="E846" s="91"/>
      <c r="H846" s="91"/>
      <c r="I846" s="91"/>
      <c r="M846" s="91"/>
      <c r="N846" s="91"/>
    </row>
    <row r="847" ht="15.75" hidden="1" customHeight="1">
      <c r="A847" s="91"/>
      <c r="E847" s="91"/>
      <c r="H847" s="91"/>
      <c r="I847" s="91"/>
      <c r="M847" s="91"/>
      <c r="N847" s="91"/>
    </row>
    <row r="848" ht="15.75" hidden="1" customHeight="1">
      <c r="A848" s="91"/>
      <c r="E848" s="91"/>
      <c r="H848" s="91"/>
      <c r="I848" s="91"/>
      <c r="M848" s="91"/>
      <c r="N848" s="91"/>
    </row>
    <row r="849" ht="15.75" hidden="1" customHeight="1">
      <c r="A849" s="91"/>
      <c r="E849" s="91"/>
      <c r="H849" s="91"/>
      <c r="I849" s="91"/>
      <c r="M849" s="91"/>
      <c r="N849" s="91"/>
    </row>
    <row r="850" ht="15.75" hidden="1" customHeight="1">
      <c r="A850" s="91"/>
      <c r="E850" s="91"/>
      <c r="H850" s="91"/>
      <c r="I850" s="91"/>
      <c r="M850" s="91"/>
      <c r="N850" s="91"/>
    </row>
    <row r="851" ht="15.75" hidden="1" customHeight="1">
      <c r="A851" s="91"/>
      <c r="E851" s="91"/>
      <c r="H851" s="91"/>
      <c r="I851" s="91"/>
      <c r="M851" s="91"/>
      <c r="N851" s="91"/>
    </row>
    <row r="852" ht="15.75" hidden="1" customHeight="1">
      <c r="A852" s="91"/>
      <c r="E852" s="91"/>
      <c r="H852" s="91"/>
      <c r="I852" s="91"/>
      <c r="M852" s="91"/>
      <c r="N852" s="91"/>
    </row>
    <row r="853" ht="15.75" hidden="1" customHeight="1">
      <c r="A853" s="91"/>
      <c r="E853" s="91"/>
      <c r="H853" s="91"/>
      <c r="I853" s="91"/>
      <c r="M853" s="91"/>
      <c r="N853" s="91"/>
    </row>
    <row r="854" ht="15.75" hidden="1" customHeight="1">
      <c r="A854" s="91"/>
      <c r="E854" s="91"/>
      <c r="H854" s="91"/>
      <c r="I854" s="91"/>
      <c r="M854" s="91"/>
      <c r="N854" s="91"/>
    </row>
    <row r="855" ht="15.75" hidden="1" customHeight="1">
      <c r="A855" s="91"/>
      <c r="E855" s="91"/>
      <c r="H855" s="91"/>
      <c r="I855" s="91"/>
      <c r="M855" s="91"/>
      <c r="N855" s="91"/>
    </row>
    <row r="856" ht="15.75" hidden="1" customHeight="1">
      <c r="A856" s="91"/>
      <c r="E856" s="91"/>
      <c r="H856" s="91"/>
      <c r="I856" s="91"/>
      <c r="M856" s="91"/>
      <c r="N856" s="91"/>
    </row>
    <row r="857" ht="15.75" hidden="1" customHeight="1">
      <c r="A857" s="91"/>
      <c r="E857" s="91"/>
      <c r="H857" s="91"/>
      <c r="I857" s="91"/>
      <c r="M857" s="91"/>
      <c r="N857" s="91"/>
    </row>
    <row r="858" ht="15.75" hidden="1" customHeight="1">
      <c r="A858" s="91"/>
      <c r="E858" s="91"/>
      <c r="H858" s="91"/>
      <c r="I858" s="91"/>
      <c r="M858" s="91"/>
      <c r="N858" s="91"/>
    </row>
    <row r="859" ht="15.75" hidden="1" customHeight="1">
      <c r="A859" s="91"/>
      <c r="E859" s="91"/>
      <c r="H859" s="91"/>
      <c r="I859" s="91"/>
      <c r="M859" s="91"/>
      <c r="N859" s="91"/>
    </row>
    <row r="860" ht="15.75" hidden="1" customHeight="1">
      <c r="A860" s="91"/>
      <c r="E860" s="91"/>
      <c r="H860" s="91"/>
      <c r="I860" s="91"/>
      <c r="M860" s="91"/>
      <c r="N860" s="91"/>
    </row>
    <row r="861" ht="15.75" hidden="1" customHeight="1">
      <c r="A861" s="91"/>
      <c r="E861" s="91"/>
      <c r="H861" s="91"/>
      <c r="I861" s="91"/>
      <c r="M861" s="91"/>
      <c r="N861" s="91"/>
    </row>
    <row r="862" ht="15.75" hidden="1" customHeight="1">
      <c r="A862" s="91"/>
      <c r="E862" s="91"/>
      <c r="H862" s="91"/>
      <c r="I862" s="91"/>
      <c r="M862" s="91"/>
      <c r="N862" s="91"/>
    </row>
    <row r="863" ht="15.75" hidden="1" customHeight="1">
      <c r="A863" s="91"/>
      <c r="E863" s="91"/>
      <c r="H863" s="91"/>
      <c r="I863" s="91"/>
      <c r="M863" s="91"/>
      <c r="N863" s="91"/>
    </row>
    <row r="864" ht="15.75" hidden="1" customHeight="1">
      <c r="A864" s="91"/>
      <c r="E864" s="91"/>
      <c r="H864" s="91"/>
      <c r="I864" s="91"/>
      <c r="M864" s="91"/>
      <c r="N864" s="91"/>
    </row>
    <row r="865" ht="15.75" hidden="1" customHeight="1">
      <c r="A865" s="91"/>
      <c r="E865" s="91"/>
      <c r="H865" s="91"/>
      <c r="I865" s="91"/>
      <c r="M865" s="91"/>
      <c r="N865" s="91"/>
    </row>
    <row r="866" ht="15.75" hidden="1" customHeight="1">
      <c r="A866" s="91"/>
      <c r="E866" s="91"/>
      <c r="H866" s="91"/>
      <c r="I866" s="91"/>
      <c r="M866" s="91"/>
      <c r="N866" s="91"/>
    </row>
    <row r="867" ht="15.75" hidden="1" customHeight="1">
      <c r="A867" s="91"/>
      <c r="E867" s="91"/>
      <c r="H867" s="91"/>
      <c r="I867" s="91"/>
      <c r="M867" s="91"/>
      <c r="N867" s="91"/>
    </row>
    <row r="868" ht="15.75" hidden="1" customHeight="1">
      <c r="A868" s="91"/>
      <c r="E868" s="91"/>
      <c r="H868" s="91"/>
      <c r="I868" s="91"/>
      <c r="M868" s="91"/>
      <c r="N868" s="91"/>
    </row>
    <row r="869" ht="15.75" hidden="1" customHeight="1">
      <c r="A869" s="91"/>
      <c r="E869" s="91"/>
      <c r="H869" s="91"/>
      <c r="I869" s="91"/>
      <c r="M869" s="91"/>
      <c r="N869" s="91"/>
    </row>
    <row r="870" ht="15.75" hidden="1" customHeight="1">
      <c r="A870" s="91"/>
      <c r="E870" s="91"/>
      <c r="H870" s="91"/>
      <c r="I870" s="91"/>
      <c r="M870" s="91"/>
      <c r="N870" s="91"/>
    </row>
    <row r="871" ht="15.75" hidden="1" customHeight="1">
      <c r="A871" s="91"/>
      <c r="E871" s="91"/>
      <c r="H871" s="91"/>
      <c r="I871" s="91"/>
      <c r="M871" s="91"/>
      <c r="N871" s="91"/>
    </row>
    <row r="872" ht="15.75" hidden="1" customHeight="1">
      <c r="A872" s="91"/>
      <c r="E872" s="91"/>
      <c r="H872" s="91"/>
      <c r="I872" s="91"/>
      <c r="M872" s="91"/>
      <c r="N872" s="91"/>
    </row>
    <row r="873" ht="15.75" hidden="1" customHeight="1">
      <c r="A873" s="91"/>
      <c r="E873" s="91"/>
      <c r="H873" s="91"/>
      <c r="I873" s="91"/>
      <c r="M873" s="91"/>
      <c r="N873" s="91"/>
    </row>
    <row r="874" ht="15.75" hidden="1" customHeight="1">
      <c r="A874" s="91"/>
      <c r="E874" s="91"/>
      <c r="H874" s="91"/>
      <c r="I874" s="91"/>
      <c r="M874" s="91"/>
      <c r="N874" s="91"/>
    </row>
    <row r="875" ht="15.75" hidden="1" customHeight="1">
      <c r="A875" s="91"/>
      <c r="E875" s="91"/>
      <c r="H875" s="91"/>
      <c r="I875" s="91"/>
      <c r="M875" s="91"/>
      <c r="N875" s="91"/>
    </row>
    <row r="876" ht="15.75" hidden="1" customHeight="1">
      <c r="A876" s="91"/>
      <c r="E876" s="91"/>
      <c r="H876" s="91"/>
      <c r="I876" s="91"/>
      <c r="M876" s="91"/>
      <c r="N876" s="91"/>
    </row>
    <row r="877" ht="15.75" hidden="1" customHeight="1">
      <c r="A877" s="91"/>
      <c r="E877" s="91"/>
      <c r="H877" s="91"/>
      <c r="I877" s="91"/>
      <c r="M877" s="91"/>
      <c r="N877" s="91"/>
    </row>
    <row r="878" ht="15.75" hidden="1" customHeight="1">
      <c r="A878" s="91"/>
      <c r="E878" s="91"/>
      <c r="H878" s="91"/>
      <c r="I878" s="91"/>
      <c r="M878" s="91"/>
      <c r="N878" s="91"/>
    </row>
    <row r="879" ht="15.75" hidden="1" customHeight="1">
      <c r="A879" s="91"/>
      <c r="E879" s="91"/>
      <c r="H879" s="91"/>
      <c r="I879" s="91"/>
      <c r="M879" s="91"/>
      <c r="N879" s="91"/>
    </row>
    <row r="880" ht="15.75" hidden="1" customHeight="1">
      <c r="A880" s="91"/>
      <c r="E880" s="91"/>
      <c r="H880" s="91"/>
      <c r="I880" s="91"/>
      <c r="M880" s="91"/>
      <c r="N880" s="91"/>
    </row>
    <row r="881" ht="15.75" hidden="1" customHeight="1">
      <c r="A881" s="91"/>
      <c r="E881" s="91"/>
      <c r="H881" s="91"/>
      <c r="I881" s="91"/>
      <c r="M881" s="91"/>
      <c r="N881" s="91"/>
    </row>
    <row r="882" ht="15.75" hidden="1" customHeight="1">
      <c r="A882" s="91"/>
      <c r="E882" s="91"/>
      <c r="H882" s="91"/>
      <c r="I882" s="91"/>
      <c r="M882" s="91"/>
      <c r="N882" s="91"/>
    </row>
    <row r="883" ht="15.75" hidden="1" customHeight="1">
      <c r="A883" s="91"/>
      <c r="E883" s="91"/>
      <c r="H883" s="91"/>
      <c r="I883" s="91"/>
      <c r="M883" s="91"/>
      <c r="N883" s="91"/>
    </row>
    <row r="884" ht="15.75" hidden="1" customHeight="1">
      <c r="A884" s="91"/>
      <c r="E884" s="91"/>
      <c r="H884" s="91"/>
      <c r="I884" s="91"/>
      <c r="M884" s="91"/>
      <c r="N884" s="91"/>
    </row>
    <row r="885" ht="15.75" hidden="1" customHeight="1">
      <c r="A885" s="91"/>
      <c r="E885" s="91"/>
      <c r="H885" s="91"/>
      <c r="I885" s="91"/>
      <c r="M885" s="91"/>
      <c r="N885" s="91"/>
    </row>
    <row r="886" ht="15.75" hidden="1" customHeight="1">
      <c r="A886" s="91"/>
      <c r="E886" s="91"/>
      <c r="H886" s="91"/>
      <c r="I886" s="91"/>
      <c r="M886" s="91"/>
      <c r="N886" s="91"/>
    </row>
    <row r="887" ht="15.75" hidden="1" customHeight="1">
      <c r="A887" s="91"/>
      <c r="E887" s="91"/>
      <c r="H887" s="91"/>
      <c r="I887" s="91"/>
      <c r="M887" s="91"/>
      <c r="N887" s="91"/>
    </row>
    <row r="888" ht="15.75" hidden="1" customHeight="1">
      <c r="A888" s="91"/>
      <c r="E888" s="91"/>
      <c r="H888" s="91"/>
      <c r="I888" s="91"/>
      <c r="M888" s="91"/>
      <c r="N888" s="91"/>
    </row>
    <row r="889" ht="15.75" hidden="1" customHeight="1">
      <c r="A889" s="91"/>
      <c r="E889" s="91"/>
      <c r="H889" s="91"/>
      <c r="I889" s="91"/>
      <c r="M889" s="91"/>
      <c r="N889" s="91"/>
    </row>
    <row r="890" ht="15.75" hidden="1" customHeight="1">
      <c r="A890" s="91"/>
      <c r="E890" s="91"/>
      <c r="H890" s="91"/>
      <c r="I890" s="91"/>
      <c r="M890" s="91"/>
      <c r="N890" s="91"/>
    </row>
    <row r="891" ht="15.75" hidden="1" customHeight="1">
      <c r="A891" s="91"/>
      <c r="E891" s="91"/>
      <c r="H891" s="91"/>
      <c r="I891" s="91"/>
      <c r="M891" s="91"/>
      <c r="N891" s="91"/>
    </row>
    <row r="892" ht="15.75" hidden="1" customHeight="1">
      <c r="A892" s="91"/>
      <c r="E892" s="91"/>
      <c r="H892" s="91"/>
      <c r="I892" s="91"/>
      <c r="M892" s="91"/>
      <c r="N892" s="91"/>
    </row>
    <row r="893" ht="15.75" hidden="1" customHeight="1">
      <c r="A893" s="91"/>
      <c r="E893" s="91"/>
      <c r="H893" s="91"/>
      <c r="I893" s="91"/>
      <c r="M893" s="91"/>
      <c r="N893" s="91"/>
    </row>
    <row r="894" ht="15.75" hidden="1" customHeight="1">
      <c r="A894" s="91"/>
      <c r="E894" s="91"/>
      <c r="H894" s="91"/>
      <c r="I894" s="91"/>
      <c r="M894" s="91"/>
      <c r="N894" s="91"/>
    </row>
    <row r="895" ht="15.75" hidden="1" customHeight="1">
      <c r="A895" s="91"/>
      <c r="E895" s="91"/>
      <c r="H895" s="91"/>
      <c r="I895" s="91"/>
      <c r="M895" s="91"/>
      <c r="N895" s="91"/>
    </row>
    <row r="896" ht="15.75" hidden="1" customHeight="1">
      <c r="A896" s="91"/>
      <c r="E896" s="91"/>
      <c r="H896" s="91"/>
      <c r="I896" s="91"/>
      <c r="M896" s="91"/>
      <c r="N896" s="91"/>
    </row>
    <row r="897" ht="15.75" hidden="1" customHeight="1">
      <c r="A897" s="91"/>
      <c r="E897" s="91"/>
      <c r="H897" s="91"/>
      <c r="I897" s="91"/>
      <c r="M897" s="91"/>
      <c r="N897" s="91"/>
    </row>
    <row r="898" ht="15.75" hidden="1" customHeight="1">
      <c r="A898" s="91"/>
      <c r="E898" s="91"/>
      <c r="H898" s="91"/>
      <c r="I898" s="91"/>
      <c r="M898" s="91"/>
      <c r="N898" s="91"/>
    </row>
    <row r="899" ht="15.75" hidden="1" customHeight="1">
      <c r="A899" s="91"/>
      <c r="E899" s="91"/>
      <c r="H899" s="91"/>
      <c r="I899" s="91"/>
      <c r="M899" s="91"/>
      <c r="N899" s="91"/>
    </row>
    <row r="900" ht="15.75" hidden="1" customHeight="1">
      <c r="A900" s="91"/>
      <c r="E900" s="91"/>
      <c r="H900" s="91"/>
      <c r="I900" s="91"/>
      <c r="M900" s="91"/>
      <c r="N900" s="91"/>
    </row>
    <row r="901" ht="15.75" hidden="1" customHeight="1">
      <c r="A901" s="91"/>
      <c r="E901" s="91"/>
      <c r="H901" s="91"/>
      <c r="I901" s="91"/>
      <c r="M901" s="91"/>
      <c r="N901" s="91"/>
    </row>
    <row r="902" ht="15.75" hidden="1" customHeight="1">
      <c r="A902" s="91"/>
      <c r="E902" s="91"/>
      <c r="H902" s="91"/>
      <c r="I902" s="91"/>
      <c r="M902" s="91"/>
      <c r="N902" s="91"/>
    </row>
    <row r="903" ht="15.75" hidden="1" customHeight="1">
      <c r="A903" s="91"/>
      <c r="E903" s="91"/>
      <c r="H903" s="91"/>
      <c r="I903" s="91"/>
      <c r="M903" s="91"/>
      <c r="N903" s="91"/>
    </row>
    <row r="904" ht="15.75" hidden="1" customHeight="1">
      <c r="A904" s="91"/>
      <c r="E904" s="91"/>
      <c r="H904" s="91"/>
      <c r="I904" s="91"/>
      <c r="M904" s="91"/>
      <c r="N904" s="91"/>
    </row>
    <row r="905" ht="15.75" hidden="1" customHeight="1">
      <c r="A905" s="91"/>
      <c r="E905" s="91"/>
      <c r="H905" s="91"/>
      <c r="I905" s="91"/>
      <c r="M905" s="91"/>
      <c r="N905" s="91"/>
    </row>
    <row r="906" ht="15.75" hidden="1" customHeight="1">
      <c r="A906" s="91"/>
      <c r="E906" s="91"/>
      <c r="H906" s="91"/>
      <c r="I906" s="91"/>
      <c r="M906" s="91"/>
      <c r="N906" s="91"/>
    </row>
    <row r="907" ht="15.75" hidden="1" customHeight="1">
      <c r="A907" s="91"/>
      <c r="E907" s="91"/>
      <c r="H907" s="91"/>
      <c r="I907" s="91"/>
      <c r="M907" s="91"/>
      <c r="N907" s="91"/>
    </row>
    <row r="908" ht="15.75" hidden="1" customHeight="1">
      <c r="A908" s="91"/>
      <c r="E908" s="91"/>
      <c r="H908" s="91"/>
      <c r="I908" s="91"/>
      <c r="M908" s="91"/>
      <c r="N908" s="91"/>
    </row>
    <row r="909" ht="15.75" hidden="1" customHeight="1">
      <c r="A909" s="91"/>
      <c r="E909" s="91"/>
      <c r="H909" s="91"/>
      <c r="I909" s="91"/>
      <c r="M909" s="91"/>
      <c r="N909" s="91"/>
    </row>
    <row r="910" ht="15.75" hidden="1" customHeight="1">
      <c r="A910" s="91"/>
      <c r="E910" s="91"/>
      <c r="H910" s="91"/>
      <c r="I910" s="91"/>
      <c r="M910" s="91"/>
      <c r="N910" s="91"/>
    </row>
    <row r="911" ht="15.75" hidden="1" customHeight="1">
      <c r="A911" s="91"/>
      <c r="E911" s="91"/>
      <c r="H911" s="91"/>
      <c r="I911" s="91"/>
      <c r="M911" s="91"/>
      <c r="N911" s="91"/>
    </row>
    <row r="912" ht="15.75" hidden="1" customHeight="1">
      <c r="A912" s="91"/>
      <c r="E912" s="91"/>
      <c r="H912" s="91"/>
      <c r="I912" s="91"/>
      <c r="M912" s="91"/>
      <c r="N912" s="91"/>
    </row>
    <row r="913" ht="15.75" hidden="1" customHeight="1">
      <c r="A913" s="91"/>
      <c r="E913" s="91"/>
      <c r="H913" s="91"/>
      <c r="I913" s="91"/>
      <c r="M913" s="91"/>
      <c r="N913" s="91"/>
    </row>
    <row r="914" ht="15.75" hidden="1" customHeight="1">
      <c r="A914" s="91"/>
      <c r="E914" s="91"/>
      <c r="H914" s="91"/>
      <c r="I914" s="91"/>
      <c r="M914" s="91"/>
      <c r="N914" s="91"/>
    </row>
    <row r="915" ht="15.75" hidden="1" customHeight="1">
      <c r="A915" s="91"/>
      <c r="E915" s="91"/>
      <c r="H915" s="91"/>
      <c r="I915" s="91"/>
      <c r="M915" s="91"/>
      <c r="N915" s="91"/>
    </row>
    <row r="916" ht="15.75" hidden="1" customHeight="1">
      <c r="A916" s="91"/>
      <c r="E916" s="91"/>
      <c r="H916" s="91"/>
      <c r="I916" s="91"/>
      <c r="M916" s="91"/>
      <c r="N916" s="91"/>
    </row>
    <row r="917" ht="15.75" hidden="1" customHeight="1">
      <c r="A917" s="91"/>
      <c r="E917" s="91"/>
      <c r="H917" s="91"/>
      <c r="I917" s="91"/>
      <c r="M917" s="91"/>
      <c r="N917" s="91"/>
    </row>
    <row r="918" ht="15.75" hidden="1" customHeight="1">
      <c r="A918" s="91"/>
      <c r="E918" s="91"/>
      <c r="H918" s="91"/>
      <c r="I918" s="91"/>
      <c r="M918" s="91"/>
      <c r="N918" s="91"/>
    </row>
    <row r="919" ht="15.75" hidden="1" customHeight="1">
      <c r="A919" s="91"/>
      <c r="E919" s="91"/>
      <c r="H919" s="91"/>
      <c r="I919" s="91"/>
      <c r="M919" s="91"/>
      <c r="N919" s="91"/>
    </row>
    <row r="920" ht="15.75" hidden="1" customHeight="1">
      <c r="A920" s="91"/>
      <c r="E920" s="91"/>
      <c r="H920" s="91"/>
      <c r="I920" s="91"/>
      <c r="M920" s="91"/>
      <c r="N920" s="91"/>
    </row>
    <row r="921" ht="15.75" hidden="1" customHeight="1">
      <c r="A921" s="91"/>
      <c r="E921" s="91"/>
      <c r="H921" s="91"/>
      <c r="I921" s="91"/>
      <c r="M921" s="91"/>
      <c r="N921" s="91"/>
    </row>
    <row r="922" ht="15.75" hidden="1" customHeight="1">
      <c r="A922" s="91"/>
      <c r="E922" s="91"/>
      <c r="H922" s="91"/>
      <c r="I922" s="91"/>
      <c r="M922" s="91"/>
      <c r="N922" s="91"/>
    </row>
    <row r="923" ht="15.75" hidden="1" customHeight="1">
      <c r="A923" s="91"/>
      <c r="E923" s="91"/>
      <c r="H923" s="91"/>
      <c r="I923" s="91"/>
      <c r="M923" s="91"/>
      <c r="N923" s="91"/>
    </row>
    <row r="924" ht="15.75" hidden="1" customHeight="1">
      <c r="A924" s="91"/>
      <c r="E924" s="91"/>
      <c r="H924" s="91"/>
      <c r="I924" s="91"/>
      <c r="M924" s="91"/>
      <c r="N924" s="91"/>
    </row>
    <row r="925" ht="15.75" hidden="1" customHeight="1">
      <c r="A925" s="91"/>
      <c r="E925" s="91"/>
      <c r="H925" s="91"/>
      <c r="I925" s="91"/>
      <c r="M925" s="91"/>
      <c r="N925" s="91"/>
    </row>
    <row r="926" ht="15.75" hidden="1" customHeight="1">
      <c r="A926" s="91"/>
      <c r="E926" s="91"/>
      <c r="H926" s="91"/>
      <c r="I926" s="91"/>
      <c r="M926" s="91"/>
      <c r="N926" s="91"/>
    </row>
    <row r="927" ht="15.75" hidden="1" customHeight="1">
      <c r="A927" s="91"/>
      <c r="E927" s="91"/>
      <c r="H927" s="91"/>
      <c r="I927" s="91"/>
      <c r="M927" s="91"/>
      <c r="N927" s="91"/>
    </row>
    <row r="928" ht="15.75" hidden="1" customHeight="1">
      <c r="A928" s="91"/>
      <c r="E928" s="91"/>
      <c r="H928" s="91"/>
      <c r="I928" s="91"/>
      <c r="M928" s="91"/>
      <c r="N928" s="91"/>
    </row>
    <row r="929" ht="15.75" hidden="1" customHeight="1">
      <c r="A929" s="91"/>
      <c r="E929" s="91"/>
      <c r="H929" s="91"/>
      <c r="I929" s="91"/>
      <c r="M929" s="91"/>
      <c r="N929" s="91"/>
    </row>
    <row r="930" ht="15.75" hidden="1" customHeight="1">
      <c r="A930" s="91"/>
      <c r="E930" s="91"/>
      <c r="H930" s="91"/>
      <c r="I930" s="91"/>
      <c r="M930" s="91"/>
      <c r="N930" s="91"/>
    </row>
    <row r="931" ht="15.75" hidden="1" customHeight="1">
      <c r="A931" s="91"/>
      <c r="E931" s="91"/>
      <c r="H931" s="91"/>
      <c r="I931" s="91"/>
      <c r="M931" s="91"/>
      <c r="N931" s="91"/>
    </row>
    <row r="932" ht="15.75" hidden="1" customHeight="1">
      <c r="A932" s="91"/>
      <c r="E932" s="91"/>
      <c r="H932" s="91"/>
      <c r="I932" s="91"/>
      <c r="M932" s="91"/>
      <c r="N932" s="91"/>
    </row>
    <row r="933" ht="15.75" hidden="1" customHeight="1">
      <c r="A933" s="91"/>
      <c r="E933" s="91"/>
      <c r="H933" s="91"/>
      <c r="I933" s="91"/>
      <c r="M933" s="91"/>
      <c r="N933" s="91"/>
    </row>
    <row r="934" ht="15.75" hidden="1" customHeight="1">
      <c r="A934" s="91"/>
      <c r="E934" s="91"/>
      <c r="H934" s="91"/>
      <c r="I934" s="91"/>
      <c r="M934" s="91"/>
      <c r="N934" s="91"/>
    </row>
    <row r="935" ht="15.75" hidden="1" customHeight="1">
      <c r="A935" s="91"/>
      <c r="E935" s="91"/>
      <c r="H935" s="91"/>
      <c r="I935" s="91"/>
      <c r="M935" s="91"/>
      <c r="N935" s="91"/>
    </row>
    <row r="936" ht="15.75" hidden="1" customHeight="1">
      <c r="A936" s="91"/>
      <c r="E936" s="91"/>
      <c r="H936" s="91"/>
      <c r="I936" s="91"/>
      <c r="M936" s="91"/>
      <c r="N936" s="91"/>
    </row>
    <row r="937" ht="15.75" hidden="1" customHeight="1">
      <c r="A937" s="91"/>
      <c r="E937" s="91"/>
      <c r="H937" s="91"/>
      <c r="I937" s="91"/>
      <c r="M937" s="91"/>
      <c r="N937" s="91"/>
    </row>
    <row r="938" ht="15.75" hidden="1" customHeight="1">
      <c r="A938" s="91"/>
      <c r="E938" s="91"/>
      <c r="H938" s="91"/>
      <c r="I938" s="91"/>
      <c r="M938" s="91"/>
      <c r="N938" s="91"/>
    </row>
    <row r="939" ht="15.75" hidden="1" customHeight="1">
      <c r="A939" s="91"/>
      <c r="E939" s="91"/>
      <c r="H939" s="91"/>
      <c r="I939" s="91"/>
      <c r="M939" s="91"/>
      <c r="N939" s="91"/>
    </row>
    <row r="940" ht="15.75" hidden="1" customHeight="1">
      <c r="A940" s="91"/>
      <c r="E940" s="91"/>
      <c r="H940" s="91"/>
      <c r="I940" s="91"/>
      <c r="M940" s="91"/>
      <c r="N940" s="91"/>
    </row>
    <row r="941" ht="15.75" hidden="1" customHeight="1">
      <c r="A941" s="91"/>
      <c r="E941" s="91"/>
      <c r="H941" s="91"/>
      <c r="I941" s="91"/>
      <c r="M941" s="91"/>
      <c r="N941" s="91"/>
    </row>
    <row r="942" ht="15.75" hidden="1" customHeight="1">
      <c r="A942" s="91"/>
      <c r="E942" s="91"/>
      <c r="H942" s="91"/>
      <c r="I942" s="91"/>
      <c r="M942" s="91"/>
      <c r="N942" s="91"/>
    </row>
    <row r="943" ht="15.75" hidden="1" customHeight="1">
      <c r="A943" s="91"/>
      <c r="E943" s="91"/>
      <c r="H943" s="91"/>
      <c r="I943" s="91"/>
      <c r="M943" s="91"/>
      <c r="N943" s="91"/>
    </row>
    <row r="944" ht="15.75" hidden="1" customHeight="1">
      <c r="A944" s="91"/>
      <c r="E944" s="91"/>
      <c r="H944" s="91"/>
      <c r="I944" s="91"/>
      <c r="M944" s="91"/>
      <c r="N944" s="91"/>
    </row>
    <row r="945" ht="15.75" hidden="1" customHeight="1">
      <c r="A945" s="91"/>
      <c r="E945" s="91"/>
      <c r="H945" s="91"/>
      <c r="I945" s="91"/>
      <c r="M945" s="91"/>
      <c r="N945" s="91"/>
    </row>
    <row r="946" ht="15.75" hidden="1" customHeight="1">
      <c r="A946" s="91"/>
      <c r="E946" s="91"/>
      <c r="H946" s="91"/>
      <c r="I946" s="91"/>
      <c r="M946" s="91"/>
      <c r="N946" s="91"/>
    </row>
    <row r="947" ht="15.75" hidden="1" customHeight="1">
      <c r="A947" s="91"/>
      <c r="E947" s="91"/>
      <c r="H947" s="91"/>
      <c r="I947" s="91"/>
      <c r="M947" s="91"/>
      <c r="N947" s="91"/>
    </row>
    <row r="948" ht="15.75" hidden="1" customHeight="1">
      <c r="A948" s="91"/>
      <c r="E948" s="91"/>
      <c r="H948" s="91"/>
      <c r="I948" s="91"/>
      <c r="M948" s="91"/>
      <c r="N948" s="91"/>
    </row>
    <row r="949" ht="15.75" hidden="1" customHeight="1">
      <c r="A949" s="91"/>
      <c r="E949" s="91"/>
      <c r="H949" s="91"/>
      <c r="I949" s="91"/>
      <c r="M949" s="91"/>
      <c r="N949" s="91"/>
    </row>
    <row r="950" ht="15.75" hidden="1" customHeight="1">
      <c r="A950" s="91"/>
      <c r="E950" s="91"/>
      <c r="H950" s="91"/>
      <c r="I950" s="91"/>
      <c r="M950" s="91"/>
      <c r="N950" s="91"/>
    </row>
    <row r="951" ht="15.75" hidden="1" customHeight="1">
      <c r="A951" s="91"/>
      <c r="E951" s="91"/>
      <c r="H951" s="91"/>
      <c r="I951" s="91"/>
      <c r="M951" s="91"/>
      <c r="N951" s="91"/>
    </row>
    <row r="952" ht="15.75" hidden="1" customHeight="1">
      <c r="A952" s="91"/>
      <c r="E952" s="91"/>
      <c r="H952" s="91"/>
      <c r="I952" s="91"/>
      <c r="M952" s="91"/>
      <c r="N952" s="91"/>
    </row>
    <row r="953" ht="15.75" hidden="1" customHeight="1">
      <c r="A953" s="91"/>
      <c r="E953" s="91"/>
      <c r="H953" s="91"/>
      <c r="I953" s="91"/>
      <c r="M953" s="91"/>
      <c r="N953" s="91"/>
    </row>
    <row r="954" ht="15.75" hidden="1" customHeight="1">
      <c r="A954" s="91"/>
      <c r="E954" s="91"/>
      <c r="H954" s="91"/>
      <c r="I954" s="91"/>
      <c r="M954" s="91"/>
      <c r="N954" s="91"/>
    </row>
    <row r="955" ht="15.75" hidden="1" customHeight="1">
      <c r="A955" s="91"/>
      <c r="E955" s="91"/>
      <c r="H955" s="91"/>
      <c r="I955" s="91"/>
      <c r="M955" s="91"/>
      <c r="N955" s="91"/>
    </row>
    <row r="956" ht="15.75" hidden="1" customHeight="1">
      <c r="A956" s="91"/>
      <c r="E956" s="91"/>
      <c r="H956" s="91"/>
      <c r="I956" s="91"/>
      <c r="M956" s="91"/>
      <c r="N956" s="91"/>
    </row>
    <row r="957" ht="15.75" hidden="1" customHeight="1">
      <c r="A957" s="91"/>
      <c r="E957" s="91"/>
      <c r="H957" s="91"/>
      <c r="I957" s="91"/>
      <c r="M957" s="91"/>
      <c r="N957" s="91"/>
    </row>
    <row r="958" ht="15.75" hidden="1" customHeight="1">
      <c r="A958" s="91"/>
      <c r="E958" s="91"/>
      <c r="H958" s="91"/>
      <c r="I958" s="91"/>
      <c r="M958" s="91"/>
      <c r="N958" s="91"/>
    </row>
    <row r="959" ht="15.75" hidden="1" customHeight="1">
      <c r="A959" s="91"/>
      <c r="E959" s="91"/>
      <c r="H959" s="91"/>
      <c r="I959" s="91"/>
      <c r="M959" s="91"/>
      <c r="N959" s="91"/>
    </row>
    <row r="960" ht="15.75" hidden="1" customHeight="1">
      <c r="A960" s="91"/>
      <c r="E960" s="91"/>
      <c r="H960" s="91"/>
      <c r="I960" s="91"/>
      <c r="M960" s="91"/>
      <c r="N960" s="91"/>
    </row>
    <row r="961" ht="15.75" hidden="1" customHeight="1">
      <c r="A961" s="91"/>
      <c r="E961" s="91"/>
      <c r="H961" s="91"/>
      <c r="I961" s="91"/>
      <c r="M961" s="91"/>
      <c r="N961" s="91"/>
    </row>
    <row r="962" ht="15.75" hidden="1" customHeight="1">
      <c r="A962" s="91"/>
      <c r="E962" s="91"/>
      <c r="H962" s="91"/>
      <c r="I962" s="91"/>
      <c r="M962" s="91"/>
      <c r="N962" s="91"/>
    </row>
    <row r="963" ht="15.75" hidden="1" customHeight="1">
      <c r="A963" s="91"/>
      <c r="E963" s="91"/>
      <c r="H963" s="91"/>
      <c r="I963" s="91"/>
      <c r="M963" s="91"/>
      <c r="N963" s="91"/>
    </row>
    <row r="964" ht="15.75" hidden="1" customHeight="1">
      <c r="A964" s="91"/>
      <c r="E964" s="91"/>
      <c r="H964" s="91"/>
      <c r="I964" s="91"/>
      <c r="M964" s="91"/>
      <c r="N964" s="91"/>
    </row>
    <row r="965" ht="15.75" hidden="1" customHeight="1">
      <c r="A965" s="91"/>
      <c r="E965" s="91"/>
      <c r="H965" s="91"/>
      <c r="I965" s="91"/>
      <c r="M965" s="91"/>
      <c r="N965" s="91"/>
    </row>
    <row r="966" ht="15.75" hidden="1" customHeight="1">
      <c r="A966" s="91"/>
      <c r="E966" s="91"/>
      <c r="H966" s="91"/>
      <c r="I966" s="91"/>
      <c r="M966" s="91"/>
      <c r="N966" s="91"/>
    </row>
    <row r="967" ht="15.75" hidden="1" customHeight="1">
      <c r="A967" s="91"/>
      <c r="E967" s="91"/>
      <c r="H967" s="91"/>
      <c r="I967" s="91"/>
      <c r="M967" s="91"/>
      <c r="N967" s="91"/>
    </row>
    <row r="968" ht="15.75" hidden="1" customHeight="1">
      <c r="A968" s="91"/>
      <c r="E968" s="91"/>
      <c r="H968" s="91"/>
      <c r="I968" s="91"/>
      <c r="M968" s="91"/>
      <c r="N968" s="91"/>
    </row>
    <row r="969" ht="15.75" hidden="1" customHeight="1">
      <c r="A969" s="91"/>
      <c r="E969" s="91"/>
      <c r="H969" s="91"/>
      <c r="I969" s="91"/>
      <c r="M969" s="91"/>
      <c r="N969" s="91"/>
    </row>
    <row r="970" ht="15.75" hidden="1" customHeight="1">
      <c r="A970" s="91"/>
      <c r="E970" s="91"/>
      <c r="H970" s="91"/>
      <c r="I970" s="91"/>
      <c r="M970" s="91"/>
      <c r="N970" s="91"/>
    </row>
    <row r="971" ht="15.75" hidden="1" customHeight="1">
      <c r="A971" s="91"/>
      <c r="E971" s="91"/>
      <c r="H971" s="91"/>
      <c r="I971" s="91"/>
      <c r="M971" s="91"/>
      <c r="N971" s="91"/>
    </row>
    <row r="972" ht="15.75" hidden="1" customHeight="1">
      <c r="A972" s="91"/>
      <c r="E972" s="91"/>
      <c r="H972" s="91"/>
      <c r="I972" s="91"/>
      <c r="M972" s="91"/>
      <c r="N972" s="91"/>
    </row>
    <row r="973" ht="15.75" hidden="1" customHeight="1">
      <c r="A973" s="91"/>
      <c r="E973" s="91"/>
      <c r="H973" s="91"/>
      <c r="I973" s="91"/>
      <c r="M973" s="91"/>
      <c r="N973" s="91"/>
    </row>
    <row r="974" ht="15.75" hidden="1" customHeight="1">
      <c r="A974" s="91"/>
      <c r="E974" s="91"/>
      <c r="H974" s="91"/>
      <c r="I974" s="91"/>
      <c r="M974" s="91"/>
      <c r="N974" s="91"/>
    </row>
    <row r="975" ht="15.75" hidden="1" customHeight="1">
      <c r="A975" s="91"/>
      <c r="E975" s="91"/>
      <c r="H975" s="91"/>
      <c r="I975" s="91"/>
      <c r="M975" s="91"/>
      <c r="N975" s="91"/>
    </row>
    <row r="976" ht="15.75" hidden="1" customHeight="1">
      <c r="A976" s="91"/>
      <c r="E976" s="91"/>
      <c r="H976" s="91"/>
      <c r="I976" s="91"/>
      <c r="M976" s="91"/>
      <c r="N976" s="91"/>
    </row>
    <row r="977" ht="15.75" hidden="1" customHeight="1">
      <c r="A977" s="91"/>
      <c r="E977" s="91"/>
      <c r="H977" s="91"/>
      <c r="I977" s="91"/>
      <c r="M977" s="91"/>
      <c r="N977" s="91"/>
    </row>
    <row r="978" ht="15.75" hidden="1" customHeight="1">
      <c r="A978" s="91"/>
      <c r="E978" s="91"/>
      <c r="H978" s="91"/>
      <c r="I978" s="91"/>
      <c r="M978" s="91"/>
      <c r="N978" s="91"/>
    </row>
    <row r="979" ht="15.75" hidden="1" customHeight="1">
      <c r="A979" s="91"/>
      <c r="E979" s="91"/>
      <c r="H979" s="91"/>
      <c r="I979" s="91"/>
      <c r="M979" s="91"/>
      <c r="N979" s="91"/>
    </row>
    <row r="980" ht="15.75" hidden="1" customHeight="1">
      <c r="A980" s="91"/>
      <c r="E980" s="91"/>
      <c r="H980" s="91"/>
      <c r="I980" s="91"/>
      <c r="M980" s="91"/>
      <c r="N980" s="91"/>
    </row>
    <row r="981" ht="15.75" hidden="1" customHeight="1">
      <c r="A981" s="91"/>
      <c r="E981" s="91"/>
      <c r="H981" s="91"/>
      <c r="I981" s="91"/>
      <c r="M981" s="91"/>
      <c r="N981" s="91"/>
    </row>
    <row r="982" ht="15.75" hidden="1" customHeight="1">
      <c r="A982" s="91"/>
      <c r="E982" s="91"/>
      <c r="H982" s="91"/>
      <c r="I982" s="91"/>
      <c r="M982" s="91"/>
      <c r="N982" s="91"/>
    </row>
    <row r="983" ht="15.75" hidden="1" customHeight="1">
      <c r="A983" s="91"/>
      <c r="E983" s="91"/>
      <c r="H983" s="91"/>
      <c r="I983" s="91"/>
      <c r="M983" s="91"/>
      <c r="N983" s="91"/>
    </row>
    <row r="984" ht="15.75" hidden="1" customHeight="1">
      <c r="A984" s="91"/>
      <c r="E984" s="91"/>
      <c r="H984" s="91"/>
      <c r="I984" s="91"/>
      <c r="M984" s="91"/>
      <c r="N984" s="91"/>
    </row>
    <row r="985" ht="15.75" hidden="1" customHeight="1">
      <c r="A985" s="91"/>
      <c r="E985" s="91"/>
      <c r="H985" s="91"/>
      <c r="I985" s="91"/>
      <c r="M985" s="91"/>
      <c r="N985" s="91"/>
    </row>
    <row r="986" ht="15.75" hidden="1" customHeight="1">
      <c r="A986" s="91"/>
      <c r="E986" s="91"/>
      <c r="H986" s="91"/>
      <c r="I986" s="91"/>
      <c r="M986" s="91"/>
      <c r="N986" s="91"/>
    </row>
    <row r="987" ht="15.75" hidden="1" customHeight="1">
      <c r="A987" s="91"/>
      <c r="E987" s="91"/>
      <c r="H987" s="91"/>
      <c r="I987" s="91"/>
      <c r="M987" s="91"/>
      <c r="N987" s="91"/>
    </row>
    <row r="988" ht="15.75" hidden="1" customHeight="1">
      <c r="A988" s="91"/>
      <c r="E988" s="91"/>
      <c r="H988" s="91"/>
      <c r="I988" s="91"/>
      <c r="M988" s="91"/>
      <c r="N988" s="91"/>
    </row>
    <row r="989" ht="15.75" hidden="1" customHeight="1">
      <c r="A989" s="91"/>
      <c r="E989" s="91"/>
      <c r="H989" s="91"/>
      <c r="I989" s="91"/>
      <c r="M989" s="91"/>
      <c r="N989" s="91"/>
    </row>
    <row r="990" ht="15.75" hidden="1" customHeight="1">
      <c r="A990" s="91"/>
      <c r="E990" s="91"/>
      <c r="H990" s="91"/>
      <c r="I990" s="91"/>
      <c r="M990" s="91"/>
      <c r="N990" s="91"/>
    </row>
    <row r="991" ht="15.75" hidden="1" customHeight="1">
      <c r="A991" s="91"/>
      <c r="E991" s="91"/>
      <c r="H991" s="91"/>
      <c r="I991" s="91"/>
      <c r="M991" s="91"/>
      <c r="N991" s="91"/>
    </row>
    <row r="992" ht="15.75" hidden="1" customHeight="1">
      <c r="A992" s="91"/>
      <c r="E992" s="91"/>
      <c r="H992" s="91"/>
      <c r="I992" s="91"/>
      <c r="M992" s="91"/>
      <c r="N992" s="91"/>
    </row>
    <row r="993" ht="15.75" hidden="1" customHeight="1">
      <c r="A993" s="91"/>
      <c r="E993" s="91"/>
      <c r="H993" s="91"/>
      <c r="I993" s="91"/>
      <c r="M993" s="91"/>
      <c r="N993" s="91"/>
    </row>
    <row r="994" ht="15.75" hidden="1" customHeight="1">
      <c r="A994" s="91"/>
      <c r="E994" s="91"/>
      <c r="H994" s="91"/>
      <c r="I994" s="91"/>
      <c r="M994" s="91"/>
      <c r="N994" s="91"/>
    </row>
    <row r="995" ht="15.75" hidden="1" customHeight="1">
      <c r="A995" s="91"/>
      <c r="E995" s="91"/>
      <c r="H995" s="91"/>
      <c r="I995" s="91"/>
      <c r="M995" s="91"/>
      <c r="N995" s="91"/>
    </row>
    <row r="996" ht="15.75" hidden="1" customHeight="1">
      <c r="A996" s="91"/>
      <c r="E996" s="91"/>
      <c r="H996" s="91"/>
      <c r="I996" s="91"/>
      <c r="M996" s="91"/>
      <c r="N996" s="91"/>
    </row>
    <row r="997" ht="15.75" hidden="1" customHeight="1">
      <c r="A997" s="91"/>
      <c r="E997" s="91"/>
      <c r="H997" s="91"/>
      <c r="I997" s="91"/>
      <c r="M997" s="91"/>
      <c r="N997" s="91"/>
    </row>
    <row r="998" ht="15.75" hidden="1" customHeight="1">
      <c r="A998" s="91"/>
      <c r="E998" s="91"/>
      <c r="H998" s="91"/>
      <c r="I998" s="91"/>
      <c r="M998" s="91"/>
      <c r="N998" s="91"/>
    </row>
    <row r="999" ht="15.75" hidden="1" customHeight="1">
      <c r="A999" s="91"/>
      <c r="E999" s="91"/>
      <c r="H999" s="91"/>
      <c r="I999" s="91"/>
      <c r="M999" s="91"/>
      <c r="N999" s="91"/>
    </row>
    <row r="1000" ht="15.75" hidden="1" customHeight="1">
      <c r="A1000" s="91"/>
      <c r="E1000" s="91"/>
      <c r="H1000" s="91"/>
      <c r="I1000" s="91"/>
      <c r="M1000" s="91"/>
      <c r="N1000" s="91"/>
    </row>
    <row r="1001" ht="15.75" hidden="1" customHeight="1">
      <c r="A1001" s="91"/>
      <c r="E1001" s="91"/>
      <c r="H1001" s="91"/>
      <c r="I1001" s="91"/>
      <c r="M1001" s="91"/>
      <c r="N1001" s="91"/>
    </row>
    <row r="1002" ht="15.75" hidden="1" customHeight="1">
      <c r="A1002" s="91"/>
      <c r="E1002" s="91"/>
      <c r="H1002" s="91"/>
      <c r="I1002" s="91"/>
      <c r="M1002" s="91"/>
      <c r="N1002" s="91"/>
    </row>
    <row r="1003" ht="15.75" hidden="1" customHeight="1">
      <c r="A1003" s="91"/>
      <c r="E1003" s="91"/>
      <c r="H1003" s="91"/>
      <c r="I1003" s="91"/>
      <c r="M1003" s="91"/>
      <c r="N1003" s="91"/>
    </row>
    <row r="1004" ht="15.75" hidden="1" customHeight="1">
      <c r="A1004" s="91"/>
      <c r="E1004" s="91"/>
      <c r="H1004" s="91"/>
      <c r="I1004" s="91"/>
      <c r="M1004" s="91"/>
      <c r="N1004" s="91"/>
    </row>
    <row r="1005" ht="15.75" hidden="1" customHeight="1">
      <c r="A1005" s="91"/>
      <c r="E1005" s="91"/>
      <c r="H1005" s="91"/>
      <c r="I1005" s="91"/>
      <c r="M1005" s="91"/>
      <c r="N1005" s="91"/>
    </row>
    <row r="1006" ht="15.75" hidden="1" customHeight="1">
      <c r="A1006" s="91"/>
      <c r="E1006" s="91"/>
      <c r="H1006" s="91"/>
      <c r="I1006" s="91"/>
      <c r="M1006" s="91"/>
      <c r="N1006" s="91"/>
    </row>
    <row r="1007" ht="15.75" hidden="1" customHeight="1">
      <c r="A1007" s="91"/>
      <c r="E1007" s="91"/>
      <c r="H1007" s="91"/>
      <c r="I1007" s="91"/>
      <c r="M1007" s="91"/>
      <c r="N1007" s="91"/>
    </row>
    <row r="1008" ht="15.75" hidden="1" customHeight="1">
      <c r="A1008" s="91"/>
      <c r="E1008" s="91"/>
      <c r="H1008" s="91"/>
      <c r="I1008" s="91"/>
      <c r="M1008" s="91"/>
      <c r="N1008" s="91"/>
    </row>
    <row r="1009" ht="15.75" hidden="1" customHeight="1">
      <c r="A1009" s="91"/>
      <c r="E1009" s="91"/>
      <c r="H1009" s="91"/>
      <c r="I1009" s="91"/>
      <c r="M1009" s="91"/>
      <c r="N1009" s="91"/>
    </row>
    <row r="1010" ht="15.75" hidden="1" customHeight="1">
      <c r="A1010" s="91"/>
      <c r="E1010" s="91"/>
      <c r="H1010" s="91"/>
      <c r="I1010" s="91"/>
      <c r="M1010" s="91"/>
      <c r="N1010" s="91"/>
    </row>
    <row r="1011" ht="15.75" hidden="1" customHeight="1">
      <c r="A1011" s="91"/>
      <c r="E1011" s="91"/>
      <c r="H1011" s="91"/>
      <c r="I1011" s="91"/>
      <c r="M1011" s="91"/>
      <c r="N1011" s="91"/>
    </row>
    <row r="1012" ht="15.75" hidden="1" customHeight="1">
      <c r="A1012" s="91"/>
      <c r="E1012" s="91"/>
      <c r="H1012" s="91"/>
      <c r="I1012" s="91"/>
      <c r="M1012" s="91"/>
      <c r="N1012" s="91"/>
    </row>
    <row r="1013" ht="15.75" hidden="1" customHeight="1">
      <c r="A1013" s="91"/>
      <c r="E1013" s="91"/>
      <c r="H1013" s="91"/>
      <c r="I1013" s="91"/>
      <c r="M1013" s="91"/>
      <c r="N1013" s="91"/>
    </row>
    <row r="1014" ht="15.75" hidden="1" customHeight="1">
      <c r="A1014" s="91"/>
      <c r="E1014" s="91"/>
      <c r="H1014" s="91"/>
      <c r="I1014" s="91"/>
      <c r="M1014" s="91"/>
      <c r="N1014" s="91"/>
    </row>
    <row r="1015" ht="15.75" hidden="1" customHeight="1">
      <c r="A1015" s="91"/>
      <c r="E1015" s="91"/>
      <c r="H1015" s="91"/>
      <c r="I1015" s="91"/>
      <c r="M1015" s="91"/>
      <c r="N1015" s="91"/>
    </row>
    <row r="1016" ht="15.75" hidden="1" customHeight="1">
      <c r="A1016" s="91"/>
      <c r="E1016" s="91"/>
      <c r="H1016" s="91"/>
      <c r="I1016" s="91"/>
      <c r="M1016" s="91"/>
      <c r="N1016" s="91"/>
    </row>
    <row r="1017" ht="15.75" hidden="1" customHeight="1">
      <c r="A1017" s="91"/>
      <c r="E1017" s="91"/>
      <c r="H1017" s="91"/>
      <c r="I1017" s="91"/>
      <c r="M1017" s="91"/>
      <c r="N1017" s="91"/>
    </row>
    <row r="1018" ht="15.75" hidden="1" customHeight="1">
      <c r="A1018" s="91"/>
      <c r="E1018" s="91"/>
      <c r="H1018" s="91"/>
      <c r="I1018" s="91"/>
      <c r="M1018" s="91"/>
      <c r="N1018" s="91"/>
    </row>
    <row r="1019" ht="15.75" hidden="1" customHeight="1">
      <c r="A1019" s="91"/>
      <c r="E1019" s="91"/>
      <c r="H1019" s="91"/>
      <c r="I1019" s="91"/>
      <c r="M1019" s="91"/>
      <c r="N1019" s="91"/>
    </row>
    <row r="1020" ht="15.75" hidden="1" customHeight="1">
      <c r="A1020" s="91"/>
      <c r="E1020" s="91"/>
      <c r="H1020" s="91"/>
      <c r="I1020" s="91"/>
      <c r="M1020" s="91"/>
      <c r="N1020" s="91"/>
    </row>
    <row r="1021" ht="15.75" hidden="1" customHeight="1">
      <c r="A1021" s="91"/>
      <c r="E1021" s="91"/>
      <c r="H1021" s="91"/>
      <c r="I1021" s="91"/>
      <c r="M1021" s="91"/>
      <c r="N1021" s="91"/>
    </row>
    <row r="1022" ht="15.75" hidden="1" customHeight="1">
      <c r="A1022" s="91"/>
      <c r="E1022" s="91"/>
      <c r="H1022" s="91"/>
      <c r="I1022" s="91"/>
      <c r="M1022" s="91"/>
      <c r="N1022" s="91"/>
    </row>
    <row r="1023" ht="15.75" hidden="1" customHeight="1">
      <c r="A1023" s="91"/>
      <c r="E1023" s="91"/>
      <c r="H1023" s="91"/>
      <c r="I1023" s="91"/>
      <c r="M1023" s="91"/>
      <c r="N1023" s="91"/>
    </row>
    <row r="1024" ht="15.75" hidden="1" customHeight="1">
      <c r="A1024" s="91"/>
      <c r="E1024" s="91"/>
      <c r="H1024" s="91"/>
      <c r="I1024" s="91"/>
      <c r="M1024" s="91"/>
      <c r="N1024" s="91"/>
    </row>
    <row r="1025" ht="15.75" hidden="1" customHeight="1">
      <c r="A1025" s="91"/>
      <c r="E1025" s="91"/>
      <c r="H1025" s="91"/>
      <c r="I1025" s="91"/>
      <c r="M1025" s="91"/>
      <c r="N1025" s="91"/>
    </row>
    <row r="1026" ht="15.75" hidden="1" customHeight="1">
      <c r="A1026" s="91"/>
      <c r="E1026" s="91"/>
      <c r="H1026" s="91"/>
      <c r="I1026" s="91"/>
      <c r="M1026" s="91"/>
      <c r="N1026" s="91"/>
    </row>
    <row r="1027" ht="15.75" hidden="1" customHeight="1">
      <c r="A1027" s="91"/>
      <c r="E1027" s="91"/>
      <c r="H1027" s="91"/>
      <c r="I1027" s="91"/>
      <c r="M1027" s="91"/>
      <c r="N1027" s="91"/>
    </row>
    <row r="1028" ht="15.75" hidden="1" customHeight="1">
      <c r="A1028" s="91"/>
      <c r="E1028" s="91"/>
      <c r="H1028" s="91"/>
      <c r="I1028" s="91"/>
      <c r="M1028" s="91"/>
      <c r="N1028" s="91"/>
    </row>
    <row r="1029" ht="15.75" hidden="1" customHeight="1">
      <c r="A1029" s="91"/>
      <c r="E1029" s="91"/>
      <c r="H1029" s="91"/>
      <c r="I1029" s="91"/>
      <c r="M1029" s="91"/>
      <c r="N1029" s="91"/>
    </row>
    <row r="1030" ht="15.75" hidden="1" customHeight="1">
      <c r="A1030" s="91"/>
      <c r="E1030" s="91"/>
      <c r="H1030" s="91"/>
      <c r="I1030" s="91"/>
      <c r="M1030" s="91"/>
      <c r="N1030" s="91"/>
    </row>
    <row r="1031" ht="15.75" hidden="1" customHeight="1">
      <c r="A1031" s="91"/>
      <c r="E1031" s="91"/>
      <c r="H1031" s="91"/>
      <c r="I1031" s="91"/>
      <c r="M1031" s="91"/>
      <c r="N1031" s="91"/>
    </row>
    <row r="1032" ht="15.75" hidden="1" customHeight="1">
      <c r="A1032" s="91"/>
      <c r="E1032" s="91"/>
      <c r="H1032" s="91"/>
      <c r="I1032" s="91"/>
      <c r="M1032" s="91"/>
      <c r="N1032" s="91"/>
    </row>
    <row r="1033" ht="15.75" hidden="1" customHeight="1">
      <c r="A1033" s="91"/>
      <c r="E1033" s="91"/>
      <c r="H1033" s="91"/>
      <c r="I1033" s="91"/>
      <c r="M1033" s="91"/>
      <c r="N1033" s="91"/>
    </row>
    <row r="1034" ht="15.75" hidden="1" customHeight="1">
      <c r="A1034" s="91"/>
      <c r="E1034" s="91"/>
      <c r="H1034" s="91"/>
      <c r="I1034" s="91"/>
      <c r="M1034" s="91"/>
      <c r="N1034" s="91"/>
    </row>
    <row r="1035" ht="15.75" hidden="1" customHeight="1">
      <c r="A1035" s="91"/>
      <c r="E1035" s="91"/>
      <c r="H1035" s="91"/>
      <c r="I1035" s="91"/>
      <c r="M1035" s="91"/>
      <c r="N1035" s="91"/>
    </row>
    <row r="1036" ht="15.75" hidden="1" customHeight="1">
      <c r="A1036" s="91"/>
      <c r="E1036" s="91"/>
      <c r="H1036" s="91"/>
      <c r="I1036" s="91"/>
      <c r="M1036" s="91"/>
      <c r="N1036" s="91"/>
    </row>
    <row r="1037" ht="15.75" hidden="1" customHeight="1">
      <c r="A1037" s="91"/>
      <c r="E1037" s="91"/>
      <c r="H1037" s="91"/>
      <c r="I1037" s="91"/>
      <c r="M1037" s="91"/>
      <c r="N1037" s="91"/>
    </row>
    <row r="1038" ht="15.75" hidden="1" customHeight="1">
      <c r="A1038" s="91"/>
      <c r="E1038" s="91"/>
      <c r="H1038" s="91"/>
      <c r="I1038" s="91"/>
      <c r="M1038" s="91"/>
      <c r="N1038" s="91"/>
    </row>
    <row r="1039" ht="15.75" hidden="1" customHeight="1">
      <c r="A1039" s="91"/>
      <c r="E1039" s="91"/>
      <c r="H1039" s="91"/>
      <c r="I1039" s="91"/>
      <c r="M1039" s="91"/>
      <c r="N1039" s="91"/>
    </row>
    <row r="1040" ht="15.75" hidden="1" customHeight="1">
      <c r="A1040" s="91"/>
      <c r="E1040" s="91"/>
      <c r="H1040" s="91"/>
      <c r="I1040" s="91"/>
      <c r="M1040" s="91"/>
      <c r="N1040" s="91"/>
    </row>
    <row r="1041" ht="15.75" hidden="1" customHeight="1">
      <c r="A1041" s="91"/>
      <c r="E1041" s="91"/>
      <c r="H1041" s="91"/>
      <c r="I1041" s="91"/>
      <c r="M1041" s="91"/>
      <c r="N1041" s="91"/>
    </row>
    <row r="1042" ht="15.75" hidden="1" customHeight="1">
      <c r="A1042" s="91"/>
      <c r="E1042" s="91"/>
      <c r="H1042" s="91"/>
      <c r="I1042" s="91"/>
      <c r="M1042" s="91"/>
      <c r="N1042" s="91"/>
    </row>
    <row r="1043" ht="15.75" hidden="1" customHeight="1">
      <c r="A1043" s="91"/>
      <c r="E1043" s="91"/>
      <c r="H1043" s="91"/>
      <c r="I1043" s="91"/>
      <c r="M1043" s="91"/>
      <c r="N1043" s="91"/>
    </row>
    <row r="1044" ht="15.75" hidden="1" customHeight="1">
      <c r="A1044" s="91"/>
      <c r="E1044" s="91"/>
      <c r="H1044" s="91"/>
      <c r="I1044" s="91"/>
      <c r="M1044" s="91"/>
      <c r="N1044" s="91"/>
    </row>
    <row r="1045" ht="15.75" hidden="1" customHeight="1">
      <c r="A1045" s="91"/>
      <c r="E1045" s="91"/>
      <c r="H1045" s="91"/>
      <c r="I1045" s="91"/>
      <c r="M1045" s="91"/>
      <c r="N1045" s="91"/>
    </row>
    <row r="1046" ht="15.75" hidden="1" customHeight="1">
      <c r="A1046" s="91"/>
      <c r="E1046" s="91"/>
      <c r="H1046" s="91"/>
      <c r="I1046" s="91"/>
      <c r="M1046" s="91"/>
      <c r="N1046" s="91"/>
    </row>
    <row r="1047" ht="15.75" hidden="1" customHeight="1">
      <c r="A1047" s="91"/>
      <c r="E1047" s="91"/>
      <c r="H1047" s="91"/>
      <c r="I1047" s="91"/>
      <c r="M1047" s="91"/>
      <c r="N1047" s="91"/>
    </row>
    <row r="1048" ht="15.75" hidden="1" customHeight="1">
      <c r="A1048" s="91"/>
      <c r="E1048" s="91"/>
      <c r="H1048" s="91"/>
      <c r="I1048" s="91"/>
      <c r="M1048" s="91"/>
      <c r="N1048" s="91"/>
    </row>
    <row r="1049" ht="15.75" hidden="1" customHeight="1">
      <c r="A1049" s="91"/>
      <c r="E1049" s="91"/>
      <c r="H1049" s="91"/>
      <c r="I1049" s="91"/>
      <c r="M1049" s="91"/>
      <c r="N1049" s="91"/>
    </row>
    <row r="1050" ht="15.75" hidden="1" customHeight="1">
      <c r="A1050" s="91"/>
      <c r="E1050" s="91"/>
      <c r="H1050" s="91"/>
      <c r="I1050" s="91"/>
      <c r="M1050" s="91"/>
      <c r="N1050" s="91"/>
    </row>
    <row r="1051" ht="15.75" hidden="1" customHeight="1">
      <c r="A1051" s="91"/>
      <c r="E1051" s="91"/>
      <c r="H1051" s="91"/>
      <c r="I1051" s="91"/>
      <c r="M1051" s="91"/>
      <c r="N1051" s="91"/>
    </row>
    <row r="1052" ht="15.75" hidden="1" customHeight="1">
      <c r="A1052" s="91"/>
      <c r="E1052" s="91"/>
      <c r="H1052" s="91"/>
      <c r="I1052" s="91"/>
      <c r="M1052" s="91"/>
      <c r="N1052" s="91"/>
    </row>
    <row r="1053" ht="15.75" hidden="1" customHeight="1">
      <c r="A1053" s="91"/>
      <c r="E1053" s="91"/>
      <c r="H1053" s="91"/>
      <c r="I1053" s="91"/>
      <c r="M1053" s="91"/>
      <c r="N1053" s="91"/>
    </row>
    <row r="1054" ht="15.75" hidden="1" customHeight="1">
      <c r="A1054" s="91"/>
      <c r="E1054" s="91"/>
      <c r="H1054" s="91"/>
      <c r="I1054" s="91"/>
      <c r="M1054" s="91"/>
      <c r="N1054" s="91"/>
    </row>
    <row r="1055" ht="15.75" hidden="1" customHeight="1">
      <c r="A1055" s="91"/>
      <c r="E1055" s="91"/>
      <c r="H1055" s="91"/>
      <c r="I1055" s="91"/>
      <c r="M1055" s="91"/>
      <c r="N1055" s="91"/>
    </row>
    <row r="1056" ht="15.75" hidden="1" customHeight="1">
      <c r="A1056" s="91"/>
      <c r="E1056" s="91"/>
      <c r="H1056" s="91"/>
      <c r="I1056" s="91"/>
      <c r="M1056" s="91"/>
      <c r="N1056" s="91"/>
    </row>
    <row r="1057" ht="15.75" hidden="1" customHeight="1">
      <c r="A1057" s="91"/>
      <c r="E1057" s="91"/>
      <c r="H1057" s="91"/>
      <c r="I1057" s="91"/>
      <c r="M1057" s="91"/>
      <c r="N1057" s="91"/>
    </row>
    <row r="1058" ht="15.75" hidden="1" customHeight="1">
      <c r="A1058" s="91"/>
      <c r="E1058" s="91"/>
      <c r="H1058" s="91"/>
      <c r="I1058" s="91"/>
      <c r="M1058" s="91"/>
      <c r="N1058" s="91"/>
    </row>
    <row r="1059" ht="15.75" hidden="1" customHeight="1">
      <c r="A1059" s="91"/>
      <c r="E1059" s="91"/>
      <c r="H1059" s="91"/>
      <c r="I1059" s="91"/>
      <c r="M1059" s="91"/>
      <c r="N1059" s="91"/>
    </row>
    <row r="1060" ht="15.75" hidden="1" customHeight="1">
      <c r="A1060" s="91"/>
      <c r="E1060" s="91"/>
      <c r="H1060" s="91"/>
      <c r="I1060" s="91"/>
      <c r="M1060" s="91"/>
      <c r="N1060" s="91"/>
    </row>
    <row r="1061" ht="15.75" hidden="1" customHeight="1">
      <c r="A1061" s="91"/>
      <c r="E1061" s="91"/>
      <c r="H1061" s="91"/>
      <c r="I1061" s="91"/>
      <c r="M1061" s="91"/>
      <c r="N1061" s="91"/>
    </row>
    <row r="1062" ht="15.75" hidden="1" customHeight="1">
      <c r="A1062" s="91"/>
      <c r="E1062" s="91"/>
      <c r="H1062" s="91"/>
      <c r="I1062" s="91"/>
      <c r="M1062" s="91"/>
      <c r="N1062" s="91"/>
    </row>
    <row r="1063" ht="15.75" hidden="1" customHeight="1">
      <c r="A1063" s="91"/>
      <c r="E1063" s="91"/>
      <c r="H1063" s="91"/>
      <c r="I1063" s="91"/>
      <c r="M1063" s="91"/>
      <c r="N1063" s="91"/>
    </row>
    <row r="1064" ht="15.75" hidden="1" customHeight="1">
      <c r="A1064" s="91"/>
      <c r="E1064" s="91"/>
      <c r="H1064" s="91"/>
      <c r="I1064" s="91"/>
      <c r="M1064" s="91"/>
      <c r="N1064" s="91"/>
    </row>
    <row r="1065" ht="15.75" hidden="1" customHeight="1">
      <c r="A1065" s="91"/>
      <c r="E1065" s="91"/>
      <c r="H1065" s="91"/>
      <c r="I1065" s="91"/>
      <c r="M1065" s="91"/>
      <c r="N1065" s="91"/>
    </row>
    <row r="1066" ht="15.75" hidden="1" customHeight="1">
      <c r="A1066" s="91"/>
      <c r="E1066" s="91"/>
      <c r="H1066" s="91"/>
      <c r="I1066" s="91"/>
      <c r="M1066" s="91"/>
      <c r="N1066" s="91"/>
    </row>
    <row r="1067" ht="15.75" hidden="1" customHeight="1">
      <c r="A1067" s="91"/>
      <c r="E1067" s="91"/>
      <c r="H1067" s="91"/>
      <c r="I1067" s="91"/>
      <c r="M1067" s="91"/>
      <c r="N1067" s="91"/>
    </row>
    <row r="1068" ht="15.75" hidden="1" customHeight="1">
      <c r="A1068" s="91"/>
      <c r="E1068" s="91"/>
      <c r="H1068" s="91"/>
      <c r="I1068" s="91"/>
      <c r="M1068" s="91"/>
      <c r="N1068" s="91"/>
    </row>
    <row r="1069" ht="15.75" hidden="1" customHeight="1">
      <c r="A1069" s="91"/>
      <c r="E1069" s="91"/>
      <c r="H1069" s="91"/>
      <c r="I1069" s="91"/>
      <c r="M1069" s="91"/>
      <c r="N1069" s="91"/>
    </row>
    <row r="1070" ht="15.75" hidden="1" customHeight="1">
      <c r="A1070" s="91"/>
      <c r="E1070" s="91"/>
      <c r="H1070" s="91"/>
      <c r="I1070" s="91"/>
      <c r="M1070" s="91"/>
      <c r="N1070" s="91"/>
    </row>
    <row r="1071" ht="15.75" hidden="1" customHeight="1">
      <c r="A1071" s="91"/>
      <c r="E1071" s="91"/>
      <c r="H1071" s="91"/>
      <c r="I1071" s="91"/>
      <c r="M1071" s="91"/>
      <c r="N1071" s="91"/>
    </row>
    <row r="1072" ht="15.75" hidden="1" customHeight="1">
      <c r="A1072" s="91"/>
      <c r="E1072" s="91"/>
      <c r="H1072" s="91"/>
      <c r="I1072" s="91"/>
      <c r="M1072" s="91"/>
      <c r="N1072" s="91"/>
    </row>
    <row r="1073" ht="15.75" hidden="1" customHeight="1">
      <c r="A1073" s="91"/>
      <c r="E1073" s="91"/>
      <c r="H1073" s="91"/>
      <c r="I1073" s="91"/>
      <c r="M1073" s="91"/>
      <c r="N1073" s="91"/>
    </row>
    <row r="1074" ht="15.75" hidden="1" customHeight="1">
      <c r="A1074" s="91"/>
      <c r="E1074" s="91"/>
      <c r="H1074" s="91"/>
      <c r="I1074" s="91"/>
      <c r="M1074" s="91"/>
      <c r="N1074" s="91"/>
    </row>
    <row r="1075" ht="15.75" hidden="1" customHeight="1">
      <c r="A1075" s="91"/>
      <c r="E1075" s="91"/>
      <c r="H1075" s="91"/>
      <c r="I1075" s="91"/>
      <c r="M1075" s="91"/>
      <c r="N1075" s="91"/>
    </row>
    <row r="1076" ht="15.75" hidden="1" customHeight="1">
      <c r="A1076" s="91"/>
      <c r="E1076" s="91"/>
      <c r="H1076" s="91"/>
      <c r="I1076" s="91"/>
      <c r="M1076" s="91"/>
      <c r="N1076" s="91"/>
    </row>
    <row r="1077" ht="15.75" hidden="1" customHeight="1">
      <c r="A1077" s="91"/>
      <c r="E1077" s="91"/>
      <c r="H1077" s="91"/>
      <c r="I1077" s="91"/>
      <c r="M1077" s="91"/>
      <c r="N1077" s="91"/>
    </row>
    <row r="1078" ht="15.75" hidden="1" customHeight="1">
      <c r="A1078" s="91"/>
      <c r="E1078" s="91"/>
      <c r="H1078" s="91"/>
      <c r="I1078" s="91"/>
      <c r="M1078" s="91"/>
      <c r="N1078" s="91"/>
    </row>
    <row r="1079" ht="15.75" hidden="1" customHeight="1">
      <c r="A1079" s="91"/>
      <c r="E1079" s="91"/>
      <c r="H1079" s="91"/>
      <c r="I1079" s="91"/>
      <c r="M1079" s="91"/>
      <c r="N1079" s="91"/>
    </row>
    <row r="1080" ht="15.75" hidden="1" customHeight="1">
      <c r="A1080" s="91"/>
      <c r="E1080" s="91"/>
      <c r="H1080" s="91"/>
      <c r="I1080" s="91"/>
      <c r="M1080" s="91"/>
      <c r="N1080" s="91"/>
    </row>
    <row r="1081" ht="15.75" hidden="1" customHeight="1">
      <c r="A1081" s="91"/>
      <c r="E1081" s="91"/>
      <c r="H1081" s="91"/>
      <c r="I1081" s="91"/>
      <c r="M1081" s="91"/>
      <c r="N1081" s="91"/>
    </row>
    <row r="1082" ht="15.75" hidden="1" customHeight="1">
      <c r="A1082" s="91"/>
      <c r="E1082" s="91"/>
      <c r="H1082" s="91"/>
      <c r="I1082" s="91"/>
      <c r="M1082" s="91"/>
      <c r="N1082" s="91"/>
    </row>
    <row r="1083" ht="15.75" hidden="1" customHeight="1">
      <c r="A1083" s="91"/>
      <c r="E1083" s="91"/>
      <c r="H1083" s="91"/>
      <c r="I1083" s="91"/>
      <c r="M1083" s="91"/>
      <c r="N1083" s="91"/>
    </row>
    <row r="1084" ht="15.75" hidden="1" customHeight="1">
      <c r="A1084" s="91"/>
      <c r="E1084" s="91"/>
      <c r="H1084" s="91"/>
      <c r="I1084" s="91"/>
      <c r="M1084" s="91"/>
      <c r="N1084" s="91"/>
    </row>
    <row r="1085" ht="15.75" hidden="1" customHeight="1">
      <c r="A1085" s="91"/>
      <c r="E1085" s="91"/>
      <c r="H1085" s="91"/>
      <c r="I1085" s="91"/>
      <c r="M1085" s="91"/>
      <c r="N1085" s="91"/>
    </row>
    <row r="1086" ht="15.75" hidden="1" customHeight="1">
      <c r="A1086" s="91"/>
      <c r="E1086" s="91"/>
      <c r="H1086" s="91"/>
      <c r="I1086" s="91"/>
      <c r="M1086" s="91"/>
      <c r="N1086" s="91"/>
    </row>
    <row r="1087" ht="15.75" hidden="1" customHeight="1">
      <c r="A1087" s="91"/>
      <c r="E1087" s="91"/>
      <c r="H1087" s="91"/>
      <c r="I1087" s="91"/>
      <c r="M1087" s="91"/>
      <c r="N1087" s="91"/>
    </row>
    <row r="1088" ht="15.75" hidden="1" customHeight="1">
      <c r="A1088" s="91"/>
      <c r="E1088" s="91"/>
      <c r="H1088" s="91"/>
      <c r="I1088" s="91"/>
      <c r="M1088" s="91"/>
      <c r="N1088" s="91"/>
    </row>
    <row r="1089" ht="15.75" hidden="1" customHeight="1">
      <c r="A1089" s="91"/>
      <c r="E1089" s="91"/>
      <c r="H1089" s="91"/>
      <c r="I1089" s="91"/>
      <c r="M1089" s="91"/>
      <c r="N1089" s="91"/>
    </row>
    <row r="1090" ht="15.75" hidden="1" customHeight="1">
      <c r="A1090" s="91"/>
      <c r="E1090" s="91"/>
      <c r="H1090" s="91"/>
      <c r="I1090" s="91"/>
      <c r="M1090" s="91"/>
      <c r="N1090" s="91"/>
    </row>
    <row r="1091" ht="15.75" hidden="1" customHeight="1">
      <c r="A1091" s="91"/>
      <c r="E1091" s="91"/>
      <c r="H1091" s="91"/>
      <c r="I1091" s="91"/>
      <c r="M1091" s="91"/>
      <c r="N1091" s="91"/>
    </row>
    <row r="1092" ht="15.75" hidden="1" customHeight="1">
      <c r="A1092" s="91"/>
      <c r="E1092" s="91"/>
      <c r="H1092" s="91"/>
      <c r="I1092" s="91"/>
      <c r="M1092" s="91"/>
      <c r="N1092" s="91"/>
    </row>
    <row r="1093" ht="15.75" hidden="1" customHeight="1">
      <c r="A1093" s="91"/>
      <c r="E1093" s="91"/>
      <c r="H1093" s="91"/>
      <c r="I1093" s="91"/>
      <c r="M1093" s="91"/>
      <c r="N1093" s="91"/>
    </row>
    <row r="1094" ht="15.75" hidden="1" customHeight="1">
      <c r="A1094" s="91"/>
      <c r="E1094" s="91"/>
      <c r="H1094" s="91"/>
      <c r="I1094" s="91"/>
      <c r="M1094" s="91"/>
      <c r="N1094" s="91"/>
    </row>
    <row r="1095" ht="15.75" hidden="1" customHeight="1">
      <c r="A1095" s="91"/>
      <c r="E1095" s="91"/>
      <c r="H1095" s="91"/>
      <c r="I1095" s="91"/>
      <c r="M1095" s="91"/>
      <c r="N1095" s="91"/>
    </row>
    <row r="1096" ht="15.75" hidden="1" customHeight="1">
      <c r="A1096" s="91"/>
      <c r="E1096" s="91"/>
      <c r="H1096" s="91"/>
      <c r="I1096" s="91"/>
      <c r="M1096" s="91"/>
      <c r="N1096" s="91"/>
    </row>
    <row r="1097" ht="15.75" hidden="1" customHeight="1">
      <c r="A1097" s="91"/>
      <c r="E1097" s="91"/>
      <c r="H1097" s="91"/>
      <c r="I1097" s="91"/>
      <c r="M1097" s="91"/>
      <c r="N1097" s="91"/>
    </row>
    <row r="1098" ht="15.75" hidden="1" customHeight="1">
      <c r="A1098" s="91"/>
      <c r="E1098" s="91"/>
      <c r="H1098" s="91"/>
      <c r="I1098" s="91"/>
      <c r="M1098" s="91"/>
      <c r="N1098" s="91"/>
    </row>
    <row r="1099" ht="15.75" hidden="1" customHeight="1">
      <c r="A1099" s="91"/>
      <c r="E1099" s="91"/>
      <c r="H1099" s="91"/>
      <c r="I1099" s="91"/>
      <c r="M1099" s="91"/>
      <c r="N1099" s="91"/>
    </row>
    <row r="1100" ht="15.75" hidden="1" customHeight="1">
      <c r="A1100" s="91"/>
      <c r="E1100" s="91"/>
      <c r="H1100" s="91"/>
      <c r="I1100" s="91"/>
      <c r="M1100" s="91"/>
      <c r="N1100" s="91"/>
    </row>
    <row r="1101" ht="15.75" hidden="1" customHeight="1">
      <c r="A1101" s="91"/>
      <c r="E1101" s="91"/>
      <c r="H1101" s="91"/>
      <c r="I1101" s="91"/>
      <c r="M1101" s="91"/>
      <c r="N1101" s="91"/>
    </row>
    <row r="1102" ht="15.75" hidden="1" customHeight="1">
      <c r="A1102" s="91"/>
      <c r="E1102" s="91"/>
      <c r="H1102" s="91"/>
      <c r="I1102" s="91"/>
      <c r="M1102" s="91"/>
      <c r="N1102" s="91"/>
    </row>
    <row r="1103" ht="15.75" hidden="1" customHeight="1">
      <c r="A1103" s="91"/>
      <c r="E1103" s="91"/>
      <c r="H1103" s="91"/>
      <c r="I1103" s="91"/>
      <c r="M1103" s="91"/>
      <c r="N1103" s="91"/>
    </row>
    <row r="1104" ht="15.75" hidden="1" customHeight="1">
      <c r="A1104" s="91"/>
      <c r="E1104" s="91"/>
      <c r="H1104" s="91"/>
      <c r="I1104" s="91"/>
      <c r="M1104" s="91"/>
      <c r="N1104" s="91"/>
    </row>
    <row r="1105" ht="15.75" hidden="1" customHeight="1">
      <c r="A1105" s="91"/>
      <c r="E1105" s="91"/>
      <c r="H1105" s="91"/>
      <c r="I1105" s="91"/>
      <c r="M1105" s="91"/>
      <c r="N1105" s="91"/>
    </row>
    <row r="1106" ht="15.75" hidden="1" customHeight="1">
      <c r="A1106" s="91"/>
      <c r="E1106" s="91"/>
      <c r="H1106" s="91"/>
      <c r="I1106" s="91"/>
      <c r="M1106" s="91"/>
      <c r="N1106" s="91"/>
    </row>
    <row r="1107" ht="15.75" hidden="1" customHeight="1">
      <c r="A1107" s="91"/>
      <c r="E1107" s="91"/>
      <c r="H1107" s="91"/>
      <c r="I1107" s="91"/>
      <c r="M1107" s="91"/>
      <c r="N1107" s="91"/>
    </row>
    <row r="1108" ht="15.75" hidden="1" customHeight="1">
      <c r="A1108" s="91"/>
      <c r="E1108" s="91"/>
      <c r="H1108" s="91"/>
      <c r="I1108" s="91"/>
      <c r="M1108" s="91"/>
      <c r="N1108" s="91"/>
    </row>
    <row r="1109" ht="15.75" hidden="1" customHeight="1">
      <c r="A1109" s="91"/>
      <c r="E1109" s="91"/>
      <c r="H1109" s="91"/>
      <c r="I1109" s="91"/>
      <c r="M1109" s="91"/>
      <c r="N1109" s="91"/>
    </row>
    <row r="1110" ht="15.75" hidden="1" customHeight="1">
      <c r="A1110" s="91"/>
      <c r="E1110" s="91"/>
      <c r="H1110" s="91"/>
      <c r="I1110" s="91"/>
      <c r="M1110" s="91"/>
      <c r="N1110" s="91"/>
    </row>
    <row r="1111" ht="15.75" hidden="1" customHeight="1">
      <c r="A1111" s="91"/>
      <c r="E1111" s="91"/>
      <c r="H1111" s="91"/>
      <c r="I1111" s="91"/>
      <c r="M1111" s="91"/>
      <c r="N1111" s="91"/>
    </row>
    <row r="1112" ht="15.75" hidden="1" customHeight="1">
      <c r="A1112" s="91"/>
      <c r="E1112" s="91"/>
      <c r="H1112" s="91"/>
      <c r="I1112" s="91"/>
      <c r="M1112" s="91"/>
      <c r="N1112" s="91"/>
    </row>
    <row r="1113" ht="15.75" hidden="1" customHeight="1">
      <c r="A1113" s="91"/>
      <c r="E1113" s="91"/>
      <c r="H1113" s="91"/>
      <c r="I1113" s="91"/>
      <c r="M1113" s="91"/>
      <c r="N1113" s="91"/>
    </row>
    <row r="1114" ht="15.75" hidden="1" customHeight="1">
      <c r="A1114" s="91"/>
      <c r="E1114" s="91"/>
      <c r="H1114" s="91"/>
      <c r="I1114" s="91"/>
      <c r="M1114" s="91"/>
      <c r="N1114" s="91"/>
    </row>
    <row r="1115" ht="15.75" hidden="1" customHeight="1">
      <c r="A1115" s="91"/>
      <c r="E1115" s="91"/>
      <c r="H1115" s="91"/>
      <c r="I1115" s="91"/>
      <c r="M1115" s="91"/>
      <c r="N1115" s="91"/>
    </row>
    <row r="1116" ht="15.75" hidden="1" customHeight="1">
      <c r="A1116" s="91"/>
      <c r="E1116" s="91"/>
      <c r="H1116" s="91"/>
      <c r="I1116" s="91"/>
      <c r="M1116" s="91"/>
      <c r="N1116" s="91"/>
    </row>
    <row r="1117" ht="15.75" hidden="1" customHeight="1">
      <c r="A1117" s="91"/>
      <c r="E1117" s="91"/>
      <c r="H1117" s="91"/>
      <c r="I1117" s="91"/>
      <c r="M1117" s="91"/>
      <c r="N1117" s="91"/>
    </row>
    <row r="1118" ht="15.75" hidden="1" customHeight="1">
      <c r="A1118" s="91"/>
      <c r="E1118" s="91"/>
      <c r="H1118" s="91"/>
      <c r="I1118" s="91"/>
      <c r="M1118" s="91"/>
      <c r="N1118" s="91"/>
    </row>
    <row r="1119" ht="15.75" hidden="1" customHeight="1">
      <c r="A1119" s="91"/>
      <c r="E1119" s="91"/>
      <c r="H1119" s="91"/>
      <c r="I1119" s="91"/>
      <c r="M1119" s="91"/>
      <c r="N1119" s="91"/>
    </row>
    <row r="1120" ht="15.75" hidden="1" customHeight="1">
      <c r="A1120" s="91"/>
      <c r="E1120" s="91"/>
      <c r="H1120" s="91"/>
      <c r="I1120" s="91"/>
      <c r="M1120" s="91"/>
      <c r="N1120" s="91"/>
    </row>
    <row r="1121" ht="15.75" hidden="1" customHeight="1">
      <c r="A1121" s="91"/>
      <c r="E1121" s="91"/>
      <c r="H1121" s="91"/>
      <c r="I1121" s="91"/>
      <c r="M1121" s="91"/>
      <c r="N1121" s="91"/>
    </row>
    <row r="1122" ht="15.75" hidden="1" customHeight="1">
      <c r="A1122" s="91"/>
      <c r="E1122" s="91"/>
      <c r="H1122" s="91"/>
      <c r="I1122" s="91"/>
      <c r="M1122" s="91"/>
      <c r="N1122" s="91"/>
    </row>
    <row r="1123" ht="15.75" hidden="1" customHeight="1">
      <c r="A1123" s="91"/>
      <c r="E1123" s="91"/>
      <c r="H1123" s="91"/>
      <c r="I1123" s="91"/>
      <c r="M1123" s="91"/>
      <c r="N1123" s="91"/>
    </row>
    <row r="1124" ht="15.75" hidden="1" customHeight="1">
      <c r="A1124" s="91"/>
      <c r="E1124" s="91"/>
      <c r="H1124" s="91"/>
      <c r="I1124" s="91"/>
      <c r="M1124" s="91"/>
      <c r="N1124" s="91"/>
    </row>
    <row r="1125" ht="15.75" hidden="1" customHeight="1">
      <c r="A1125" s="91"/>
      <c r="E1125" s="91"/>
      <c r="H1125" s="91"/>
      <c r="I1125" s="91"/>
      <c r="M1125" s="91"/>
      <c r="N1125" s="91"/>
    </row>
    <row r="1126" ht="15.75" hidden="1" customHeight="1">
      <c r="A1126" s="91"/>
      <c r="E1126" s="91"/>
      <c r="H1126" s="91"/>
      <c r="I1126" s="91"/>
      <c r="M1126" s="91"/>
      <c r="N1126" s="91"/>
    </row>
    <row r="1127" ht="15.75" hidden="1" customHeight="1">
      <c r="A1127" s="91"/>
      <c r="E1127" s="91"/>
      <c r="H1127" s="91"/>
      <c r="I1127" s="91"/>
      <c r="M1127" s="91"/>
      <c r="N1127" s="91"/>
    </row>
    <row r="1128" ht="15.75" hidden="1" customHeight="1">
      <c r="A1128" s="91"/>
      <c r="E1128" s="91"/>
      <c r="H1128" s="91"/>
      <c r="I1128" s="91"/>
      <c r="M1128" s="91"/>
      <c r="N1128" s="91"/>
    </row>
    <row r="1129" ht="15.75" hidden="1" customHeight="1">
      <c r="A1129" s="91"/>
      <c r="E1129" s="91"/>
      <c r="H1129" s="91"/>
      <c r="I1129" s="91"/>
      <c r="M1129" s="91"/>
      <c r="N1129" s="91"/>
    </row>
    <row r="1130" ht="15.75" hidden="1" customHeight="1">
      <c r="A1130" s="91"/>
      <c r="E1130" s="91"/>
      <c r="H1130" s="91"/>
      <c r="I1130" s="91"/>
      <c r="M1130" s="91"/>
      <c r="N1130" s="91"/>
    </row>
    <row r="1131" ht="15.75" hidden="1" customHeight="1">
      <c r="A1131" s="91"/>
      <c r="E1131" s="91"/>
      <c r="H1131" s="91"/>
      <c r="I1131" s="91"/>
      <c r="M1131" s="91"/>
      <c r="N1131" s="91"/>
    </row>
    <row r="1132" ht="15.75" hidden="1" customHeight="1">
      <c r="A1132" s="91"/>
      <c r="E1132" s="91"/>
      <c r="H1132" s="91"/>
      <c r="I1132" s="91"/>
      <c r="M1132" s="91"/>
      <c r="N1132" s="91"/>
    </row>
    <row r="1133" ht="15.75" hidden="1" customHeight="1">
      <c r="A1133" s="91"/>
      <c r="E1133" s="91"/>
      <c r="H1133" s="91"/>
      <c r="I1133" s="91"/>
      <c r="M1133" s="91"/>
      <c r="N1133" s="91"/>
    </row>
    <row r="1134" ht="15.75" hidden="1" customHeight="1">
      <c r="A1134" s="91"/>
      <c r="E1134" s="91"/>
      <c r="H1134" s="91"/>
      <c r="I1134" s="91"/>
      <c r="M1134" s="91"/>
      <c r="N1134" s="91"/>
    </row>
    <row r="1135" ht="15.75" hidden="1" customHeight="1">
      <c r="A1135" s="91"/>
      <c r="E1135" s="91"/>
      <c r="H1135" s="91"/>
      <c r="I1135" s="91"/>
      <c r="M1135" s="91"/>
      <c r="N1135" s="91"/>
    </row>
    <row r="1136" ht="15.75" hidden="1" customHeight="1">
      <c r="A1136" s="91"/>
      <c r="E1136" s="91"/>
      <c r="H1136" s="91"/>
      <c r="I1136" s="91"/>
      <c r="M1136" s="91"/>
      <c r="N1136" s="91"/>
    </row>
    <row r="1137" ht="15.75" hidden="1" customHeight="1">
      <c r="A1137" s="91"/>
      <c r="E1137" s="91"/>
      <c r="H1137" s="91"/>
      <c r="I1137" s="91"/>
      <c r="M1137" s="91"/>
      <c r="N1137" s="91"/>
    </row>
    <row r="1138" ht="15.75" hidden="1" customHeight="1">
      <c r="A1138" s="91"/>
      <c r="E1138" s="91"/>
      <c r="H1138" s="91"/>
      <c r="I1138" s="91"/>
      <c r="M1138" s="91"/>
      <c r="N1138" s="91"/>
    </row>
    <row r="1139" ht="15.75" hidden="1" customHeight="1">
      <c r="A1139" s="91"/>
      <c r="E1139" s="91"/>
      <c r="H1139" s="91"/>
      <c r="I1139" s="91"/>
      <c r="M1139" s="91"/>
      <c r="N1139" s="91"/>
    </row>
    <row r="1140" ht="15.75" hidden="1" customHeight="1">
      <c r="A1140" s="91"/>
      <c r="E1140" s="91"/>
      <c r="H1140" s="91"/>
      <c r="I1140" s="91"/>
      <c r="M1140" s="91"/>
      <c r="N1140" s="91"/>
    </row>
    <row r="1141" ht="15.75" hidden="1" customHeight="1">
      <c r="A1141" s="91"/>
      <c r="E1141" s="91"/>
      <c r="H1141" s="91"/>
      <c r="I1141" s="91"/>
      <c r="M1141" s="91"/>
      <c r="N1141" s="91"/>
    </row>
    <row r="1142" ht="15.75" hidden="1" customHeight="1">
      <c r="A1142" s="91"/>
      <c r="E1142" s="91"/>
      <c r="H1142" s="91"/>
      <c r="I1142" s="91"/>
      <c r="M1142" s="91"/>
      <c r="N1142" s="91"/>
    </row>
    <row r="1143" ht="15.75" hidden="1" customHeight="1">
      <c r="A1143" s="91"/>
      <c r="E1143" s="91"/>
      <c r="H1143" s="91"/>
      <c r="I1143" s="91"/>
      <c r="M1143" s="91"/>
      <c r="N1143" s="91"/>
    </row>
    <row r="1144" ht="15.75" hidden="1" customHeight="1">
      <c r="A1144" s="91"/>
      <c r="E1144" s="91"/>
      <c r="H1144" s="91"/>
      <c r="I1144" s="91"/>
      <c r="M1144" s="91"/>
      <c r="N1144" s="91"/>
    </row>
    <row r="1145" ht="15.75" hidden="1" customHeight="1">
      <c r="A1145" s="91"/>
      <c r="E1145" s="91"/>
      <c r="H1145" s="91"/>
      <c r="I1145" s="91"/>
      <c r="M1145" s="91"/>
      <c r="N1145" s="91"/>
    </row>
    <row r="1146" ht="15.75" hidden="1" customHeight="1">
      <c r="A1146" s="91"/>
      <c r="E1146" s="91"/>
      <c r="H1146" s="91"/>
      <c r="I1146" s="91"/>
      <c r="M1146" s="91"/>
      <c r="N1146" s="91"/>
    </row>
    <row r="1147" ht="15.75" hidden="1" customHeight="1">
      <c r="A1147" s="91"/>
      <c r="E1147" s="91"/>
      <c r="H1147" s="91"/>
      <c r="I1147" s="91"/>
      <c r="M1147" s="91"/>
      <c r="N1147" s="91"/>
    </row>
    <row r="1148" ht="15.75" hidden="1" customHeight="1">
      <c r="A1148" s="91"/>
      <c r="E1148" s="91"/>
      <c r="H1148" s="91"/>
      <c r="I1148" s="91"/>
      <c r="M1148" s="91"/>
      <c r="N1148" s="91"/>
    </row>
    <row r="1149" ht="15.75" hidden="1" customHeight="1">
      <c r="A1149" s="91"/>
      <c r="E1149" s="91"/>
      <c r="H1149" s="91"/>
      <c r="I1149" s="91"/>
      <c r="M1149" s="91"/>
      <c r="N1149" s="91"/>
    </row>
    <row r="1150" ht="15.75" hidden="1" customHeight="1">
      <c r="A1150" s="91"/>
      <c r="E1150" s="91"/>
      <c r="H1150" s="91"/>
      <c r="I1150" s="91"/>
      <c r="M1150" s="91"/>
      <c r="N1150" s="91"/>
    </row>
    <row r="1151" ht="15.75" hidden="1" customHeight="1">
      <c r="A1151" s="91"/>
      <c r="E1151" s="91"/>
      <c r="H1151" s="91"/>
      <c r="I1151" s="91"/>
      <c r="M1151" s="91"/>
      <c r="N1151" s="91"/>
    </row>
    <row r="1152" ht="15.75" hidden="1" customHeight="1">
      <c r="A1152" s="91"/>
      <c r="E1152" s="91"/>
      <c r="H1152" s="91"/>
      <c r="I1152" s="91"/>
      <c r="M1152" s="91"/>
      <c r="N1152" s="91"/>
    </row>
    <row r="1153" ht="15.75" hidden="1" customHeight="1">
      <c r="A1153" s="91"/>
      <c r="E1153" s="91"/>
      <c r="H1153" s="91"/>
      <c r="I1153" s="91"/>
      <c r="M1153" s="91"/>
      <c r="N1153" s="91"/>
    </row>
    <row r="1154" ht="15.75" hidden="1" customHeight="1">
      <c r="A1154" s="91"/>
      <c r="E1154" s="91"/>
      <c r="H1154" s="91"/>
      <c r="I1154" s="91"/>
      <c r="M1154" s="91"/>
      <c r="N1154" s="91"/>
    </row>
    <row r="1155" ht="15.75" hidden="1" customHeight="1">
      <c r="A1155" s="91"/>
      <c r="E1155" s="91"/>
      <c r="H1155" s="91"/>
      <c r="I1155" s="91"/>
      <c r="M1155" s="91"/>
      <c r="N1155" s="91"/>
    </row>
    <row r="1156" ht="15.75" hidden="1" customHeight="1">
      <c r="A1156" s="91"/>
      <c r="E1156" s="91"/>
      <c r="H1156" s="91"/>
      <c r="I1156" s="91"/>
      <c r="M1156" s="91"/>
      <c r="N1156" s="91"/>
    </row>
    <row r="1157" ht="15.75" hidden="1" customHeight="1">
      <c r="A1157" s="91"/>
      <c r="E1157" s="91"/>
      <c r="H1157" s="91"/>
      <c r="I1157" s="91"/>
      <c r="M1157" s="91"/>
      <c r="N1157" s="91"/>
    </row>
    <row r="1158" ht="15.75" hidden="1" customHeight="1">
      <c r="A1158" s="91"/>
      <c r="E1158" s="91"/>
      <c r="H1158" s="91"/>
      <c r="I1158" s="91"/>
      <c r="M1158" s="91"/>
      <c r="N1158" s="91"/>
    </row>
    <row r="1159" ht="15.75" hidden="1" customHeight="1">
      <c r="A1159" s="91"/>
      <c r="E1159" s="91"/>
      <c r="H1159" s="91"/>
      <c r="I1159" s="91"/>
      <c r="M1159" s="91"/>
      <c r="N1159" s="91"/>
    </row>
    <row r="1160" ht="15.75" hidden="1" customHeight="1">
      <c r="A1160" s="91"/>
      <c r="E1160" s="91"/>
      <c r="H1160" s="91"/>
      <c r="I1160" s="91"/>
      <c r="M1160" s="91"/>
      <c r="N1160" s="91"/>
    </row>
    <row r="1161" ht="15.75" hidden="1" customHeight="1">
      <c r="A1161" s="91"/>
      <c r="E1161" s="91"/>
      <c r="H1161" s="91"/>
      <c r="I1161" s="91"/>
      <c r="M1161" s="91"/>
      <c r="N1161" s="91"/>
    </row>
    <row r="1162" ht="15.75" hidden="1" customHeight="1">
      <c r="A1162" s="91"/>
      <c r="E1162" s="91"/>
      <c r="H1162" s="91"/>
      <c r="I1162" s="91"/>
      <c r="M1162" s="91"/>
      <c r="N1162" s="91"/>
    </row>
    <row r="1163" ht="15.75" hidden="1" customHeight="1">
      <c r="A1163" s="91"/>
      <c r="E1163" s="91"/>
      <c r="H1163" s="91"/>
      <c r="I1163" s="91"/>
      <c r="M1163" s="91"/>
      <c r="N1163" s="91"/>
    </row>
    <row r="1164" ht="15.75" hidden="1" customHeight="1">
      <c r="A1164" s="91"/>
      <c r="E1164" s="91"/>
      <c r="H1164" s="91"/>
      <c r="I1164" s="91"/>
      <c r="M1164" s="91"/>
      <c r="N1164" s="91"/>
    </row>
    <row r="1165" ht="15.75" hidden="1" customHeight="1">
      <c r="A1165" s="91"/>
      <c r="E1165" s="91"/>
      <c r="H1165" s="91"/>
      <c r="I1165" s="91"/>
      <c r="M1165" s="91"/>
      <c r="N1165" s="91"/>
    </row>
    <row r="1166" ht="15.75" hidden="1" customHeight="1">
      <c r="A1166" s="91"/>
      <c r="E1166" s="91"/>
      <c r="H1166" s="91"/>
      <c r="I1166" s="91"/>
      <c r="M1166" s="91"/>
      <c r="N1166" s="91"/>
    </row>
    <row r="1167" ht="15.75" hidden="1" customHeight="1">
      <c r="A1167" s="91"/>
      <c r="E1167" s="91"/>
      <c r="H1167" s="91"/>
      <c r="I1167" s="91"/>
      <c r="M1167" s="91"/>
      <c r="N1167" s="91"/>
    </row>
    <row r="1168" ht="15.75" hidden="1" customHeight="1">
      <c r="A1168" s="91"/>
      <c r="E1168" s="91"/>
      <c r="H1168" s="91"/>
      <c r="I1168" s="91"/>
      <c r="M1168" s="91"/>
      <c r="N1168" s="91"/>
    </row>
    <row r="1169" ht="15.75" hidden="1" customHeight="1">
      <c r="A1169" s="91"/>
      <c r="E1169" s="91"/>
      <c r="H1169" s="91"/>
      <c r="I1169" s="91"/>
      <c r="M1169" s="91"/>
      <c r="N1169" s="91"/>
    </row>
    <row r="1170" ht="15.75" hidden="1" customHeight="1">
      <c r="A1170" s="91"/>
      <c r="E1170" s="91"/>
      <c r="H1170" s="91"/>
      <c r="I1170" s="91"/>
      <c r="M1170" s="91"/>
      <c r="N1170" s="91"/>
    </row>
    <row r="1171" ht="15.75" hidden="1" customHeight="1">
      <c r="A1171" s="91"/>
      <c r="E1171" s="91"/>
      <c r="H1171" s="91"/>
      <c r="I1171" s="91"/>
      <c r="M1171" s="91"/>
      <c r="N1171" s="91"/>
    </row>
    <row r="1172" ht="15.75" hidden="1" customHeight="1">
      <c r="A1172" s="91"/>
      <c r="E1172" s="91"/>
      <c r="H1172" s="91"/>
      <c r="I1172" s="91"/>
      <c r="M1172" s="91"/>
      <c r="N1172" s="91"/>
    </row>
    <row r="1173" ht="15.75" hidden="1" customHeight="1">
      <c r="A1173" s="91"/>
      <c r="E1173" s="91"/>
      <c r="H1173" s="91"/>
      <c r="I1173" s="91"/>
      <c r="M1173" s="91"/>
      <c r="N1173" s="91"/>
    </row>
    <row r="1174" ht="15.75" hidden="1" customHeight="1">
      <c r="A1174" s="91"/>
      <c r="E1174" s="91"/>
      <c r="H1174" s="91"/>
      <c r="I1174" s="91"/>
      <c r="M1174" s="91"/>
      <c r="N1174" s="91"/>
    </row>
    <row r="1175" ht="15.75" hidden="1" customHeight="1">
      <c r="A1175" s="91"/>
      <c r="E1175" s="91"/>
      <c r="H1175" s="91"/>
      <c r="I1175" s="91"/>
      <c r="M1175" s="91"/>
      <c r="N1175" s="91"/>
    </row>
    <row r="1176" ht="15.75" hidden="1" customHeight="1">
      <c r="A1176" s="91"/>
      <c r="E1176" s="91"/>
      <c r="H1176" s="91"/>
      <c r="I1176" s="91"/>
      <c r="M1176" s="91"/>
      <c r="N1176" s="91"/>
    </row>
    <row r="1177" ht="15.75" hidden="1" customHeight="1">
      <c r="A1177" s="91"/>
      <c r="E1177" s="91"/>
      <c r="H1177" s="91"/>
      <c r="I1177" s="91"/>
      <c r="M1177" s="91"/>
      <c r="N1177" s="91"/>
    </row>
    <row r="1178" ht="15.75" hidden="1" customHeight="1">
      <c r="A1178" s="91"/>
      <c r="E1178" s="91"/>
      <c r="H1178" s="91"/>
      <c r="I1178" s="91"/>
      <c r="M1178" s="91"/>
      <c r="N1178" s="91"/>
    </row>
    <row r="1179" ht="15.75" hidden="1" customHeight="1">
      <c r="A1179" s="91"/>
      <c r="E1179" s="91"/>
      <c r="H1179" s="91"/>
      <c r="I1179" s="91"/>
      <c r="M1179" s="91"/>
      <c r="N1179" s="91"/>
    </row>
    <row r="1180" ht="15.75" hidden="1" customHeight="1">
      <c r="A1180" s="91"/>
      <c r="E1180" s="91"/>
      <c r="H1180" s="91"/>
      <c r="I1180" s="91"/>
      <c r="M1180" s="91"/>
      <c r="N1180" s="91"/>
    </row>
    <row r="1181" ht="15.75" hidden="1" customHeight="1">
      <c r="A1181" s="91"/>
      <c r="E1181" s="91"/>
      <c r="H1181" s="91"/>
      <c r="I1181" s="91"/>
      <c r="M1181" s="91"/>
      <c r="N1181" s="91"/>
    </row>
    <row r="1182" ht="15.75" hidden="1" customHeight="1">
      <c r="A1182" s="91"/>
      <c r="E1182" s="91"/>
      <c r="H1182" s="91"/>
      <c r="I1182" s="91"/>
      <c r="M1182" s="91"/>
      <c r="N1182" s="91"/>
    </row>
    <row r="1183" ht="15.75" hidden="1" customHeight="1">
      <c r="A1183" s="91"/>
      <c r="E1183" s="91"/>
      <c r="H1183" s="91"/>
      <c r="I1183" s="91"/>
      <c r="M1183" s="91"/>
      <c r="N1183" s="91"/>
    </row>
    <row r="1184" ht="15.75" hidden="1" customHeight="1">
      <c r="A1184" s="91"/>
      <c r="E1184" s="91"/>
      <c r="H1184" s="91"/>
      <c r="I1184" s="91"/>
      <c r="M1184" s="91"/>
      <c r="N1184" s="91"/>
    </row>
    <row r="1185" ht="15.75" hidden="1" customHeight="1">
      <c r="A1185" s="91"/>
      <c r="E1185" s="91"/>
      <c r="H1185" s="91"/>
      <c r="I1185" s="91"/>
      <c r="M1185" s="91"/>
      <c r="N1185" s="91"/>
    </row>
    <row r="1186" ht="15.75" hidden="1" customHeight="1">
      <c r="A1186" s="91"/>
      <c r="E1186" s="91"/>
      <c r="H1186" s="91"/>
      <c r="I1186" s="91"/>
      <c r="M1186" s="91"/>
      <c r="N1186" s="91"/>
    </row>
    <row r="1187" ht="15.75" hidden="1" customHeight="1">
      <c r="A1187" s="91"/>
      <c r="E1187" s="91"/>
      <c r="H1187" s="91"/>
      <c r="I1187" s="91"/>
      <c r="M1187" s="91"/>
      <c r="N1187" s="91"/>
    </row>
    <row r="1188" ht="15.75" hidden="1" customHeight="1">
      <c r="A1188" s="91"/>
      <c r="E1188" s="91"/>
      <c r="H1188" s="91"/>
      <c r="I1188" s="91"/>
      <c r="M1188" s="91"/>
      <c r="N1188" s="91"/>
    </row>
    <row r="1189" ht="15.75" hidden="1" customHeight="1">
      <c r="A1189" s="91"/>
      <c r="E1189" s="91"/>
      <c r="H1189" s="91"/>
      <c r="I1189" s="91"/>
      <c r="M1189" s="91"/>
      <c r="N1189" s="91"/>
    </row>
    <row r="1190" ht="15.75" hidden="1" customHeight="1">
      <c r="A1190" s="91"/>
      <c r="E1190" s="91"/>
      <c r="H1190" s="91"/>
      <c r="I1190" s="91"/>
      <c r="M1190" s="91"/>
      <c r="N1190" s="91"/>
    </row>
    <row r="1191" ht="15.75" hidden="1" customHeight="1">
      <c r="A1191" s="91"/>
      <c r="E1191" s="91"/>
      <c r="H1191" s="91"/>
      <c r="I1191" s="91"/>
      <c r="M1191" s="91"/>
      <c r="N1191" s="91"/>
    </row>
    <row r="1192" ht="15.75" hidden="1" customHeight="1">
      <c r="A1192" s="91"/>
      <c r="E1192" s="91"/>
      <c r="H1192" s="91"/>
      <c r="I1192" s="91"/>
      <c r="M1192" s="91"/>
      <c r="N1192" s="91"/>
    </row>
    <row r="1193" ht="15.75" hidden="1" customHeight="1">
      <c r="A1193" s="91"/>
      <c r="E1193" s="91"/>
      <c r="H1193" s="91"/>
      <c r="I1193" s="91"/>
      <c r="M1193" s="91"/>
      <c r="N1193" s="91"/>
    </row>
    <row r="1194" ht="15.75" hidden="1" customHeight="1">
      <c r="A1194" s="91"/>
      <c r="E1194" s="91"/>
      <c r="H1194" s="91"/>
      <c r="I1194" s="91"/>
      <c r="M1194" s="91"/>
      <c r="N1194" s="91"/>
    </row>
    <row r="1195" ht="15.75" hidden="1" customHeight="1">
      <c r="A1195" s="91"/>
      <c r="E1195" s="91"/>
      <c r="H1195" s="91"/>
      <c r="I1195" s="91"/>
      <c r="M1195" s="91"/>
      <c r="N1195" s="91"/>
    </row>
    <row r="1196" ht="15.75" hidden="1" customHeight="1">
      <c r="A1196" s="91"/>
      <c r="E1196" s="91"/>
      <c r="H1196" s="91"/>
      <c r="I1196" s="91"/>
      <c r="M1196" s="91"/>
      <c r="N1196" s="91"/>
    </row>
    <row r="1197" ht="15.75" hidden="1" customHeight="1">
      <c r="A1197" s="91"/>
      <c r="E1197" s="91"/>
      <c r="H1197" s="91"/>
      <c r="I1197" s="91"/>
      <c r="M1197" s="91"/>
      <c r="N1197" s="91"/>
    </row>
    <row r="1198" ht="15.75" hidden="1" customHeight="1">
      <c r="A1198" s="91"/>
      <c r="E1198" s="91"/>
      <c r="H1198" s="91"/>
      <c r="I1198" s="91"/>
      <c r="M1198" s="91"/>
      <c r="N1198" s="91"/>
    </row>
    <row r="1199" ht="15.75" hidden="1" customHeight="1">
      <c r="A1199" s="91"/>
      <c r="E1199" s="91"/>
      <c r="H1199" s="91"/>
      <c r="I1199" s="91"/>
      <c r="M1199" s="91"/>
      <c r="N1199" s="91"/>
    </row>
    <row r="1200" ht="15.75" hidden="1" customHeight="1">
      <c r="A1200" s="91"/>
      <c r="E1200" s="91"/>
      <c r="H1200" s="91"/>
      <c r="I1200" s="91"/>
      <c r="M1200" s="91"/>
      <c r="N1200" s="91"/>
    </row>
    <row r="1201" ht="15.75" hidden="1" customHeight="1">
      <c r="A1201" s="91"/>
      <c r="E1201" s="91"/>
      <c r="H1201" s="91"/>
      <c r="I1201" s="91"/>
      <c r="M1201" s="91"/>
      <c r="N1201" s="91"/>
    </row>
    <row r="1202" ht="15.75" hidden="1" customHeight="1">
      <c r="A1202" s="91"/>
      <c r="E1202" s="91"/>
      <c r="H1202" s="91"/>
      <c r="I1202" s="91"/>
      <c r="M1202" s="91"/>
      <c r="N1202" s="91"/>
    </row>
    <row r="1203" ht="15.75" hidden="1" customHeight="1">
      <c r="A1203" s="91"/>
      <c r="E1203" s="91"/>
      <c r="H1203" s="91"/>
      <c r="I1203" s="91"/>
      <c r="M1203" s="91"/>
      <c r="N1203" s="91"/>
    </row>
    <row r="1204" ht="15.75" hidden="1" customHeight="1">
      <c r="A1204" s="91"/>
      <c r="E1204" s="91"/>
      <c r="H1204" s="91"/>
      <c r="I1204" s="91"/>
      <c r="M1204" s="91"/>
      <c r="N1204" s="91"/>
    </row>
    <row r="1205" ht="15.75" hidden="1" customHeight="1">
      <c r="A1205" s="91"/>
      <c r="E1205" s="91"/>
      <c r="H1205" s="91"/>
      <c r="I1205" s="91"/>
      <c r="M1205" s="91"/>
      <c r="N1205" s="91"/>
    </row>
    <row r="1206" ht="15.75" hidden="1" customHeight="1">
      <c r="A1206" s="91"/>
      <c r="E1206" s="91"/>
      <c r="H1206" s="91"/>
      <c r="I1206" s="91"/>
      <c r="M1206" s="91"/>
      <c r="N1206" s="91"/>
    </row>
    <row r="1207" ht="15.75" hidden="1" customHeight="1">
      <c r="A1207" s="91"/>
      <c r="E1207" s="91"/>
      <c r="H1207" s="91"/>
      <c r="I1207" s="91"/>
      <c r="M1207" s="91"/>
      <c r="N1207" s="91"/>
    </row>
    <row r="1208" ht="15.75" hidden="1" customHeight="1">
      <c r="A1208" s="91"/>
      <c r="E1208" s="91"/>
      <c r="H1208" s="91"/>
      <c r="I1208" s="91"/>
      <c r="M1208" s="91"/>
      <c r="N1208" s="91"/>
    </row>
    <row r="1209" ht="15.75" hidden="1" customHeight="1">
      <c r="A1209" s="91"/>
      <c r="E1209" s="91"/>
      <c r="H1209" s="91"/>
      <c r="I1209" s="91"/>
      <c r="M1209" s="91"/>
      <c r="N1209" s="91"/>
    </row>
    <row r="1210" ht="15.75" hidden="1" customHeight="1">
      <c r="A1210" s="91"/>
      <c r="E1210" s="91"/>
      <c r="H1210" s="91"/>
      <c r="I1210" s="91"/>
      <c r="M1210" s="91"/>
      <c r="N1210" s="91"/>
    </row>
    <row r="1211" ht="15.75" hidden="1" customHeight="1">
      <c r="A1211" s="91"/>
      <c r="E1211" s="91"/>
      <c r="H1211" s="91"/>
      <c r="I1211" s="91"/>
      <c r="M1211" s="91"/>
      <c r="N1211" s="91"/>
    </row>
    <row r="1212" ht="15.75" hidden="1" customHeight="1">
      <c r="A1212" s="91"/>
      <c r="E1212" s="91"/>
      <c r="H1212" s="91"/>
      <c r="I1212" s="91"/>
      <c r="M1212" s="91"/>
      <c r="N1212" s="91"/>
    </row>
    <row r="1213" ht="15.75" hidden="1" customHeight="1">
      <c r="A1213" s="91"/>
      <c r="E1213" s="91"/>
      <c r="H1213" s="91"/>
      <c r="I1213" s="91"/>
      <c r="M1213" s="91"/>
      <c r="N1213" s="91"/>
    </row>
    <row r="1214" ht="15.75" hidden="1" customHeight="1">
      <c r="A1214" s="91"/>
      <c r="E1214" s="91"/>
      <c r="H1214" s="91"/>
      <c r="I1214" s="91"/>
      <c r="M1214" s="91"/>
      <c r="N1214" s="91"/>
    </row>
    <row r="1215" ht="15.75" hidden="1" customHeight="1">
      <c r="A1215" s="91"/>
      <c r="E1215" s="91"/>
      <c r="H1215" s="91"/>
      <c r="I1215" s="91"/>
      <c r="M1215" s="91"/>
      <c r="N1215" s="91"/>
    </row>
    <row r="1216" ht="15.75" hidden="1" customHeight="1">
      <c r="A1216" s="91"/>
      <c r="E1216" s="91"/>
      <c r="H1216" s="91"/>
      <c r="I1216" s="91"/>
      <c r="M1216" s="91"/>
      <c r="N1216" s="91"/>
    </row>
    <row r="1217" ht="15.75" hidden="1" customHeight="1">
      <c r="A1217" s="91"/>
      <c r="E1217" s="91"/>
      <c r="H1217" s="91"/>
      <c r="I1217" s="91"/>
      <c r="M1217" s="91"/>
      <c r="N1217" s="91"/>
    </row>
    <row r="1218" ht="15.75" hidden="1" customHeight="1">
      <c r="A1218" s="91"/>
      <c r="E1218" s="91"/>
      <c r="H1218" s="91"/>
      <c r="I1218" s="91"/>
      <c r="M1218" s="91"/>
      <c r="N1218" s="91"/>
    </row>
    <row r="1219" ht="15.75" hidden="1" customHeight="1">
      <c r="A1219" s="91"/>
      <c r="E1219" s="91"/>
      <c r="H1219" s="91"/>
      <c r="I1219" s="91"/>
      <c r="M1219" s="91"/>
      <c r="N1219" s="91"/>
    </row>
    <row r="1220" ht="15.75" hidden="1" customHeight="1">
      <c r="A1220" s="91"/>
      <c r="E1220" s="91"/>
      <c r="H1220" s="91"/>
      <c r="I1220" s="91"/>
      <c r="M1220" s="91"/>
      <c r="N1220" s="91"/>
    </row>
    <row r="1221" ht="15.75" hidden="1" customHeight="1">
      <c r="A1221" s="91"/>
      <c r="E1221" s="91"/>
      <c r="H1221" s="91"/>
      <c r="I1221" s="91"/>
      <c r="M1221" s="91"/>
      <c r="N1221" s="91"/>
    </row>
    <row r="1222" ht="15.75" hidden="1" customHeight="1">
      <c r="A1222" s="91"/>
      <c r="E1222" s="91"/>
      <c r="H1222" s="91"/>
      <c r="I1222" s="91"/>
      <c r="M1222" s="91"/>
      <c r="N1222" s="91"/>
    </row>
    <row r="1223" ht="15.75" hidden="1" customHeight="1">
      <c r="A1223" s="91"/>
      <c r="E1223" s="91"/>
      <c r="H1223" s="91"/>
      <c r="I1223" s="91"/>
      <c r="M1223" s="91"/>
      <c r="N1223" s="91"/>
    </row>
    <row r="1224" ht="15.75" hidden="1" customHeight="1">
      <c r="A1224" s="91"/>
      <c r="E1224" s="91"/>
      <c r="H1224" s="91"/>
      <c r="I1224" s="91"/>
      <c r="M1224" s="91"/>
      <c r="N1224" s="91"/>
    </row>
    <row r="1225" ht="15.75" hidden="1" customHeight="1">
      <c r="A1225" s="91"/>
      <c r="E1225" s="91"/>
      <c r="H1225" s="91"/>
      <c r="I1225" s="91"/>
      <c r="M1225" s="91"/>
      <c r="N1225" s="91"/>
    </row>
    <row r="1226" ht="15.75" hidden="1" customHeight="1">
      <c r="A1226" s="91"/>
      <c r="E1226" s="91"/>
      <c r="H1226" s="91"/>
      <c r="I1226" s="91"/>
      <c r="M1226" s="91"/>
      <c r="N1226" s="91"/>
    </row>
    <row r="1227" ht="15.75" hidden="1" customHeight="1">
      <c r="A1227" s="91"/>
      <c r="E1227" s="91"/>
      <c r="H1227" s="91"/>
      <c r="I1227" s="91"/>
      <c r="M1227" s="91"/>
      <c r="N1227" s="91"/>
    </row>
    <row r="1228" ht="15.75" hidden="1" customHeight="1">
      <c r="A1228" s="91"/>
      <c r="E1228" s="91"/>
      <c r="H1228" s="91"/>
      <c r="I1228" s="91"/>
      <c r="M1228" s="91"/>
      <c r="N1228" s="91"/>
    </row>
    <row r="1229" ht="15.75" hidden="1" customHeight="1">
      <c r="A1229" s="91"/>
      <c r="E1229" s="91"/>
      <c r="H1229" s="91"/>
      <c r="I1229" s="91"/>
      <c r="M1229" s="91"/>
      <c r="N1229" s="91"/>
    </row>
    <row r="1230" ht="15.75" hidden="1" customHeight="1">
      <c r="A1230" s="91"/>
      <c r="E1230" s="91"/>
      <c r="H1230" s="91"/>
      <c r="I1230" s="91"/>
      <c r="M1230" s="91"/>
      <c r="N1230" s="91"/>
    </row>
    <row r="1231" ht="15.75" hidden="1" customHeight="1">
      <c r="A1231" s="91"/>
      <c r="E1231" s="91"/>
      <c r="H1231" s="91"/>
      <c r="I1231" s="91"/>
      <c r="M1231" s="91"/>
      <c r="N1231" s="91"/>
    </row>
    <row r="1232" ht="15.75" hidden="1" customHeight="1">
      <c r="A1232" s="91"/>
      <c r="E1232" s="91"/>
      <c r="H1232" s="91"/>
      <c r="I1232" s="91"/>
      <c r="M1232" s="91"/>
      <c r="N1232" s="91"/>
    </row>
    <row r="1233" ht="15.75" hidden="1" customHeight="1">
      <c r="A1233" s="91"/>
      <c r="E1233" s="91"/>
      <c r="H1233" s="91"/>
      <c r="I1233" s="91"/>
      <c r="M1233" s="91"/>
      <c r="N1233" s="91"/>
    </row>
    <row r="1234" ht="15.75" hidden="1" customHeight="1">
      <c r="A1234" s="91"/>
      <c r="E1234" s="91"/>
      <c r="H1234" s="91"/>
      <c r="I1234" s="91"/>
      <c r="M1234" s="91"/>
      <c r="N1234" s="91"/>
    </row>
    <row r="1235" ht="15.75" hidden="1" customHeight="1">
      <c r="A1235" s="91"/>
      <c r="E1235" s="91"/>
      <c r="H1235" s="91"/>
      <c r="I1235" s="91"/>
      <c r="M1235" s="91"/>
      <c r="N1235" s="91"/>
    </row>
    <row r="1236" ht="15.75" hidden="1" customHeight="1">
      <c r="A1236" s="91"/>
      <c r="E1236" s="91"/>
      <c r="H1236" s="91"/>
      <c r="I1236" s="91"/>
      <c r="M1236" s="91"/>
      <c r="N1236" s="91"/>
    </row>
    <row r="1237" ht="15.75" hidden="1" customHeight="1">
      <c r="A1237" s="91"/>
      <c r="E1237" s="91"/>
      <c r="H1237" s="91"/>
      <c r="I1237" s="91"/>
      <c r="M1237" s="91"/>
      <c r="N1237" s="91"/>
    </row>
    <row r="1238" ht="15.75" hidden="1" customHeight="1">
      <c r="A1238" s="91"/>
      <c r="E1238" s="91"/>
      <c r="H1238" s="91"/>
      <c r="I1238" s="91"/>
      <c r="M1238" s="91"/>
      <c r="N1238" s="91"/>
    </row>
    <row r="1239" ht="15.75" hidden="1" customHeight="1">
      <c r="A1239" s="91"/>
      <c r="E1239" s="91"/>
      <c r="H1239" s="91"/>
      <c r="I1239" s="91"/>
      <c r="M1239" s="91"/>
      <c r="N1239" s="91"/>
    </row>
    <row r="1240" ht="15.75" hidden="1" customHeight="1">
      <c r="A1240" s="91"/>
      <c r="E1240" s="91"/>
      <c r="H1240" s="91"/>
      <c r="I1240" s="91"/>
      <c r="M1240" s="91"/>
      <c r="N1240" s="91"/>
    </row>
    <row r="1241" ht="15.75" hidden="1" customHeight="1">
      <c r="A1241" s="91"/>
      <c r="E1241" s="91"/>
      <c r="H1241" s="91"/>
      <c r="I1241" s="91"/>
      <c r="M1241" s="91"/>
      <c r="N1241" s="91"/>
    </row>
    <row r="1242" ht="15.75" hidden="1" customHeight="1">
      <c r="A1242" s="91"/>
      <c r="E1242" s="91"/>
      <c r="H1242" s="91"/>
      <c r="I1242" s="91"/>
      <c r="M1242" s="91"/>
      <c r="N1242" s="91"/>
    </row>
    <row r="1243" ht="15.75" hidden="1" customHeight="1">
      <c r="A1243" s="91"/>
      <c r="E1243" s="91"/>
      <c r="H1243" s="91"/>
      <c r="I1243" s="91"/>
      <c r="M1243" s="91"/>
      <c r="N1243" s="91"/>
    </row>
    <row r="1244" ht="15.75" hidden="1" customHeight="1">
      <c r="A1244" s="91"/>
      <c r="E1244" s="91"/>
      <c r="H1244" s="91"/>
      <c r="I1244" s="91"/>
      <c r="M1244" s="91"/>
      <c r="N1244" s="91"/>
    </row>
    <row r="1245" ht="15.75" hidden="1" customHeight="1">
      <c r="A1245" s="91"/>
      <c r="E1245" s="91"/>
      <c r="H1245" s="91"/>
      <c r="I1245" s="91"/>
      <c r="M1245" s="91"/>
      <c r="N1245" s="91"/>
    </row>
    <row r="1246" ht="15.75" hidden="1" customHeight="1">
      <c r="A1246" s="91"/>
      <c r="E1246" s="91"/>
      <c r="H1246" s="91"/>
      <c r="I1246" s="91"/>
      <c r="M1246" s="91"/>
      <c r="N1246" s="91"/>
    </row>
    <row r="1247" ht="15.75" hidden="1" customHeight="1">
      <c r="A1247" s="91"/>
      <c r="E1247" s="91"/>
      <c r="H1247" s="91"/>
      <c r="I1247" s="91"/>
      <c r="M1247" s="91"/>
      <c r="N1247" s="91"/>
    </row>
    <row r="1248" ht="15.75" hidden="1" customHeight="1">
      <c r="A1248" s="91"/>
      <c r="E1248" s="91"/>
      <c r="H1248" s="91"/>
      <c r="I1248" s="91"/>
      <c r="M1248" s="91"/>
      <c r="N1248" s="91"/>
    </row>
    <row r="1249" ht="15.75" hidden="1" customHeight="1">
      <c r="A1249" s="91"/>
      <c r="E1249" s="91"/>
      <c r="H1249" s="91"/>
      <c r="I1249" s="91"/>
      <c r="M1249" s="91"/>
      <c r="N1249" s="91"/>
    </row>
    <row r="1250" ht="15.75" hidden="1" customHeight="1">
      <c r="A1250" s="91"/>
      <c r="E1250" s="91"/>
      <c r="H1250" s="91"/>
      <c r="I1250" s="91"/>
      <c r="M1250" s="91"/>
      <c r="N1250" s="91"/>
    </row>
    <row r="1251" ht="15.75" hidden="1" customHeight="1">
      <c r="A1251" s="91"/>
      <c r="E1251" s="91"/>
      <c r="H1251" s="91"/>
      <c r="I1251" s="91"/>
      <c r="M1251" s="91"/>
      <c r="N1251" s="91"/>
    </row>
    <row r="1252" ht="15.75" hidden="1" customHeight="1">
      <c r="A1252" s="91"/>
      <c r="E1252" s="91"/>
      <c r="H1252" s="91"/>
      <c r="I1252" s="91"/>
      <c r="M1252" s="91"/>
      <c r="N1252" s="91"/>
    </row>
    <row r="1253" ht="15.75" hidden="1" customHeight="1">
      <c r="A1253" s="91"/>
      <c r="E1253" s="91"/>
      <c r="H1253" s="91"/>
      <c r="I1253" s="91"/>
      <c r="M1253" s="91"/>
      <c r="N1253" s="91"/>
    </row>
    <row r="1254" ht="15.75" hidden="1" customHeight="1">
      <c r="A1254" s="91"/>
      <c r="E1254" s="91"/>
      <c r="H1254" s="91"/>
      <c r="I1254" s="91"/>
      <c r="M1254" s="91"/>
      <c r="N1254" s="91"/>
    </row>
    <row r="1255" ht="15.75" hidden="1" customHeight="1">
      <c r="A1255" s="91"/>
      <c r="E1255" s="91"/>
      <c r="H1255" s="91"/>
      <c r="I1255" s="91"/>
      <c r="M1255" s="91"/>
      <c r="N1255" s="91"/>
    </row>
    <row r="1256" ht="15.75" hidden="1" customHeight="1">
      <c r="A1256" s="91"/>
      <c r="E1256" s="91"/>
      <c r="H1256" s="91"/>
      <c r="I1256" s="91"/>
      <c r="M1256" s="91"/>
      <c r="N1256" s="91"/>
    </row>
    <row r="1257" ht="15.75" hidden="1" customHeight="1">
      <c r="A1257" s="91"/>
      <c r="E1257" s="91"/>
      <c r="H1257" s="91"/>
      <c r="I1257" s="91"/>
      <c r="M1257" s="91"/>
      <c r="N1257" s="91"/>
    </row>
    <row r="1258" ht="15.75" hidden="1" customHeight="1">
      <c r="A1258" s="91"/>
      <c r="E1258" s="91"/>
      <c r="H1258" s="91"/>
      <c r="I1258" s="91"/>
      <c r="M1258" s="91"/>
      <c r="N1258" s="91"/>
    </row>
    <row r="1259" ht="15.75" hidden="1" customHeight="1">
      <c r="A1259" s="91"/>
      <c r="E1259" s="91"/>
      <c r="H1259" s="91"/>
      <c r="I1259" s="91"/>
      <c r="M1259" s="91"/>
      <c r="N1259" s="91"/>
    </row>
    <row r="1260" ht="15.75" hidden="1" customHeight="1">
      <c r="A1260" s="91"/>
      <c r="E1260" s="91"/>
      <c r="H1260" s="91"/>
      <c r="I1260" s="91"/>
      <c r="M1260" s="91"/>
      <c r="N1260" s="91"/>
    </row>
    <row r="1261" ht="15.75" hidden="1" customHeight="1">
      <c r="A1261" s="91"/>
      <c r="E1261" s="91"/>
      <c r="H1261" s="91"/>
      <c r="I1261" s="91"/>
      <c r="M1261" s="91"/>
      <c r="N1261" s="91"/>
    </row>
    <row r="1262" ht="15.75" hidden="1" customHeight="1">
      <c r="A1262" s="91"/>
      <c r="E1262" s="91"/>
      <c r="H1262" s="91"/>
      <c r="I1262" s="91"/>
      <c r="M1262" s="91"/>
      <c r="N1262" s="91"/>
    </row>
    <row r="1263" ht="15.75" hidden="1" customHeight="1">
      <c r="A1263" s="91"/>
      <c r="E1263" s="91"/>
      <c r="H1263" s="91"/>
      <c r="I1263" s="91"/>
      <c r="M1263" s="91"/>
      <c r="N1263" s="91"/>
    </row>
    <row r="1264" ht="15.75" hidden="1" customHeight="1">
      <c r="A1264" s="91"/>
      <c r="E1264" s="91"/>
      <c r="H1264" s="91"/>
      <c r="I1264" s="91"/>
      <c r="M1264" s="91"/>
      <c r="N1264" s="91"/>
    </row>
    <row r="1265" ht="15.75" hidden="1" customHeight="1">
      <c r="A1265" s="91"/>
      <c r="E1265" s="91"/>
      <c r="H1265" s="91"/>
      <c r="I1265" s="91"/>
      <c r="M1265" s="91"/>
      <c r="N1265" s="91"/>
    </row>
    <row r="1266" ht="15.75" hidden="1" customHeight="1">
      <c r="A1266" s="91"/>
      <c r="E1266" s="91"/>
      <c r="H1266" s="91"/>
      <c r="I1266" s="91"/>
      <c r="M1266" s="91"/>
      <c r="N1266" s="91"/>
    </row>
    <row r="1267" ht="15.75" hidden="1" customHeight="1">
      <c r="A1267" s="91"/>
      <c r="E1267" s="91"/>
      <c r="H1267" s="91"/>
      <c r="I1267" s="91"/>
      <c r="M1267" s="91"/>
      <c r="N1267" s="91"/>
    </row>
    <row r="1268" ht="15.75" hidden="1" customHeight="1">
      <c r="A1268" s="91"/>
      <c r="E1268" s="91"/>
      <c r="H1268" s="91"/>
      <c r="I1268" s="91"/>
      <c r="M1268" s="91"/>
      <c r="N1268" s="91"/>
    </row>
    <row r="1269" ht="15.75" hidden="1" customHeight="1">
      <c r="A1269" s="91"/>
      <c r="E1269" s="91"/>
      <c r="H1269" s="91"/>
      <c r="I1269" s="91"/>
      <c r="M1269" s="91"/>
      <c r="N1269" s="91"/>
    </row>
    <row r="1270" ht="15.75" hidden="1" customHeight="1">
      <c r="A1270" s="91"/>
      <c r="E1270" s="91"/>
      <c r="H1270" s="91"/>
      <c r="I1270" s="91"/>
      <c r="M1270" s="91"/>
      <c r="N1270" s="91"/>
    </row>
    <row r="1271" ht="15.75" hidden="1" customHeight="1">
      <c r="A1271" s="91"/>
      <c r="E1271" s="91"/>
      <c r="H1271" s="91"/>
      <c r="I1271" s="91"/>
      <c r="M1271" s="91"/>
      <c r="N1271" s="91"/>
    </row>
    <row r="1272" ht="15.75" hidden="1" customHeight="1">
      <c r="A1272" s="91"/>
      <c r="E1272" s="91"/>
      <c r="H1272" s="91"/>
      <c r="I1272" s="91"/>
      <c r="M1272" s="91"/>
      <c r="N1272" s="91"/>
    </row>
    <row r="1273" ht="15.75" hidden="1" customHeight="1">
      <c r="A1273" s="91"/>
      <c r="E1273" s="91"/>
      <c r="H1273" s="91"/>
      <c r="I1273" s="91"/>
      <c r="M1273" s="91"/>
      <c r="N1273" s="91"/>
    </row>
    <row r="1274" ht="15.75" hidden="1" customHeight="1">
      <c r="A1274" s="91"/>
      <c r="E1274" s="91"/>
      <c r="H1274" s="91"/>
      <c r="I1274" s="91"/>
      <c r="M1274" s="91"/>
      <c r="N1274" s="91"/>
    </row>
    <row r="1275" ht="15.75" hidden="1" customHeight="1">
      <c r="A1275" s="91"/>
      <c r="E1275" s="91"/>
      <c r="H1275" s="91"/>
      <c r="I1275" s="91"/>
      <c r="M1275" s="91"/>
      <c r="N1275" s="91"/>
    </row>
    <row r="1276" ht="15.75" hidden="1" customHeight="1">
      <c r="A1276" s="91"/>
      <c r="E1276" s="91"/>
      <c r="H1276" s="91"/>
      <c r="I1276" s="91"/>
      <c r="M1276" s="91"/>
      <c r="N1276" s="91"/>
    </row>
    <row r="1277" ht="15.75" hidden="1" customHeight="1">
      <c r="A1277" s="91"/>
      <c r="E1277" s="91"/>
      <c r="H1277" s="91"/>
      <c r="I1277" s="91"/>
      <c r="M1277" s="91"/>
      <c r="N1277" s="91"/>
    </row>
    <row r="1278" ht="15.75" hidden="1" customHeight="1">
      <c r="A1278" s="91"/>
      <c r="E1278" s="91"/>
      <c r="H1278" s="91"/>
      <c r="I1278" s="91"/>
      <c r="M1278" s="91"/>
      <c r="N1278" s="91"/>
    </row>
    <row r="1279" ht="15.75" hidden="1" customHeight="1">
      <c r="A1279" s="91"/>
      <c r="E1279" s="91"/>
      <c r="H1279" s="91"/>
      <c r="I1279" s="91"/>
      <c r="M1279" s="91"/>
      <c r="N1279" s="91"/>
    </row>
    <row r="1280" ht="15.75" hidden="1" customHeight="1">
      <c r="A1280" s="91"/>
      <c r="E1280" s="91"/>
      <c r="H1280" s="91"/>
      <c r="I1280" s="91"/>
      <c r="M1280" s="91"/>
      <c r="N1280" s="91"/>
    </row>
    <row r="1281" ht="15.75" hidden="1" customHeight="1">
      <c r="A1281" s="91"/>
      <c r="E1281" s="91"/>
      <c r="H1281" s="91"/>
      <c r="I1281" s="91"/>
      <c r="M1281" s="91"/>
      <c r="N1281" s="91"/>
    </row>
    <row r="1282" ht="15.75" hidden="1" customHeight="1">
      <c r="A1282" s="91"/>
      <c r="E1282" s="91"/>
      <c r="H1282" s="91"/>
      <c r="I1282" s="91"/>
      <c r="M1282" s="91"/>
      <c r="N1282" s="91"/>
    </row>
    <row r="1283" ht="15.75" hidden="1" customHeight="1">
      <c r="A1283" s="91"/>
      <c r="E1283" s="91"/>
      <c r="H1283" s="91"/>
      <c r="I1283" s="91"/>
      <c r="M1283" s="91"/>
      <c r="N1283" s="91"/>
    </row>
    <row r="1284" ht="15.75" hidden="1" customHeight="1">
      <c r="A1284" s="91"/>
      <c r="E1284" s="91"/>
      <c r="H1284" s="91"/>
      <c r="I1284" s="91"/>
      <c r="M1284" s="91"/>
      <c r="N1284" s="91"/>
    </row>
    <row r="1285" ht="15.75" hidden="1" customHeight="1">
      <c r="A1285" s="91"/>
      <c r="E1285" s="91"/>
      <c r="H1285" s="91"/>
      <c r="I1285" s="91"/>
      <c r="M1285" s="91"/>
      <c r="N1285" s="91"/>
    </row>
    <row r="1286" ht="15.75" hidden="1" customHeight="1">
      <c r="A1286" s="91"/>
      <c r="E1286" s="91"/>
      <c r="H1286" s="91"/>
      <c r="I1286" s="91"/>
      <c r="M1286" s="91"/>
      <c r="N1286" s="91"/>
    </row>
    <row r="1287" ht="15.75" hidden="1" customHeight="1">
      <c r="A1287" s="91"/>
      <c r="E1287" s="91"/>
      <c r="H1287" s="91"/>
      <c r="I1287" s="91"/>
      <c r="M1287" s="91"/>
      <c r="N1287" s="91"/>
    </row>
    <row r="1288" ht="15.75" hidden="1" customHeight="1">
      <c r="A1288" s="91"/>
      <c r="E1288" s="91"/>
      <c r="H1288" s="91"/>
      <c r="I1288" s="91"/>
      <c r="M1288" s="91"/>
      <c r="N1288" s="91"/>
    </row>
    <row r="1289" ht="15.75" hidden="1" customHeight="1">
      <c r="A1289" s="91"/>
      <c r="E1289" s="91"/>
      <c r="H1289" s="91"/>
      <c r="I1289" s="91"/>
      <c r="M1289" s="91"/>
      <c r="N1289" s="91"/>
    </row>
    <row r="1290" ht="15.75" hidden="1" customHeight="1">
      <c r="A1290" s="91"/>
      <c r="E1290" s="91"/>
      <c r="H1290" s="91"/>
      <c r="I1290" s="91"/>
      <c r="M1290" s="91"/>
      <c r="N1290" s="91"/>
    </row>
    <row r="1291" ht="15.75" hidden="1" customHeight="1">
      <c r="A1291" s="91"/>
      <c r="E1291" s="91"/>
      <c r="H1291" s="91"/>
      <c r="I1291" s="91"/>
      <c r="M1291" s="91"/>
      <c r="N1291" s="91"/>
    </row>
    <row r="1292" ht="15.75" hidden="1" customHeight="1">
      <c r="A1292" s="91"/>
      <c r="E1292" s="91"/>
      <c r="H1292" s="91"/>
      <c r="I1292" s="91"/>
      <c r="M1292" s="91"/>
      <c r="N1292" s="91"/>
    </row>
    <row r="1293" ht="15.75" hidden="1" customHeight="1">
      <c r="A1293" s="91"/>
      <c r="E1293" s="91"/>
      <c r="H1293" s="91"/>
      <c r="I1293" s="91"/>
      <c r="M1293" s="91"/>
      <c r="N1293" s="91"/>
    </row>
    <row r="1294" ht="15.75" hidden="1" customHeight="1">
      <c r="A1294" s="91"/>
      <c r="E1294" s="91"/>
      <c r="H1294" s="91"/>
      <c r="I1294" s="91"/>
      <c r="M1294" s="91"/>
      <c r="N1294" s="91"/>
    </row>
    <row r="1295" ht="15.75" hidden="1" customHeight="1">
      <c r="A1295" s="91"/>
      <c r="E1295" s="91"/>
      <c r="H1295" s="91"/>
      <c r="I1295" s="91"/>
      <c r="M1295" s="91"/>
      <c r="N1295" s="91"/>
    </row>
    <row r="1296" ht="15.75" hidden="1" customHeight="1">
      <c r="A1296" s="91"/>
      <c r="E1296" s="91"/>
      <c r="H1296" s="91"/>
      <c r="I1296" s="91"/>
      <c r="M1296" s="91"/>
      <c r="N1296" s="91"/>
    </row>
    <row r="1297" ht="15.75" hidden="1" customHeight="1">
      <c r="A1297" s="91"/>
      <c r="E1297" s="91"/>
      <c r="H1297" s="91"/>
      <c r="I1297" s="91"/>
      <c r="M1297" s="91"/>
      <c r="N1297" s="91"/>
    </row>
    <row r="1298" ht="15.75" hidden="1" customHeight="1">
      <c r="A1298" s="91"/>
      <c r="E1298" s="91"/>
      <c r="H1298" s="91"/>
      <c r="I1298" s="91"/>
      <c r="M1298" s="91"/>
      <c r="N1298" s="91"/>
    </row>
    <row r="1299" ht="15.75" hidden="1" customHeight="1">
      <c r="A1299" s="91"/>
      <c r="E1299" s="91"/>
      <c r="H1299" s="91"/>
      <c r="I1299" s="91"/>
      <c r="M1299" s="91"/>
      <c r="N1299" s="91"/>
    </row>
    <row r="1300" ht="15.75" hidden="1" customHeight="1">
      <c r="A1300" s="91"/>
      <c r="E1300" s="91"/>
      <c r="H1300" s="91"/>
      <c r="I1300" s="91"/>
      <c r="M1300" s="91"/>
      <c r="N1300" s="91"/>
    </row>
    <row r="1301" ht="15.75" hidden="1" customHeight="1">
      <c r="A1301" s="91"/>
      <c r="E1301" s="91"/>
      <c r="H1301" s="91"/>
      <c r="I1301" s="91"/>
      <c r="M1301" s="91"/>
      <c r="N1301" s="91"/>
    </row>
    <row r="1302" ht="15.75" hidden="1" customHeight="1">
      <c r="A1302" s="91"/>
      <c r="E1302" s="91"/>
      <c r="H1302" s="91"/>
      <c r="I1302" s="91"/>
      <c r="M1302" s="91"/>
      <c r="N1302" s="91"/>
    </row>
    <row r="1303" ht="15.75" hidden="1" customHeight="1">
      <c r="A1303" s="91"/>
      <c r="E1303" s="91"/>
      <c r="H1303" s="91"/>
      <c r="I1303" s="91"/>
      <c r="M1303" s="91"/>
      <c r="N1303" s="91"/>
    </row>
    <row r="1304" ht="15.75" hidden="1" customHeight="1">
      <c r="A1304" s="91"/>
      <c r="E1304" s="91"/>
      <c r="H1304" s="91"/>
      <c r="I1304" s="91"/>
      <c r="M1304" s="91"/>
      <c r="N1304" s="91"/>
    </row>
    <row r="1305" ht="15.75" hidden="1" customHeight="1">
      <c r="A1305" s="91"/>
      <c r="E1305" s="91"/>
      <c r="H1305" s="91"/>
      <c r="I1305" s="91"/>
      <c r="M1305" s="91"/>
      <c r="N1305" s="91"/>
    </row>
    <row r="1306" ht="15.75" hidden="1" customHeight="1">
      <c r="A1306" s="91"/>
      <c r="E1306" s="91"/>
      <c r="H1306" s="91"/>
      <c r="I1306" s="91"/>
      <c r="M1306" s="91"/>
      <c r="N1306" s="91"/>
    </row>
    <row r="1307" ht="15.75" hidden="1" customHeight="1">
      <c r="A1307" s="91"/>
      <c r="E1307" s="91"/>
      <c r="H1307" s="91"/>
      <c r="I1307" s="91"/>
      <c r="M1307" s="91"/>
      <c r="N1307" s="91"/>
    </row>
    <row r="1308" ht="15.75" hidden="1" customHeight="1">
      <c r="A1308" s="91"/>
      <c r="E1308" s="91"/>
      <c r="H1308" s="91"/>
      <c r="I1308" s="91"/>
      <c r="M1308" s="91"/>
      <c r="N1308" s="91"/>
    </row>
    <row r="1309" ht="15.75" hidden="1" customHeight="1">
      <c r="A1309" s="91"/>
      <c r="E1309" s="91"/>
      <c r="H1309" s="91"/>
      <c r="I1309" s="91"/>
      <c r="M1309" s="91"/>
      <c r="N1309" s="91"/>
    </row>
    <row r="1310" ht="15.75" hidden="1" customHeight="1">
      <c r="A1310" s="91"/>
      <c r="E1310" s="91"/>
      <c r="H1310" s="91"/>
      <c r="I1310" s="91"/>
      <c r="M1310" s="91"/>
      <c r="N1310" s="91"/>
    </row>
    <row r="1311" ht="15.75" hidden="1" customHeight="1">
      <c r="A1311" s="91"/>
      <c r="E1311" s="91"/>
      <c r="H1311" s="91"/>
      <c r="I1311" s="91"/>
      <c r="M1311" s="91"/>
      <c r="N1311" s="91"/>
    </row>
    <row r="1312" ht="15.75" hidden="1" customHeight="1">
      <c r="A1312" s="91"/>
      <c r="E1312" s="91"/>
      <c r="H1312" s="91"/>
      <c r="I1312" s="91"/>
      <c r="M1312" s="91"/>
      <c r="N1312" s="91"/>
    </row>
    <row r="1313" ht="15.75" hidden="1" customHeight="1">
      <c r="A1313" s="91"/>
      <c r="E1313" s="91"/>
      <c r="H1313" s="91"/>
      <c r="I1313" s="91"/>
      <c r="M1313" s="91"/>
      <c r="N1313" s="91"/>
    </row>
    <row r="1314" ht="15.75" hidden="1" customHeight="1">
      <c r="A1314" s="91"/>
      <c r="E1314" s="91"/>
      <c r="H1314" s="91"/>
      <c r="I1314" s="91"/>
      <c r="M1314" s="91"/>
      <c r="N1314" s="91"/>
    </row>
    <row r="1315" ht="15.75" hidden="1" customHeight="1">
      <c r="A1315" s="91"/>
      <c r="E1315" s="91"/>
      <c r="H1315" s="91"/>
      <c r="I1315" s="91"/>
      <c r="M1315" s="91"/>
      <c r="N1315" s="91"/>
    </row>
    <row r="1316" ht="15.75" hidden="1" customHeight="1">
      <c r="A1316" s="91"/>
      <c r="E1316" s="91"/>
      <c r="H1316" s="91"/>
      <c r="I1316" s="91"/>
      <c r="M1316" s="91"/>
      <c r="N1316" s="91"/>
    </row>
    <row r="1317" ht="15.75" hidden="1" customHeight="1">
      <c r="A1317" s="91"/>
      <c r="E1317" s="91"/>
      <c r="H1317" s="91"/>
      <c r="I1317" s="91"/>
      <c r="M1317" s="91"/>
      <c r="N1317" s="91"/>
    </row>
    <row r="1318" ht="15.75" hidden="1" customHeight="1">
      <c r="A1318" s="91"/>
      <c r="E1318" s="91"/>
      <c r="H1318" s="91"/>
      <c r="I1318" s="91"/>
      <c r="M1318" s="91"/>
      <c r="N1318" s="91"/>
    </row>
    <row r="1319" ht="15.75" hidden="1" customHeight="1">
      <c r="A1319" s="91"/>
      <c r="E1319" s="91"/>
      <c r="H1319" s="91"/>
      <c r="I1319" s="91"/>
      <c r="M1319" s="91"/>
      <c r="N1319" s="91"/>
    </row>
    <row r="1320" ht="15.75" hidden="1" customHeight="1">
      <c r="A1320" s="91"/>
      <c r="E1320" s="91"/>
      <c r="H1320" s="91"/>
      <c r="I1320" s="91"/>
      <c r="M1320" s="91"/>
      <c r="N1320" s="91"/>
    </row>
    <row r="1321" ht="15.75" hidden="1" customHeight="1">
      <c r="A1321" s="91"/>
      <c r="E1321" s="91"/>
      <c r="H1321" s="91"/>
      <c r="I1321" s="91"/>
      <c r="M1321" s="91"/>
      <c r="N1321" s="91"/>
    </row>
    <row r="1322" ht="15.75" hidden="1" customHeight="1">
      <c r="A1322" s="91"/>
      <c r="E1322" s="91"/>
      <c r="H1322" s="91"/>
      <c r="I1322" s="91"/>
      <c r="M1322" s="91"/>
      <c r="N1322" s="91"/>
    </row>
    <row r="1323" ht="15.75" hidden="1" customHeight="1">
      <c r="A1323" s="91"/>
      <c r="E1323" s="91"/>
      <c r="H1323" s="91"/>
      <c r="I1323" s="91"/>
      <c r="M1323" s="91"/>
      <c r="N1323" s="91"/>
    </row>
    <row r="1324" ht="15.75" hidden="1" customHeight="1">
      <c r="A1324" s="91"/>
      <c r="E1324" s="91"/>
      <c r="H1324" s="91"/>
      <c r="I1324" s="91"/>
      <c r="M1324" s="91"/>
      <c r="N1324" s="91"/>
    </row>
    <row r="1325" ht="15.75" hidden="1" customHeight="1">
      <c r="A1325" s="91"/>
      <c r="E1325" s="91"/>
      <c r="H1325" s="91"/>
      <c r="I1325" s="91"/>
      <c r="M1325" s="91"/>
      <c r="N1325" s="91"/>
    </row>
    <row r="1326" ht="15.75" hidden="1" customHeight="1">
      <c r="A1326" s="91"/>
      <c r="E1326" s="91"/>
      <c r="H1326" s="91"/>
      <c r="I1326" s="91"/>
      <c r="M1326" s="91"/>
      <c r="N1326" s="91"/>
    </row>
    <row r="1327" ht="15.75" hidden="1" customHeight="1">
      <c r="A1327" s="91"/>
      <c r="E1327" s="91"/>
      <c r="H1327" s="91"/>
      <c r="I1327" s="91"/>
      <c r="M1327" s="91"/>
      <c r="N1327" s="91"/>
    </row>
    <row r="1328" ht="15.75" hidden="1" customHeight="1">
      <c r="A1328" s="91"/>
      <c r="E1328" s="91"/>
      <c r="H1328" s="91"/>
      <c r="I1328" s="91"/>
      <c r="M1328" s="91"/>
      <c r="N1328" s="91"/>
    </row>
    <row r="1329" ht="15.75" hidden="1" customHeight="1">
      <c r="A1329" s="91"/>
      <c r="E1329" s="91"/>
      <c r="H1329" s="91"/>
      <c r="I1329" s="91"/>
      <c r="M1329" s="91"/>
      <c r="N1329" s="91"/>
    </row>
    <row r="1330" ht="15.75" hidden="1" customHeight="1">
      <c r="A1330" s="91"/>
      <c r="E1330" s="91"/>
      <c r="H1330" s="91"/>
      <c r="I1330" s="91"/>
      <c r="M1330" s="91"/>
      <c r="N1330" s="91"/>
    </row>
    <row r="1331" ht="15.75" hidden="1" customHeight="1">
      <c r="A1331" s="91"/>
      <c r="E1331" s="91"/>
      <c r="H1331" s="91"/>
      <c r="I1331" s="91"/>
      <c r="M1331" s="91"/>
      <c r="N1331" s="91"/>
    </row>
    <row r="1332" ht="15.75" hidden="1" customHeight="1">
      <c r="A1332" s="91"/>
      <c r="E1332" s="91"/>
      <c r="H1332" s="91"/>
      <c r="I1332" s="91"/>
      <c r="M1332" s="91"/>
      <c r="N1332" s="91"/>
    </row>
    <row r="1333" ht="15.75" hidden="1" customHeight="1">
      <c r="A1333" s="91"/>
      <c r="E1333" s="91"/>
      <c r="H1333" s="91"/>
      <c r="I1333" s="91"/>
      <c r="M1333" s="91"/>
      <c r="N1333" s="91"/>
    </row>
    <row r="1334" ht="15.75" hidden="1" customHeight="1">
      <c r="A1334" s="91"/>
      <c r="E1334" s="91"/>
      <c r="H1334" s="91"/>
      <c r="I1334" s="91"/>
      <c r="M1334" s="91"/>
      <c r="N1334" s="91"/>
    </row>
    <row r="1335" ht="15.75" hidden="1" customHeight="1">
      <c r="A1335" s="91"/>
      <c r="E1335" s="91"/>
      <c r="H1335" s="91"/>
      <c r="I1335" s="91"/>
      <c r="M1335" s="91"/>
      <c r="N1335" s="91"/>
    </row>
    <row r="1336" ht="15.75" hidden="1" customHeight="1">
      <c r="A1336" s="91"/>
      <c r="E1336" s="91"/>
      <c r="H1336" s="91"/>
      <c r="I1336" s="91"/>
      <c r="M1336" s="91"/>
      <c r="N1336" s="91"/>
    </row>
    <row r="1337" ht="15.75" hidden="1" customHeight="1">
      <c r="A1337" s="91"/>
      <c r="E1337" s="91"/>
      <c r="H1337" s="91"/>
      <c r="I1337" s="91"/>
      <c r="M1337" s="91"/>
      <c r="N1337" s="91"/>
    </row>
    <row r="1338" ht="15.75" hidden="1" customHeight="1">
      <c r="A1338" s="91"/>
      <c r="E1338" s="91"/>
      <c r="H1338" s="91"/>
      <c r="I1338" s="91"/>
      <c r="M1338" s="91"/>
      <c r="N1338" s="91"/>
    </row>
    <row r="1339" ht="15.75" hidden="1" customHeight="1">
      <c r="A1339" s="91"/>
      <c r="E1339" s="91"/>
      <c r="H1339" s="91"/>
      <c r="I1339" s="91"/>
      <c r="M1339" s="91"/>
      <c r="N1339" s="91"/>
    </row>
    <row r="1340" ht="15.75" hidden="1" customHeight="1">
      <c r="A1340" s="91"/>
      <c r="E1340" s="91"/>
      <c r="H1340" s="91"/>
      <c r="I1340" s="91"/>
      <c r="M1340" s="91"/>
      <c r="N1340" s="91"/>
    </row>
    <row r="1341" ht="15.75" hidden="1" customHeight="1">
      <c r="A1341" s="91"/>
      <c r="E1341" s="91"/>
      <c r="H1341" s="91"/>
      <c r="I1341" s="91"/>
      <c r="M1341" s="91"/>
      <c r="N1341" s="91"/>
    </row>
    <row r="1342" ht="15.75" hidden="1" customHeight="1">
      <c r="A1342" s="91"/>
      <c r="E1342" s="91"/>
      <c r="H1342" s="91"/>
      <c r="I1342" s="91"/>
      <c r="M1342" s="91"/>
      <c r="N1342" s="91"/>
    </row>
    <row r="1343" ht="15.75" hidden="1" customHeight="1">
      <c r="A1343" s="91"/>
      <c r="E1343" s="91"/>
      <c r="H1343" s="91"/>
      <c r="I1343" s="91"/>
      <c r="M1343" s="91"/>
      <c r="N1343" s="91"/>
    </row>
    <row r="1344" ht="15.75" hidden="1" customHeight="1">
      <c r="A1344" s="91"/>
      <c r="E1344" s="91"/>
      <c r="H1344" s="91"/>
      <c r="I1344" s="91"/>
      <c r="M1344" s="91"/>
      <c r="N1344" s="91"/>
    </row>
    <row r="1345" ht="15.75" hidden="1" customHeight="1">
      <c r="A1345" s="91"/>
      <c r="E1345" s="91"/>
      <c r="H1345" s="91"/>
      <c r="I1345" s="91"/>
      <c r="M1345" s="91"/>
      <c r="N1345" s="91"/>
    </row>
    <row r="1346" ht="15.75" hidden="1" customHeight="1">
      <c r="A1346" s="91"/>
      <c r="E1346" s="91"/>
      <c r="H1346" s="91"/>
      <c r="I1346" s="91"/>
      <c r="M1346" s="91"/>
      <c r="N1346" s="91"/>
    </row>
    <row r="1347" ht="15.75" hidden="1" customHeight="1">
      <c r="A1347" s="91"/>
      <c r="E1347" s="91"/>
      <c r="H1347" s="91"/>
      <c r="I1347" s="91"/>
      <c r="M1347" s="91"/>
      <c r="N1347" s="91"/>
    </row>
    <row r="1348" ht="15.75" hidden="1" customHeight="1">
      <c r="A1348" s="91"/>
      <c r="E1348" s="91"/>
      <c r="H1348" s="91"/>
      <c r="I1348" s="91"/>
      <c r="M1348" s="91"/>
      <c r="N1348" s="91"/>
    </row>
    <row r="1349" ht="15.75" hidden="1" customHeight="1">
      <c r="A1349" s="91"/>
      <c r="E1349" s="91"/>
      <c r="H1349" s="91"/>
      <c r="I1349" s="91"/>
      <c r="M1349" s="91"/>
      <c r="N1349" s="91"/>
    </row>
    <row r="1350" ht="15.75" hidden="1" customHeight="1">
      <c r="A1350" s="91"/>
      <c r="E1350" s="91"/>
      <c r="H1350" s="91"/>
      <c r="I1350" s="91"/>
      <c r="M1350" s="91"/>
      <c r="N1350" s="91"/>
    </row>
    <row r="1351" ht="15.75" hidden="1" customHeight="1">
      <c r="A1351" s="91"/>
      <c r="E1351" s="91"/>
      <c r="H1351" s="91"/>
      <c r="I1351" s="91"/>
      <c r="M1351" s="91"/>
      <c r="N1351" s="91"/>
    </row>
    <row r="1352" ht="15.75" hidden="1" customHeight="1">
      <c r="A1352" s="91"/>
      <c r="E1352" s="91"/>
      <c r="H1352" s="91"/>
      <c r="I1352" s="91"/>
      <c r="M1352" s="91"/>
      <c r="N1352" s="91"/>
    </row>
    <row r="1353" ht="15.75" hidden="1" customHeight="1">
      <c r="A1353" s="91"/>
      <c r="E1353" s="91"/>
      <c r="H1353" s="91"/>
      <c r="I1353" s="91"/>
      <c r="M1353" s="91"/>
      <c r="N1353" s="91"/>
    </row>
    <row r="1354" ht="15.75" hidden="1" customHeight="1">
      <c r="A1354" s="91"/>
      <c r="E1354" s="91"/>
      <c r="H1354" s="91"/>
      <c r="I1354" s="91"/>
      <c r="M1354" s="91"/>
      <c r="N1354" s="91"/>
    </row>
    <row r="1355" ht="15.75" hidden="1" customHeight="1">
      <c r="A1355" s="91"/>
      <c r="E1355" s="91"/>
      <c r="H1355" s="91"/>
      <c r="I1355" s="91"/>
      <c r="M1355" s="91"/>
      <c r="N1355" s="91"/>
    </row>
    <row r="1356" ht="15.75" hidden="1" customHeight="1">
      <c r="A1356" s="91"/>
      <c r="E1356" s="91"/>
      <c r="H1356" s="91"/>
      <c r="I1356" s="91"/>
      <c r="M1356" s="91"/>
      <c r="N1356" s="91"/>
    </row>
    <row r="1357" ht="15.75" hidden="1" customHeight="1">
      <c r="A1357" s="91"/>
      <c r="E1357" s="91"/>
      <c r="H1357" s="91"/>
      <c r="I1357" s="91"/>
      <c r="M1357" s="91"/>
      <c r="N1357" s="91"/>
    </row>
    <row r="1358" ht="15.75" hidden="1" customHeight="1">
      <c r="A1358" s="91"/>
      <c r="E1358" s="91"/>
      <c r="H1358" s="91"/>
      <c r="I1358" s="91"/>
      <c r="M1358" s="91"/>
      <c r="N1358" s="91"/>
    </row>
    <row r="1359" ht="15.75" hidden="1" customHeight="1">
      <c r="A1359" s="91"/>
      <c r="E1359" s="91"/>
      <c r="H1359" s="91"/>
      <c r="I1359" s="91"/>
      <c r="M1359" s="91"/>
      <c r="N1359" s="91"/>
    </row>
    <row r="1360" ht="15.75" hidden="1" customHeight="1">
      <c r="A1360" s="91"/>
      <c r="E1360" s="91"/>
      <c r="H1360" s="91"/>
      <c r="I1360" s="91"/>
      <c r="M1360" s="91"/>
      <c r="N1360" s="91"/>
    </row>
    <row r="1361" ht="15.75" hidden="1" customHeight="1">
      <c r="A1361" s="91"/>
      <c r="E1361" s="91"/>
      <c r="H1361" s="91"/>
      <c r="I1361" s="91"/>
      <c r="M1361" s="91"/>
      <c r="N1361" s="91"/>
    </row>
    <row r="1362" ht="15.75" hidden="1" customHeight="1">
      <c r="A1362" s="91"/>
      <c r="E1362" s="91"/>
      <c r="H1362" s="91"/>
      <c r="I1362" s="91"/>
      <c r="M1362" s="91"/>
      <c r="N1362" s="91"/>
    </row>
    <row r="1363" ht="15.75" hidden="1" customHeight="1">
      <c r="A1363" s="91"/>
      <c r="E1363" s="91"/>
      <c r="H1363" s="91"/>
      <c r="I1363" s="91"/>
      <c r="M1363" s="91"/>
      <c r="N1363" s="91"/>
    </row>
    <row r="1364" ht="15.75" hidden="1" customHeight="1">
      <c r="A1364" s="91"/>
      <c r="E1364" s="91"/>
      <c r="H1364" s="91"/>
      <c r="I1364" s="91"/>
      <c r="M1364" s="91"/>
      <c r="N1364" s="91"/>
    </row>
    <row r="1365" ht="15.75" hidden="1" customHeight="1">
      <c r="A1365" s="91"/>
      <c r="E1365" s="91"/>
      <c r="H1365" s="91"/>
      <c r="I1365" s="91"/>
      <c r="M1365" s="91"/>
      <c r="N1365" s="91"/>
    </row>
    <row r="1366" ht="15.75" hidden="1" customHeight="1">
      <c r="A1366" s="91"/>
      <c r="E1366" s="91"/>
      <c r="H1366" s="91"/>
      <c r="I1366" s="91"/>
      <c r="M1366" s="91"/>
      <c r="N1366" s="91"/>
    </row>
    <row r="1367" ht="15.75" hidden="1" customHeight="1">
      <c r="A1367" s="91"/>
      <c r="E1367" s="91"/>
      <c r="H1367" s="91"/>
      <c r="I1367" s="91"/>
      <c r="M1367" s="91"/>
      <c r="N1367" s="91"/>
    </row>
    <row r="1368" ht="15.75" hidden="1" customHeight="1">
      <c r="A1368" s="91"/>
      <c r="E1368" s="91"/>
      <c r="H1368" s="91"/>
      <c r="I1368" s="91"/>
      <c r="M1368" s="91"/>
      <c r="N1368" s="91"/>
    </row>
    <row r="1369" ht="15.75" hidden="1" customHeight="1">
      <c r="A1369" s="91"/>
      <c r="E1369" s="91"/>
      <c r="H1369" s="91"/>
      <c r="I1369" s="91"/>
      <c r="M1369" s="91"/>
      <c r="N1369" s="91"/>
    </row>
    <row r="1370" ht="15.75" hidden="1" customHeight="1">
      <c r="A1370" s="91"/>
      <c r="E1370" s="91"/>
      <c r="H1370" s="91"/>
      <c r="I1370" s="91"/>
      <c r="M1370" s="91"/>
      <c r="N1370" s="91"/>
    </row>
    <row r="1371" ht="15.75" hidden="1" customHeight="1">
      <c r="A1371" s="91"/>
      <c r="E1371" s="91"/>
      <c r="H1371" s="91"/>
      <c r="I1371" s="91"/>
      <c r="M1371" s="91"/>
      <c r="N1371" s="91"/>
    </row>
    <row r="1372" ht="15.75" hidden="1" customHeight="1">
      <c r="A1372" s="91"/>
      <c r="E1372" s="91"/>
      <c r="H1372" s="91"/>
      <c r="I1372" s="91"/>
      <c r="M1372" s="91"/>
      <c r="N1372" s="91"/>
    </row>
    <row r="1373" ht="15.75" hidden="1" customHeight="1">
      <c r="A1373" s="91"/>
      <c r="E1373" s="91"/>
      <c r="H1373" s="91"/>
      <c r="I1373" s="91"/>
      <c r="M1373" s="91"/>
      <c r="N1373" s="91"/>
    </row>
    <row r="1374" ht="15.75" hidden="1" customHeight="1">
      <c r="A1374" s="91"/>
      <c r="E1374" s="91"/>
      <c r="H1374" s="91"/>
      <c r="I1374" s="91"/>
      <c r="M1374" s="91"/>
      <c r="N1374" s="91"/>
    </row>
    <row r="1375" ht="15.75" hidden="1" customHeight="1">
      <c r="A1375" s="91"/>
      <c r="E1375" s="91"/>
      <c r="H1375" s="91"/>
      <c r="I1375" s="91"/>
      <c r="M1375" s="91"/>
      <c r="N1375" s="91"/>
    </row>
    <row r="1376" ht="15.75" hidden="1" customHeight="1">
      <c r="A1376" s="91"/>
      <c r="E1376" s="91"/>
      <c r="H1376" s="91"/>
      <c r="I1376" s="91"/>
      <c r="M1376" s="91"/>
      <c r="N1376" s="91"/>
    </row>
    <row r="1377" ht="15.75" hidden="1" customHeight="1">
      <c r="A1377" s="91"/>
      <c r="E1377" s="91"/>
      <c r="H1377" s="91"/>
      <c r="I1377" s="91"/>
      <c r="M1377" s="91"/>
      <c r="N1377" s="91"/>
    </row>
    <row r="1378" ht="15.75" hidden="1" customHeight="1">
      <c r="A1378" s="91"/>
      <c r="E1378" s="91"/>
      <c r="H1378" s="91"/>
      <c r="I1378" s="91"/>
      <c r="M1378" s="91"/>
      <c r="N1378" s="91"/>
    </row>
    <row r="1379" ht="15.75" hidden="1" customHeight="1">
      <c r="A1379" s="91"/>
      <c r="E1379" s="91"/>
      <c r="H1379" s="91"/>
      <c r="I1379" s="91"/>
      <c r="M1379" s="91"/>
      <c r="N1379" s="91"/>
    </row>
    <row r="1380" ht="15.75" hidden="1" customHeight="1">
      <c r="A1380" s="91"/>
      <c r="E1380" s="91"/>
      <c r="H1380" s="91"/>
      <c r="I1380" s="91"/>
      <c r="M1380" s="91"/>
      <c r="N1380" s="91"/>
    </row>
    <row r="1381" ht="15.75" hidden="1" customHeight="1">
      <c r="A1381" s="91"/>
      <c r="E1381" s="91"/>
      <c r="H1381" s="91"/>
      <c r="I1381" s="91"/>
      <c r="M1381" s="91"/>
      <c r="N1381" s="91"/>
    </row>
    <row r="1382" ht="15.75" hidden="1" customHeight="1">
      <c r="A1382" s="91"/>
      <c r="E1382" s="91"/>
      <c r="H1382" s="91"/>
      <c r="I1382" s="91"/>
      <c r="M1382" s="91"/>
      <c r="N1382" s="91"/>
    </row>
    <row r="1383" ht="15.75" hidden="1" customHeight="1">
      <c r="A1383" s="91"/>
      <c r="E1383" s="91"/>
      <c r="H1383" s="91"/>
      <c r="I1383" s="91"/>
      <c r="M1383" s="91"/>
      <c r="N1383" s="91"/>
    </row>
    <row r="1384" ht="15.75" hidden="1" customHeight="1">
      <c r="A1384" s="91"/>
      <c r="E1384" s="91"/>
      <c r="H1384" s="91"/>
      <c r="I1384" s="91"/>
      <c r="M1384" s="91"/>
      <c r="N1384" s="91"/>
    </row>
    <row r="1385" ht="15.75" hidden="1" customHeight="1">
      <c r="A1385" s="91"/>
      <c r="E1385" s="91"/>
      <c r="H1385" s="91"/>
      <c r="I1385" s="91"/>
      <c r="M1385" s="91"/>
      <c r="N1385" s="91"/>
    </row>
    <row r="1386" ht="15.75" hidden="1" customHeight="1">
      <c r="A1386" s="91"/>
      <c r="E1386" s="91"/>
      <c r="H1386" s="91"/>
      <c r="I1386" s="91"/>
      <c r="M1386" s="91"/>
      <c r="N1386" s="91"/>
    </row>
    <row r="1387" ht="15.75" hidden="1" customHeight="1">
      <c r="A1387" s="91"/>
      <c r="E1387" s="91"/>
      <c r="H1387" s="91"/>
      <c r="I1387" s="91"/>
      <c r="M1387" s="91"/>
      <c r="N1387" s="91"/>
    </row>
    <row r="1388" ht="15.75" hidden="1" customHeight="1">
      <c r="A1388" s="91"/>
      <c r="E1388" s="91"/>
      <c r="H1388" s="91"/>
      <c r="I1388" s="91"/>
      <c r="M1388" s="91"/>
      <c r="N1388" s="91"/>
    </row>
    <row r="1389" ht="15.75" hidden="1" customHeight="1">
      <c r="A1389" s="91"/>
      <c r="E1389" s="91"/>
      <c r="H1389" s="91"/>
      <c r="I1389" s="91"/>
      <c r="M1389" s="91"/>
      <c r="N1389" s="91"/>
    </row>
    <row r="1390" ht="15.75" hidden="1" customHeight="1">
      <c r="A1390" s="91"/>
      <c r="E1390" s="91"/>
      <c r="H1390" s="91"/>
      <c r="I1390" s="91"/>
      <c r="M1390" s="91"/>
      <c r="N1390" s="91"/>
    </row>
    <row r="1391" ht="15.75" hidden="1" customHeight="1">
      <c r="A1391" s="91"/>
      <c r="E1391" s="91"/>
      <c r="H1391" s="91"/>
      <c r="I1391" s="91"/>
      <c r="M1391" s="91"/>
      <c r="N1391" s="91"/>
    </row>
    <row r="1392" ht="15.75" hidden="1" customHeight="1">
      <c r="A1392" s="91"/>
      <c r="E1392" s="91"/>
      <c r="H1392" s="91"/>
      <c r="I1392" s="91"/>
      <c r="M1392" s="91"/>
      <c r="N1392" s="91"/>
    </row>
    <row r="1393" ht="15.75" hidden="1" customHeight="1">
      <c r="A1393" s="91"/>
      <c r="E1393" s="91"/>
      <c r="H1393" s="91"/>
      <c r="I1393" s="91"/>
      <c r="M1393" s="91"/>
      <c r="N1393" s="91"/>
    </row>
    <row r="1394" ht="15.75" hidden="1" customHeight="1">
      <c r="A1394" s="91"/>
      <c r="E1394" s="91"/>
      <c r="H1394" s="91"/>
      <c r="I1394" s="91"/>
      <c r="M1394" s="91"/>
      <c r="N1394" s="91"/>
    </row>
    <row r="1395" ht="15.75" hidden="1" customHeight="1">
      <c r="A1395" s="91"/>
      <c r="E1395" s="91"/>
      <c r="H1395" s="91"/>
      <c r="I1395" s="91"/>
      <c r="M1395" s="91"/>
      <c r="N1395" s="91"/>
    </row>
    <row r="1396" ht="15.75" hidden="1" customHeight="1">
      <c r="A1396" s="91"/>
      <c r="E1396" s="91"/>
      <c r="H1396" s="91"/>
      <c r="I1396" s="91"/>
      <c r="M1396" s="91"/>
      <c r="N1396" s="91"/>
    </row>
    <row r="1397" ht="15.75" hidden="1" customHeight="1">
      <c r="A1397" s="91"/>
      <c r="E1397" s="91"/>
      <c r="H1397" s="91"/>
      <c r="I1397" s="91"/>
      <c r="M1397" s="91"/>
      <c r="N1397" s="91"/>
    </row>
    <row r="1398" ht="15.75" hidden="1" customHeight="1">
      <c r="A1398" s="91"/>
      <c r="E1398" s="91"/>
      <c r="H1398" s="91"/>
      <c r="I1398" s="91"/>
      <c r="M1398" s="91"/>
      <c r="N1398" s="91"/>
    </row>
    <row r="1399" ht="15.75" hidden="1" customHeight="1">
      <c r="A1399" s="91"/>
      <c r="E1399" s="91"/>
      <c r="H1399" s="91"/>
      <c r="I1399" s="91"/>
      <c r="M1399" s="91"/>
      <c r="N1399" s="91"/>
    </row>
    <row r="1400" ht="15.75" hidden="1" customHeight="1">
      <c r="A1400" s="91"/>
      <c r="E1400" s="91"/>
      <c r="H1400" s="91"/>
      <c r="I1400" s="91"/>
      <c r="M1400" s="91"/>
      <c r="N1400" s="91"/>
    </row>
    <row r="1401" ht="15.75" hidden="1" customHeight="1">
      <c r="A1401" s="91"/>
      <c r="E1401" s="91"/>
      <c r="H1401" s="91"/>
      <c r="I1401" s="91"/>
      <c r="M1401" s="91"/>
      <c r="N1401" s="91"/>
    </row>
    <row r="1402" ht="15.75" hidden="1" customHeight="1">
      <c r="A1402" s="91"/>
      <c r="E1402" s="91"/>
      <c r="H1402" s="91"/>
      <c r="I1402" s="91"/>
      <c r="M1402" s="91"/>
      <c r="N1402" s="91"/>
    </row>
    <row r="1403" ht="15.75" hidden="1" customHeight="1">
      <c r="A1403" s="91"/>
      <c r="E1403" s="91"/>
      <c r="H1403" s="91"/>
      <c r="I1403" s="91"/>
      <c r="M1403" s="91"/>
      <c r="N1403" s="91"/>
    </row>
    <row r="1404" ht="15.75" hidden="1" customHeight="1">
      <c r="A1404" s="91"/>
      <c r="E1404" s="91"/>
      <c r="H1404" s="91"/>
      <c r="I1404" s="91"/>
      <c r="M1404" s="91"/>
      <c r="N1404" s="91"/>
    </row>
    <row r="1405" ht="15.75" hidden="1" customHeight="1">
      <c r="A1405" s="91"/>
      <c r="E1405" s="91"/>
      <c r="H1405" s="91"/>
      <c r="I1405" s="91"/>
      <c r="M1405" s="91"/>
      <c r="N1405" s="91"/>
    </row>
    <row r="1406" ht="15.75" hidden="1" customHeight="1">
      <c r="A1406" s="91"/>
      <c r="E1406" s="91"/>
      <c r="H1406" s="91"/>
      <c r="I1406" s="91"/>
      <c r="M1406" s="91"/>
      <c r="N1406" s="91"/>
    </row>
    <row r="1407" ht="15.75" hidden="1" customHeight="1">
      <c r="A1407" s="91"/>
      <c r="E1407" s="91"/>
      <c r="H1407" s="91"/>
      <c r="I1407" s="91"/>
      <c r="M1407" s="91"/>
      <c r="N1407" s="91"/>
    </row>
    <row r="1408" ht="15.75" hidden="1" customHeight="1">
      <c r="A1408" s="91"/>
      <c r="E1408" s="91"/>
      <c r="H1408" s="91"/>
      <c r="I1408" s="91"/>
      <c r="M1408" s="91"/>
      <c r="N1408" s="91"/>
    </row>
    <row r="1409" ht="15.75" hidden="1" customHeight="1">
      <c r="A1409" s="91"/>
      <c r="E1409" s="91"/>
      <c r="H1409" s="91"/>
      <c r="I1409" s="91"/>
      <c r="M1409" s="91"/>
      <c r="N1409" s="91"/>
    </row>
    <row r="1410" ht="15.75" hidden="1" customHeight="1">
      <c r="A1410" s="91"/>
      <c r="E1410" s="91"/>
      <c r="H1410" s="91"/>
      <c r="I1410" s="91"/>
      <c r="M1410" s="91"/>
      <c r="N1410" s="91"/>
    </row>
    <row r="1411" ht="15.75" hidden="1" customHeight="1">
      <c r="A1411" s="91"/>
      <c r="E1411" s="91"/>
      <c r="H1411" s="91"/>
      <c r="I1411" s="91"/>
      <c r="M1411" s="91"/>
      <c r="N1411" s="91"/>
    </row>
    <row r="1412" ht="15.75" hidden="1" customHeight="1">
      <c r="A1412" s="91"/>
      <c r="E1412" s="91"/>
      <c r="H1412" s="91"/>
      <c r="I1412" s="91"/>
      <c r="M1412" s="91"/>
      <c r="N1412" s="91"/>
    </row>
    <row r="1413" ht="15.75" hidden="1" customHeight="1">
      <c r="A1413" s="91"/>
      <c r="E1413" s="91"/>
      <c r="H1413" s="91"/>
      <c r="I1413" s="91"/>
      <c r="M1413" s="91"/>
      <c r="N1413" s="91"/>
    </row>
    <row r="1414" ht="15.75" hidden="1" customHeight="1">
      <c r="A1414" s="91"/>
      <c r="E1414" s="91"/>
      <c r="H1414" s="91"/>
      <c r="I1414" s="91"/>
      <c r="M1414" s="91"/>
      <c r="N1414" s="91"/>
    </row>
    <row r="1415" ht="15.75" hidden="1" customHeight="1">
      <c r="A1415" s="91"/>
      <c r="E1415" s="91"/>
      <c r="H1415" s="91"/>
      <c r="I1415" s="91"/>
      <c r="M1415" s="91"/>
      <c r="N1415" s="91"/>
    </row>
    <row r="1416" ht="15.75" hidden="1" customHeight="1">
      <c r="A1416" s="91"/>
      <c r="E1416" s="91"/>
      <c r="H1416" s="91"/>
      <c r="I1416" s="91"/>
      <c r="M1416" s="91"/>
      <c r="N1416" s="91"/>
    </row>
    <row r="1417" ht="15.75" hidden="1" customHeight="1">
      <c r="A1417" s="91"/>
      <c r="E1417" s="91"/>
      <c r="H1417" s="91"/>
      <c r="I1417" s="91"/>
      <c r="M1417" s="91"/>
      <c r="N1417" s="91"/>
    </row>
    <row r="1418" ht="15.75" hidden="1" customHeight="1">
      <c r="A1418" s="91"/>
      <c r="E1418" s="91"/>
      <c r="H1418" s="91"/>
      <c r="I1418" s="91"/>
      <c r="M1418" s="91"/>
      <c r="N1418" s="91"/>
    </row>
    <row r="1419" ht="15.75" hidden="1" customHeight="1">
      <c r="A1419" s="91"/>
      <c r="E1419" s="91"/>
      <c r="H1419" s="91"/>
      <c r="I1419" s="91"/>
      <c r="M1419" s="91"/>
      <c r="N1419" s="91"/>
    </row>
    <row r="1420" ht="15.75" hidden="1" customHeight="1">
      <c r="A1420" s="91"/>
      <c r="E1420" s="91"/>
      <c r="H1420" s="91"/>
      <c r="I1420" s="91"/>
      <c r="M1420" s="91"/>
      <c r="N1420" s="91"/>
    </row>
    <row r="1421" ht="15.75" hidden="1" customHeight="1">
      <c r="A1421" s="91"/>
      <c r="E1421" s="91"/>
      <c r="H1421" s="91"/>
      <c r="I1421" s="91"/>
      <c r="M1421" s="91"/>
      <c r="N1421" s="91"/>
    </row>
    <row r="1422" ht="15.75" hidden="1" customHeight="1">
      <c r="A1422" s="91"/>
      <c r="E1422" s="91"/>
      <c r="H1422" s="91"/>
      <c r="I1422" s="91"/>
      <c r="M1422" s="91"/>
      <c r="N1422" s="91"/>
    </row>
    <row r="1423" ht="15.75" hidden="1" customHeight="1">
      <c r="A1423" s="91"/>
      <c r="E1423" s="91"/>
      <c r="H1423" s="91"/>
      <c r="I1423" s="91"/>
      <c r="M1423" s="91"/>
      <c r="N1423" s="91"/>
    </row>
    <row r="1424" ht="15.75" hidden="1" customHeight="1">
      <c r="A1424" s="91"/>
      <c r="E1424" s="91"/>
      <c r="H1424" s="91"/>
      <c r="I1424" s="91"/>
      <c r="M1424" s="91"/>
      <c r="N1424" s="91"/>
    </row>
    <row r="1425" ht="15.75" hidden="1" customHeight="1">
      <c r="A1425" s="91"/>
      <c r="E1425" s="91"/>
      <c r="H1425" s="91"/>
      <c r="I1425" s="91"/>
      <c r="M1425" s="91"/>
      <c r="N1425" s="91"/>
    </row>
    <row r="1426" ht="15.75" hidden="1" customHeight="1">
      <c r="A1426" s="91"/>
      <c r="E1426" s="91"/>
      <c r="H1426" s="91"/>
      <c r="I1426" s="91"/>
      <c r="M1426" s="91"/>
      <c r="N1426" s="91"/>
    </row>
    <row r="1427" ht="15.75" hidden="1" customHeight="1">
      <c r="A1427" s="91"/>
      <c r="E1427" s="91"/>
      <c r="H1427" s="91"/>
      <c r="I1427" s="91"/>
      <c r="M1427" s="91"/>
      <c r="N1427" s="91"/>
    </row>
    <row r="1428" ht="15.75" hidden="1" customHeight="1">
      <c r="A1428" s="91"/>
      <c r="E1428" s="91"/>
      <c r="H1428" s="91"/>
      <c r="I1428" s="91"/>
      <c r="M1428" s="91"/>
      <c r="N1428" s="91"/>
    </row>
    <row r="1429" ht="15.75" hidden="1" customHeight="1">
      <c r="A1429" s="91"/>
      <c r="E1429" s="91"/>
      <c r="H1429" s="91"/>
      <c r="I1429" s="91"/>
      <c r="M1429" s="91"/>
      <c r="N1429" s="91"/>
    </row>
    <row r="1430" ht="15.75" hidden="1" customHeight="1">
      <c r="A1430" s="91"/>
      <c r="E1430" s="91"/>
      <c r="H1430" s="91"/>
      <c r="I1430" s="91"/>
      <c r="M1430" s="91"/>
      <c r="N1430" s="91"/>
    </row>
    <row r="1431" ht="15.75" hidden="1" customHeight="1">
      <c r="A1431" s="91"/>
      <c r="E1431" s="91"/>
      <c r="H1431" s="91"/>
      <c r="I1431" s="91"/>
      <c r="M1431" s="91"/>
      <c r="N1431" s="91"/>
    </row>
    <row r="1432" ht="15.75" hidden="1" customHeight="1">
      <c r="A1432" s="91"/>
      <c r="E1432" s="91"/>
      <c r="H1432" s="91"/>
      <c r="I1432" s="91"/>
      <c r="M1432" s="91"/>
      <c r="N1432" s="91"/>
    </row>
    <row r="1433" ht="15.75" hidden="1" customHeight="1">
      <c r="A1433" s="91"/>
      <c r="E1433" s="91"/>
      <c r="H1433" s="91"/>
      <c r="I1433" s="91"/>
      <c r="M1433" s="91"/>
      <c r="N1433" s="91"/>
    </row>
    <row r="1434" ht="15.75" hidden="1" customHeight="1">
      <c r="A1434" s="91"/>
      <c r="E1434" s="91"/>
      <c r="H1434" s="91"/>
      <c r="I1434" s="91"/>
      <c r="M1434" s="91"/>
      <c r="N1434" s="91"/>
    </row>
    <row r="1435" ht="15.75" hidden="1" customHeight="1">
      <c r="A1435" s="91"/>
      <c r="E1435" s="91"/>
      <c r="H1435" s="91"/>
      <c r="I1435" s="91"/>
      <c r="M1435" s="91"/>
      <c r="N1435" s="91"/>
    </row>
    <row r="1436" ht="15.75" hidden="1" customHeight="1">
      <c r="A1436" s="91"/>
      <c r="E1436" s="91"/>
      <c r="H1436" s="91"/>
      <c r="I1436" s="91"/>
      <c r="M1436" s="91"/>
      <c r="N1436" s="91"/>
    </row>
    <row r="1437" ht="15.75" hidden="1" customHeight="1">
      <c r="A1437" s="91"/>
      <c r="E1437" s="91"/>
      <c r="H1437" s="91"/>
      <c r="I1437" s="91"/>
      <c r="M1437" s="91"/>
      <c r="N1437" s="91"/>
    </row>
    <row r="1438" ht="15.75" hidden="1" customHeight="1">
      <c r="A1438" s="91"/>
      <c r="E1438" s="91"/>
      <c r="H1438" s="91"/>
      <c r="I1438" s="91"/>
      <c r="M1438" s="91"/>
      <c r="N1438" s="91"/>
    </row>
    <row r="1439" ht="15.75" hidden="1" customHeight="1">
      <c r="A1439" s="91"/>
      <c r="E1439" s="91"/>
      <c r="H1439" s="91"/>
      <c r="I1439" s="91"/>
      <c r="M1439" s="91"/>
      <c r="N1439" s="91"/>
    </row>
    <row r="1440" ht="15.75" hidden="1" customHeight="1">
      <c r="A1440" s="91"/>
      <c r="E1440" s="91"/>
      <c r="H1440" s="91"/>
      <c r="I1440" s="91"/>
      <c r="M1440" s="91"/>
      <c r="N1440" s="91"/>
    </row>
    <row r="1441" ht="15.75" hidden="1" customHeight="1">
      <c r="A1441" s="91"/>
      <c r="E1441" s="91"/>
      <c r="H1441" s="91"/>
      <c r="I1441" s="91"/>
      <c r="M1441" s="91"/>
      <c r="N1441" s="91"/>
    </row>
    <row r="1442" ht="15.75" hidden="1" customHeight="1">
      <c r="A1442" s="91"/>
      <c r="E1442" s="91"/>
      <c r="H1442" s="91"/>
      <c r="I1442" s="91"/>
      <c r="M1442" s="91"/>
      <c r="N1442" s="91"/>
    </row>
    <row r="1443" ht="15.75" hidden="1" customHeight="1">
      <c r="A1443" s="91"/>
      <c r="E1443" s="91"/>
      <c r="H1443" s="91"/>
      <c r="I1443" s="91"/>
      <c r="M1443" s="91"/>
      <c r="N1443" s="91"/>
    </row>
    <row r="1444" ht="15.75" hidden="1" customHeight="1">
      <c r="A1444" s="91"/>
      <c r="E1444" s="91"/>
      <c r="H1444" s="91"/>
      <c r="I1444" s="91"/>
      <c r="M1444" s="91"/>
      <c r="N1444" s="91"/>
    </row>
    <row r="1445" ht="15.75" hidden="1" customHeight="1">
      <c r="A1445" s="91"/>
      <c r="E1445" s="91"/>
      <c r="H1445" s="91"/>
      <c r="I1445" s="91"/>
      <c r="M1445" s="91"/>
      <c r="N1445" s="91"/>
    </row>
    <row r="1446" ht="15.75" hidden="1" customHeight="1">
      <c r="A1446" s="91"/>
      <c r="E1446" s="91"/>
      <c r="H1446" s="91"/>
      <c r="I1446" s="91"/>
      <c r="M1446" s="91"/>
      <c r="N1446" s="91"/>
    </row>
    <row r="1447" ht="15.75" hidden="1" customHeight="1">
      <c r="A1447" s="91"/>
      <c r="E1447" s="91"/>
      <c r="H1447" s="91"/>
      <c r="I1447" s="91"/>
      <c r="M1447" s="91"/>
      <c r="N1447" s="91"/>
    </row>
    <row r="1448" ht="15.75" hidden="1" customHeight="1">
      <c r="A1448" s="91"/>
      <c r="E1448" s="91"/>
      <c r="H1448" s="91"/>
      <c r="I1448" s="91"/>
      <c r="M1448" s="91"/>
      <c r="N1448" s="91"/>
    </row>
    <row r="1449" ht="15.75" hidden="1" customHeight="1">
      <c r="A1449" s="91"/>
      <c r="E1449" s="91"/>
      <c r="H1449" s="91"/>
      <c r="I1449" s="91"/>
      <c r="M1449" s="91"/>
      <c r="N1449" s="91"/>
    </row>
    <row r="1450" ht="15.75" hidden="1" customHeight="1">
      <c r="A1450" s="91"/>
      <c r="E1450" s="91"/>
      <c r="H1450" s="91"/>
      <c r="I1450" s="91"/>
      <c r="M1450" s="91"/>
      <c r="N1450" s="91"/>
    </row>
    <row r="1451" ht="15.75" hidden="1" customHeight="1">
      <c r="A1451" s="91"/>
      <c r="E1451" s="91"/>
      <c r="H1451" s="91"/>
      <c r="I1451" s="91"/>
      <c r="M1451" s="91"/>
      <c r="N1451" s="91"/>
    </row>
    <row r="1452" ht="15.75" hidden="1" customHeight="1">
      <c r="A1452" s="91"/>
      <c r="E1452" s="91"/>
      <c r="H1452" s="91"/>
      <c r="I1452" s="91"/>
      <c r="M1452" s="91"/>
      <c r="N1452" s="91"/>
    </row>
    <row r="1453" ht="15.75" hidden="1" customHeight="1">
      <c r="A1453" s="91"/>
      <c r="E1453" s="91"/>
      <c r="H1453" s="91"/>
      <c r="I1453" s="91"/>
      <c r="M1453" s="91"/>
      <c r="N1453" s="91"/>
    </row>
    <row r="1454" ht="15.75" hidden="1" customHeight="1">
      <c r="A1454" s="91"/>
      <c r="E1454" s="91"/>
      <c r="H1454" s="91"/>
      <c r="I1454" s="91"/>
      <c r="M1454" s="91"/>
      <c r="N1454" s="91"/>
    </row>
    <row r="1455" ht="15.75" hidden="1" customHeight="1">
      <c r="A1455" s="91"/>
      <c r="E1455" s="91"/>
      <c r="H1455" s="91"/>
      <c r="I1455" s="91"/>
      <c r="M1455" s="91"/>
      <c r="N1455" s="91"/>
    </row>
    <row r="1456" ht="15.75" hidden="1" customHeight="1">
      <c r="A1456" s="91"/>
      <c r="E1456" s="91"/>
      <c r="H1456" s="91"/>
      <c r="I1456" s="91"/>
      <c r="M1456" s="91"/>
      <c r="N1456" s="91"/>
    </row>
    <row r="1457" ht="15.75" hidden="1" customHeight="1">
      <c r="A1457" s="91"/>
      <c r="E1457" s="91"/>
      <c r="H1457" s="91"/>
      <c r="I1457" s="91"/>
      <c r="M1457" s="91"/>
      <c r="N1457" s="91"/>
    </row>
    <row r="1458" ht="15.75" hidden="1" customHeight="1">
      <c r="A1458" s="91"/>
      <c r="E1458" s="91"/>
      <c r="H1458" s="91"/>
      <c r="I1458" s="91"/>
      <c r="M1458" s="91"/>
      <c r="N1458" s="91"/>
    </row>
    <row r="1459" ht="15.75" hidden="1" customHeight="1">
      <c r="A1459" s="91"/>
      <c r="E1459" s="91"/>
      <c r="H1459" s="91"/>
      <c r="I1459" s="91"/>
      <c r="M1459" s="91"/>
      <c r="N1459" s="91"/>
    </row>
    <row r="1460" ht="15.75" hidden="1" customHeight="1">
      <c r="A1460" s="91"/>
      <c r="E1460" s="91"/>
      <c r="H1460" s="91"/>
      <c r="I1460" s="91"/>
      <c r="M1460" s="91"/>
      <c r="N1460" s="91"/>
    </row>
    <row r="1461" ht="15.75" hidden="1" customHeight="1">
      <c r="A1461" s="91"/>
      <c r="E1461" s="91"/>
      <c r="H1461" s="91"/>
      <c r="I1461" s="91"/>
      <c r="M1461" s="91"/>
      <c r="N1461" s="91"/>
    </row>
    <row r="1462" ht="15.75" hidden="1" customHeight="1">
      <c r="A1462" s="91"/>
      <c r="E1462" s="91"/>
      <c r="H1462" s="91"/>
      <c r="I1462" s="91"/>
      <c r="M1462" s="91"/>
      <c r="N1462" s="91"/>
    </row>
    <row r="1463" ht="15.75" hidden="1" customHeight="1">
      <c r="A1463" s="91"/>
      <c r="E1463" s="91"/>
      <c r="H1463" s="91"/>
      <c r="I1463" s="91"/>
      <c r="M1463" s="91"/>
      <c r="N1463" s="91"/>
    </row>
    <row r="1464" ht="15.75" hidden="1" customHeight="1">
      <c r="A1464" s="91"/>
      <c r="E1464" s="91"/>
      <c r="H1464" s="91"/>
      <c r="I1464" s="91"/>
      <c r="M1464" s="91"/>
      <c r="N1464" s="91"/>
    </row>
    <row r="1465" ht="15.75" hidden="1" customHeight="1">
      <c r="A1465" s="91"/>
      <c r="E1465" s="91"/>
      <c r="H1465" s="91"/>
      <c r="I1465" s="91"/>
      <c r="M1465" s="91"/>
      <c r="N1465" s="91"/>
    </row>
    <row r="1466" ht="15.75" hidden="1" customHeight="1">
      <c r="A1466" s="91"/>
      <c r="E1466" s="91"/>
      <c r="H1466" s="91"/>
      <c r="I1466" s="91"/>
      <c r="M1466" s="91"/>
      <c r="N1466" s="91"/>
    </row>
    <row r="1467" ht="15.75" hidden="1" customHeight="1">
      <c r="A1467" s="91"/>
      <c r="E1467" s="91"/>
      <c r="H1467" s="91"/>
      <c r="I1467" s="91"/>
      <c r="M1467" s="91"/>
      <c r="N1467" s="91"/>
    </row>
    <row r="1468" ht="15.75" hidden="1" customHeight="1">
      <c r="A1468" s="91"/>
      <c r="E1468" s="91"/>
      <c r="H1468" s="91"/>
      <c r="I1468" s="91"/>
      <c r="M1468" s="91"/>
      <c r="N1468" s="91"/>
    </row>
    <row r="1469" ht="15.75" hidden="1" customHeight="1">
      <c r="A1469" s="91"/>
      <c r="E1469" s="91"/>
      <c r="H1469" s="91"/>
      <c r="I1469" s="91"/>
      <c r="M1469" s="91"/>
      <c r="N1469" s="91"/>
    </row>
    <row r="1470" ht="15.75" hidden="1" customHeight="1">
      <c r="A1470" s="91"/>
      <c r="E1470" s="91"/>
      <c r="H1470" s="91"/>
      <c r="I1470" s="91"/>
      <c r="M1470" s="91"/>
      <c r="N1470" s="91"/>
    </row>
    <row r="1471" ht="15.75" hidden="1" customHeight="1">
      <c r="A1471" s="91"/>
      <c r="E1471" s="91"/>
      <c r="H1471" s="91"/>
      <c r="I1471" s="91"/>
      <c r="M1471" s="91"/>
      <c r="N1471" s="91"/>
    </row>
    <row r="1472" ht="15.75" hidden="1" customHeight="1">
      <c r="A1472" s="91"/>
      <c r="E1472" s="91"/>
      <c r="H1472" s="91"/>
      <c r="I1472" s="91"/>
      <c r="M1472" s="91"/>
      <c r="N1472" s="91"/>
    </row>
    <row r="1473" ht="15.75" hidden="1" customHeight="1">
      <c r="A1473" s="91"/>
      <c r="E1473" s="91"/>
      <c r="H1473" s="91"/>
      <c r="I1473" s="91"/>
      <c r="M1473" s="91"/>
      <c r="N1473" s="91"/>
    </row>
    <row r="1474" ht="15.75" hidden="1" customHeight="1">
      <c r="A1474" s="91"/>
      <c r="E1474" s="91"/>
      <c r="H1474" s="91"/>
      <c r="I1474" s="91"/>
      <c r="M1474" s="91"/>
      <c r="N1474" s="91"/>
    </row>
    <row r="1475" ht="15.75" hidden="1" customHeight="1">
      <c r="A1475" s="91"/>
      <c r="E1475" s="91"/>
      <c r="H1475" s="91"/>
      <c r="I1475" s="91"/>
      <c r="M1475" s="91"/>
      <c r="N1475" s="91"/>
    </row>
    <row r="1476" ht="15.75" hidden="1" customHeight="1">
      <c r="A1476" s="91"/>
      <c r="E1476" s="91"/>
      <c r="H1476" s="91"/>
      <c r="I1476" s="91"/>
      <c r="M1476" s="91"/>
      <c r="N1476" s="91"/>
    </row>
    <row r="1477" ht="15.75" hidden="1" customHeight="1">
      <c r="A1477" s="91"/>
      <c r="E1477" s="91"/>
      <c r="H1477" s="91"/>
      <c r="I1477" s="91"/>
      <c r="M1477" s="91"/>
      <c r="N1477" s="91"/>
    </row>
    <row r="1478" ht="15.75" hidden="1" customHeight="1">
      <c r="A1478" s="91"/>
      <c r="E1478" s="91"/>
      <c r="H1478" s="91"/>
      <c r="I1478" s="91"/>
      <c r="M1478" s="91"/>
      <c r="N1478" s="91"/>
    </row>
    <row r="1479" ht="15.75" hidden="1" customHeight="1">
      <c r="A1479" s="91"/>
      <c r="E1479" s="91"/>
      <c r="H1479" s="91"/>
      <c r="I1479" s="91"/>
      <c r="M1479" s="91"/>
      <c r="N1479" s="91"/>
    </row>
    <row r="1480" ht="15.75" hidden="1" customHeight="1">
      <c r="A1480" s="91"/>
      <c r="E1480" s="91"/>
      <c r="H1480" s="91"/>
      <c r="I1480" s="91"/>
      <c r="M1480" s="91"/>
      <c r="N1480" s="91"/>
    </row>
    <row r="1481" ht="15.75" hidden="1" customHeight="1">
      <c r="A1481" s="91"/>
      <c r="E1481" s="91"/>
      <c r="H1481" s="91"/>
      <c r="I1481" s="91"/>
      <c r="M1481" s="91"/>
      <c r="N1481" s="91"/>
    </row>
    <row r="1482" ht="15.75" hidden="1" customHeight="1">
      <c r="A1482" s="91"/>
      <c r="E1482" s="91"/>
      <c r="H1482" s="91"/>
      <c r="I1482" s="91"/>
      <c r="M1482" s="91"/>
      <c r="N1482" s="91"/>
    </row>
    <row r="1483" ht="15.75" hidden="1" customHeight="1">
      <c r="A1483" s="91"/>
      <c r="E1483" s="91"/>
      <c r="H1483" s="91"/>
      <c r="I1483" s="91"/>
      <c r="M1483" s="91"/>
      <c r="N1483" s="91"/>
    </row>
    <row r="1484" ht="15.75" hidden="1" customHeight="1">
      <c r="A1484" s="91"/>
      <c r="E1484" s="91"/>
      <c r="H1484" s="91"/>
      <c r="I1484" s="91"/>
      <c r="M1484" s="91"/>
      <c r="N1484" s="91"/>
    </row>
    <row r="1485" ht="15.75" hidden="1" customHeight="1">
      <c r="A1485" s="91"/>
      <c r="E1485" s="91"/>
      <c r="H1485" s="91"/>
      <c r="I1485" s="91"/>
      <c r="M1485" s="91"/>
      <c r="N1485" s="91"/>
    </row>
    <row r="1486" ht="15.75" hidden="1" customHeight="1">
      <c r="A1486" s="91"/>
      <c r="E1486" s="91"/>
      <c r="H1486" s="91"/>
      <c r="I1486" s="91"/>
      <c r="M1486" s="91"/>
      <c r="N1486" s="91"/>
    </row>
    <row r="1487" ht="15.75" hidden="1" customHeight="1">
      <c r="A1487" s="91"/>
      <c r="E1487" s="91"/>
      <c r="H1487" s="91"/>
      <c r="I1487" s="91"/>
      <c r="M1487" s="91"/>
      <c r="N1487" s="91"/>
    </row>
    <row r="1488" ht="15.75" hidden="1" customHeight="1">
      <c r="A1488" s="91"/>
      <c r="E1488" s="91"/>
      <c r="H1488" s="91"/>
      <c r="I1488" s="91"/>
      <c r="M1488" s="91"/>
      <c r="N1488" s="91"/>
    </row>
    <row r="1489" ht="15.75" hidden="1" customHeight="1">
      <c r="A1489" s="91"/>
      <c r="E1489" s="91"/>
      <c r="H1489" s="91"/>
      <c r="I1489" s="91"/>
      <c r="M1489" s="91"/>
      <c r="N1489" s="91"/>
    </row>
    <row r="1490" ht="15.75" hidden="1" customHeight="1">
      <c r="A1490" s="91"/>
      <c r="E1490" s="91"/>
      <c r="H1490" s="91"/>
      <c r="I1490" s="91"/>
      <c r="M1490" s="91"/>
      <c r="N1490" s="91"/>
    </row>
    <row r="1491" ht="15.75" hidden="1" customHeight="1">
      <c r="A1491" s="91"/>
      <c r="E1491" s="91"/>
      <c r="H1491" s="91"/>
      <c r="I1491" s="91"/>
      <c r="M1491" s="91"/>
      <c r="N1491" s="91"/>
    </row>
    <row r="1492" ht="15.75" hidden="1" customHeight="1">
      <c r="A1492" s="91"/>
      <c r="E1492" s="91"/>
      <c r="H1492" s="91"/>
      <c r="I1492" s="91"/>
      <c r="M1492" s="91"/>
      <c r="N1492" s="91"/>
    </row>
    <row r="1493" ht="15.75" hidden="1" customHeight="1">
      <c r="A1493" s="91"/>
      <c r="E1493" s="91"/>
      <c r="H1493" s="91"/>
      <c r="I1493" s="91"/>
      <c r="M1493" s="91"/>
      <c r="N1493" s="91"/>
    </row>
    <row r="1494" ht="15.75" hidden="1" customHeight="1">
      <c r="A1494" s="91"/>
      <c r="E1494" s="91"/>
      <c r="H1494" s="91"/>
      <c r="I1494" s="91"/>
      <c r="M1494" s="91"/>
      <c r="N1494" s="91"/>
    </row>
    <row r="1495" ht="15.75" hidden="1" customHeight="1">
      <c r="A1495" s="91"/>
      <c r="E1495" s="91"/>
      <c r="H1495" s="91"/>
      <c r="I1495" s="91"/>
      <c r="M1495" s="91"/>
      <c r="N1495" s="91"/>
    </row>
    <row r="1496" ht="15.75" hidden="1" customHeight="1">
      <c r="A1496" s="91"/>
      <c r="E1496" s="91"/>
      <c r="H1496" s="91"/>
      <c r="I1496" s="91"/>
      <c r="M1496" s="91"/>
      <c r="N1496" s="91"/>
    </row>
    <row r="1497" ht="15.75" hidden="1" customHeight="1">
      <c r="A1497" s="91"/>
      <c r="E1497" s="91"/>
      <c r="H1497" s="91"/>
      <c r="I1497" s="91"/>
      <c r="M1497" s="91"/>
      <c r="N1497" s="91"/>
    </row>
    <row r="1498" ht="15.75" hidden="1" customHeight="1">
      <c r="A1498" s="91"/>
      <c r="E1498" s="91"/>
      <c r="H1498" s="91"/>
      <c r="I1498" s="91"/>
      <c r="M1498" s="91"/>
      <c r="N1498" s="91"/>
    </row>
    <row r="1499" ht="15.75" hidden="1" customHeight="1">
      <c r="A1499" s="91"/>
      <c r="E1499" s="91"/>
      <c r="H1499" s="91"/>
      <c r="I1499" s="91"/>
      <c r="M1499" s="91"/>
      <c r="N1499" s="91"/>
    </row>
    <row r="1500" ht="15.75" hidden="1" customHeight="1">
      <c r="A1500" s="91"/>
      <c r="E1500" s="91"/>
      <c r="H1500" s="91"/>
      <c r="I1500" s="91"/>
      <c r="M1500" s="91"/>
      <c r="N1500" s="91"/>
    </row>
    <row r="1501" ht="15.75" hidden="1" customHeight="1">
      <c r="A1501" s="91"/>
      <c r="E1501" s="91"/>
      <c r="H1501" s="91"/>
      <c r="I1501" s="91"/>
      <c r="M1501" s="91"/>
      <c r="N1501" s="91"/>
    </row>
    <row r="1502" ht="15.75" hidden="1" customHeight="1">
      <c r="A1502" s="91"/>
      <c r="E1502" s="91"/>
      <c r="H1502" s="91"/>
      <c r="I1502" s="91"/>
      <c r="M1502" s="91"/>
      <c r="N1502" s="91"/>
    </row>
    <row r="1503" ht="15.75" hidden="1" customHeight="1">
      <c r="A1503" s="91"/>
      <c r="E1503" s="91"/>
      <c r="H1503" s="91"/>
      <c r="I1503" s="91"/>
      <c r="M1503" s="91"/>
      <c r="N1503" s="91"/>
    </row>
    <row r="1504" ht="15.75" hidden="1" customHeight="1">
      <c r="A1504" s="91"/>
      <c r="E1504" s="91"/>
      <c r="H1504" s="91"/>
      <c r="I1504" s="91"/>
      <c r="M1504" s="91"/>
      <c r="N1504" s="91"/>
    </row>
    <row r="1505" ht="15.75" hidden="1" customHeight="1">
      <c r="A1505" s="91"/>
      <c r="E1505" s="91"/>
      <c r="H1505" s="91"/>
      <c r="I1505" s="91"/>
      <c r="M1505" s="91"/>
      <c r="N1505" s="91"/>
    </row>
    <row r="1506" ht="15.75" hidden="1" customHeight="1">
      <c r="A1506" s="91"/>
      <c r="E1506" s="91"/>
      <c r="H1506" s="91"/>
      <c r="I1506" s="91"/>
      <c r="M1506" s="91"/>
      <c r="N1506" s="91"/>
    </row>
    <row r="1507" ht="15.75" hidden="1" customHeight="1">
      <c r="A1507" s="91"/>
      <c r="E1507" s="91"/>
      <c r="H1507" s="91"/>
      <c r="I1507" s="91"/>
      <c r="M1507" s="91"/>
      <c r="N1507" s="91"/>
    </row>
    <row r="1508" ht="15.75" hidden="1" customHeight="1">
      <c r="A1508" s="91"/>
      <c r="E1508" s="91"/>
      <c r="H1508" s="91"/>
      <c r="I1508" s="91"/>
      <c r="M1508" s="91"/>
      <c r="N1508" s="91"/>
    </row>
    <row r="1509" ht="15.75" hidden="1" customHeight="1">
      <c r="A1509" s="91"/>
      <c r="E1509" s="91"/>
      <c r="H1509" s="91"/>
      <c r="I1509" s="91"/>
      <c r="M1509" s="91"/>
      <c r="N1509" s="91"/>
    </row>
    <row r="1510" ht="15.75" hidden="1" customHeight="1">
      <c r="A1510" s="91"/>
      <c r="E1510" s="91"/>
      <c r="H1510" s="91"/>
      <c r="I1510" s="91"/>
      <c r="M1510" s="91"/>
      <c r="N1510" s="91"/>
    </row>
    <row r="1511" ht="15.75" hidden="1" customHeight="1">
      <c r="A1511" s="91"/>
      <c r="E1511" s="91"/>
      <c r="H1511" s="91"/>
      <c r="I1511" s="91"/>
      <c r="M1511" s="91"/>
      <c r="N1511" s="91"/>
    </row>
    <row r="1512" ht="15.75" hidden="1" customHeight="1">
      <c r="A1512" s="91"/>
      <c r="E1512" s="91"/>
      <c r="H1512" s="91"/>
      <c r="I1512" s="91"/>
      <c r="M1512" s="91"/>
      <c r="N1512" s="91"/>
    </row>
    <row r="1513" ht="15.75" hidden="1" customHeight="1">
      <c r="A1513" s="91"/>
      <c r="E1513" s="91"/>
      <c r="H1513" s="91"/>
      <c r="I1513" s="91"/>
      <c r="M1513" s="91"/>
      <c r="N1513" s="91"/>
    </row>
    <row r="1514" ht="15.75" hidden="1" customHeight="1">
      <c r="A1514" s="91"/>
      <c r="E1514" s="91"/>
      <c r="H1514" s="91"/>
      <c r="I1514" s="91"/>
      <c r="M1514" s="91"/>
      <c r="N1514" s="91"/>
    </row>
    <row r="1515" ht="15.75" hidden="1" customHeight="1">
      <c r="A1515" s="91"/>
      <c r="E1515" s="91"/>
      <c r="H1515" s="91"/>
      <c r="I1515" s="91"/>
      <c r="M1515" s="91"/>
      <c r="N1515" s="91"/>
    </row>
    <row r="1516" ht="15.75" hidden="1" customHeight="1">
      <c r="A1516" s="91"/>
      <c r="E1516" s="91"/>
      <c r="H1516" s="91"/>
      <c r="I1516" s="91"/>
      <c r="M1516" s="91"/>
      <c r="N1516" s="91"/>
    </row>
    <row r="1517" ht="15.75" hidden="1" customHeight="1">
      <c r="A1517" s="91"/>
      <c r="E1517" s="91"/>
      <c r="H1517" s="91"/>
      <c r="I1517" s="91"/>
      <c r="M1517" s="91"/>
      <c r="N1517" s="91"/>
    </row>
    <row r="1518" ht="15.75" hidden="1" customHeight="1">
      <c r="A1518" s="91"/>
      <c r="E1518" s="91"/>
      <c r="H1518" s="91"/>
      <c r="I1518" s="91"/>
      <c r="M1518" s="91"/>
      <c r="N1518" s="91"/>
    </row>
    <row r="1519" ht="15.75" hidden="1" customHeight="1">
      <c r="A1519" s="91"/>
      <c r="E1519" s="91"/>
      <c r="H1519" s="91"/>
      <c r="I1519" s="91"/>
      <c r="M1519" s="91"/>
      <c r="N1519" s="91"/>
    </row>
    <row r="1520" ht="15.75" hidden="1" customHeight="1">
      <c r="A1520" s="91"/>
      <c r="E1520" s="91"/>
      <c r="H1520" s="91"/>
      <c r="I1520" s="91"/>
      <c r="M1520" s="91"/>
      <c r="N1520" s="91"/>
    </row>
    <row r="1521" ht="15.75" hidden="1" customHeight="1">
      <c r="A1521" s="91"/>
      <c r="E1521" s="91"/>
      <c r="H1521" s="91"/>
      <c r="I1521" s="91"/>
      <c r="M1521" s="91"/>
      <c r="N1521" s="91"/>
    </row>
    <row r="1522" ht="15.75" hidden="1" customHeight="1">
      <c r="A1522" s="91"/>
      <c r="E1522" s="91"/>
      <c r="H1522" s="91"/>
      <c r="I1522" s="91"/>
      <c r="M1522" s="91"/>
      <c r="N1522" s="91"/>
    </row>
    <row r="1523" ht="15.75" hidden="1" customHeight="1">
      <c r="A1523" s="91"/>
      <c r="E1523" s="91"/>
      <c r="H1523" s="91"/>
      <c r="I1523" s="91"/>
      <c r="M1523" s="91"/>
      <c r="N1523" s="91"/>
    </row>
    <row r="1524" ht="15.75" hidden="1" customHeight="1">
      <c r="A1524" s="91"/>
      <c r="E1524" s="91"/>
      <c r="H1524" s="91"/>
      <c r="I1524" s="91"/>
      <c r="M1524" s="91"/>
      <c r="N1524" s="91"/>
    </row>
    <row r="1525" ht="15.75" hidden="1" customHeight="1">
      <c r="A1525" s="91"/>
      <c r="E1525" s="91"/>
      <c r="H1525" s="91"/>
      <c r="I1525" s="91"/>
      <c r="M1525" s="91"/>
      <c r="N1525" s="91"/>
    </row>
    <row r="1526" ht="15.75" hidden="1" customHeight="1">
      <c r="A1526" s="91"/>
      <c r="E1526" s="91"/>
      <c r="H1526" s="91"/>
      <c r="I1526" s="91"/>
      <c r="M1526" s="91"/>
      <c r="N1526" s="91"/>
    </row>
    <row r="1527" ht="15.75" hidden="1" customHeight="1">
      <c r="A1527" s="91"/>
      <c r="E1527" s="91"/>
      <c r="H1527" s="91"/>
      <c r="I1527" s="91"/>
      <c r="M1527" s="91"/>
      <c r="N1527" s="91"/>
    </row>
    <row r="1528" ht="15.75" hidden="1" customHeight="1">
      <c r="A1528" s="91"/>
      <c r="E1528" s="91"/>
      <c r="H1528" s="91"/>
      <c r="I1528" s="91"/>
      <c r="M1528" s="91"/>
      <c r="N1528" s="91"/>
    </row>
    <row r="1529" ht="15.75" hidden="1" customHeight="1">
      <c r="A1529" s="91"/>
      <c r="E1529" s="91"/>
      <c r="H1529" s="91"/>
      <c r="I1529" s="91"/>
      <c r="M1529" s="91"/>
      <c r="N1529" s="91"/>
    </row>
    <row r="1530" ht="15.75" hidden="1" customHeight="1">
      <c r="A1530" s="91"/>
      <c r="E1530" s="91"/>
      <c r="H1530" s="91"/>
      <c r="I1530" s="91"/>
      <c r="M1530" s="91"/>
      <c r="N1530" s="91"/>
    </row>
    <row r="1531" ht="15.75" hidden="1" customHeight="1">
      <c r="A1531" s="91"/>
      <c r="E1531" s="91"/>
      <c r="H1531" s="91"/>
      <c r="I1531" s="91"/>
      <c r="M1531" s="91"/>
      <c r="N1531" s="91"/>
    </row>
    <row r="1532" ht="15.75" hidden="1" customHeight="1">
      <c r="A1532" s="91"/>
      <c r="E1532" s="91"/>
      <c r="H1532" s="91"/>
      <c r="I1532" s="91"/>
      <c r="M1532" s="91"/>
      <c r="N1532" s="91"/>
    </row>
    <row r="1533" ht="15.75" hidden="1" customHeight="1">
      <c r="A1533" s="91"/>
      <c r="E1533" s="91"/>
      <c r="H1533" s="91"/>
      <c r="I1533" s="91"/>
      <c r="M1533" s="91"/>
      <c r="N1533" s="91"/>
    </row>
    <row r="1534" ht="15.75" hidden="1" customHeight="1">
      <c r="A1534" s="91"/>
      <c r="E1534" s="91"/>
      <c r="H1534" s="91"/>
      <c r="I1534" s="91"/>
      <c r="M1534" s="91"/>
      <c r="N1534" s="91"/>
    </row>
    <row r="1535" ht="15.75" hidden="1" customHeight="1">
      <c r="A1535" s="91"/>
      <c r="E1535" s="91"/>
      <c r="H1535" s="91"/>
      <c r="I1535" s="91"/>
      <c r="M1535" s="91"/>
      <c r="N1535" s="91"/>
    </row>
    <row r="1536" ht="15.75" hidden="1" customHeight="1">
      <c r="A1536" s="91"/>
      <c r="E1536" s="91"/>
      <c r="H1536" s="91"/>
      <c r="I1536" s="91"/>
      <c r="M1536" s="91"/>
      <c r="N1536" s="91"/>
    </row>
    <row r="1537" ht="15.75" hidden="1" customHeight="1">
      <c r="A1537" s="91"/>
      <c r="E1537" s="91"/>
      <c r="H1537" s="91"/>
      <c r="I1537" s="91"/>
      <c r="M1537" s="91"/>
      <c r="N1537" s="91"/>
    </row>
    <row r="1538" ht="15.75" hidden="1" customHeight="1">
      <c r="A1538" s="91"/>
      <c r="E1538" s="91"/>
      <c r="H1538" s="91"/>
      <c r="I1538" s="91"/>
      <c r="M1538" s="91"/>
      <c r="N1538" s="91"/>
    </row>
    <row r="1539" ht="15.75" hidden="1" customHeight="1">
      <c r="A1539" s="91"/>
      <c r="E1539" s="91"/>
      <c r="H1539" s="91"/>
      <c r="I1539" s="91"/>
      <c r="M1539" s="91"/>
      <c r="N1539" s="91"/>
    </row>
    <row r="1540" ht="15.75" hidden="1" customHeight="1">
      <c r="A1540" s="91"/>
      <c r="E1540" s="91"/>
      <c r="H1540" s="91"/>
      <c r="I1540" s="91"/>
      <c r="M1540" s="91"/>
      <c r="N1540" s="91"/>
    </row>
    <row r="1541" ht="15.75" hidden="1" customHeight="1">
      <c r="A1541" s="91"/>
      <c r="E1541" s="91"/>
      <c r="H1541" s="91"/>
      <c r="I1541" s="91"/>
      <c r="M1541" s="91"/>
      <c r="N1541" s="91"/>
    </row>
    <row r="1542" ht="15.75" hidden="1" customHeight="1">
      <c r="A1542" s="91"/>
      <c r="E1542" s="91"/>
      <c r="H1542" s="91"/>
      <c r="I1542" s="91"/>
      <c r="M1542" s="91"/>
      <c r="N1542" s="91"/>
    </row>
    <row r="1543" ht="15.75" hidden="1" customHeight="1">
      <c r="A1543" s="91"/>
      <c r="E1543" s="91"/>
      <c r="H1543" s="91"/>
      <c r="I1543" s="91"/>
      <c r="M1543" s="91"/>
      <c r="N1543" s="91"/>
    </row>
    <row r="1544" ht="15.75" hidden="1" customHeight="1">
      <c r="A1544" s="91"/>
      <c r="E1544" s="91"/>
      <c r="H1544" s="91"/>
      <c r="I1544" s="91"/>
      <c r="M1544" s="91"/>
      <c r="N1544" s="91"/>
    </row>
    <row r="1545" ht="15.75" hidden="1" customHeight="1">
      <c r="A1545" s="91"/>
      <c r="E1545" s="91"/>
      <c r="H1545" s="91"/>
      <c r="I1545" s="91"/>
      <c r="M1545" s="91"/>
      <c r="N1545" s="91"/>
    </row>
    <row r="1546" ht="15.75" hidden="1" customHeight="1">
      <c r="A1546" s="91"/>
      <c r="E1546" s="91"/>
      <c r="H1546" s="91"/>
      <c r="I1546" s="91"/>
      <c r="M1546" s="91"/>
      <c r="N1546" s="91"/>
    </row>
    <row r="1547" ht="15.75" hidden="1" customHeight="1">
      <c r="A1547" s="91"/>
      <c r="E1547" s="91"/>
      <c r="H1547" s="91"/>
      <c r="I1547" s="91"/>
      <c r="M1547" s="91"/>
      <c r="N1547" s="91"/>
    </row>
    <row r="1548" ht="15.75" hidden="1" customHeight="1">
      <c r="A1548" s="91"/>
      <c r="E1548" s="91"/>
      <c r="H1548" s="91"/>
      <c r="I1548" s="91"/>
      <c r="M1548" s="91"/>
      <c r="N1548" s="91"/>
    </row>
    <row r="1549" ht="15.75" hidden="1" customHeight="1">
      <c r="A1549" s="91"/>
      <c r="E1549" s="91"/>
      <c r="H1549" s="91"/>
      <c r="I1549" s="91"/>
      <c r="M1549" s="91"/>
      <c r="N1549" s="91"/>
    </row>
    <row r="1550" ht="15.75" hidden="1" customHeight="1">
      <c r="A1550" s="91"/>
      <c r="E1550" s="91"/>
      <c r="H1550" s="91"/>
      <c r="I1550" s="91"/>
      <c r="M1550" s="91"/>
      <c r="N1550" s="91"/>
    </row>
    <row r="1551" ht="15.75" hidden="1" customHeight="1">
      <c r="A1551" s="91"/>
      <c r="E1551" s="91"/>
      <c r="H1551" s="91"/>
      <c r="I1551" s="91"/>
      <c r="M1551" s="91"/>
      <c r="N1551" s="91"/>
    </row>
    <row r="1552" ht="15.75" hidden="1" customHeight="1">
      <c r="A1552" s="91"/>
      <c r="E1552" s="91"/>
      <c r="H1552" s="91"/>
      <c r="I1552" s="91"/>
      <c r="M1552" s="91"/>
      <c r="N1552" s="91"/>
    </row>
    <row r="1553" ht="15.75" hidden="1" customHeight="1">
      <c r="A1553" s="91"/>
      <c r="E1553" s="91"/>
      <c r="H1553" s="91"/>
      <c r="I1553" s="91"/>
      <c r="M1553" s="91"/>
      <c r="N1553" s="91"/>
    </row>
    <row r="1554" ht="15.75" hidden="1" customHeight="1">
      <c r="A1554" s="91"/>
      <c r="E1554" s="91"/>
      <c r="H1554" s="91"/>
      <c r="I1554" s="91"/>
      <c r="M1554" s="91"/>
      <c r="N1554" s="91"/>
    </row>
    <row r="1555" ht="15.75" hidden="1" customHeight="1">
      <c r="A1555" s="91"/>
      <c r="E1555" s="91"/>
      <c r="H1555" s="91"/>
      <c r="I1555" s="91"/>
      <c r="M1555" s="91"/>
      <c r="N1555" s="91"/>
    </row>
    <row r="1556" ht="15.75" hidden="1" customHeight="1">
      <c r="A1556" s="91"/>
      <c r="E1556" s="91"/>
      <c r="H1556" s="91"/>
      <c r="I1556" s="91"/>
      <c r="M1556" s="91"/>
      <c r="N1556" s="91"/>
    </row>
    <row r="1557" ht="15.75" hidden="1" customHeight="1">
      <c r="A1557" s="91"/>
      <c r="E1557" s="91"/>
      <c r="H1557" s="91"/>
      <c r="I1557" s="91"/>
      <c r="M1557" s="91"/>
      <c r="N1557" s="91"/>
    </row>
    <row r="1558" ht="15.75" hidden="1" customHeight="1">
      <c r="A1558" s="91"/>
      <c r="E1558" s="91"/>
      <c r="H1558" s="91"/>
      <c r="I1558" s="91"/>
      <c r="M1558" s="91"/>
      <c r="N1558" s="91"/>
    </row>
    <row r="1559" ht="15.75" hidden="1" customHeight="1">
      <c r="A1559" s="91"/>
      <c r="E1559" s="91"/>
      <c r="H1559" s="91"/>
      <c r="I1559" s="91"/>
      <c r="M1559" s="91"/>
      <c r="N1559" s="91"/>
    </row>
    <row r="1560" ht="15.75" hidden="1" customHeight="1">
      <c r="A1560" s="91"/>
      <c r="E1560" s="91"/>
      <c r="H1560" s="91"/>
      <c r="I1560" s="91"/>
      <c r="M1560" s="91"/>
      <c r="N1560" s="91"/>
    </row>
    <row r="1561" ht="15.75" hidden="1" customHeight="1">
      <c r="A1561" s="91"/>
      <c r="E1561" s="91"/>
      <c r="H1561" s="91"/>
      <c r="I1561" s="91"/>
      <c r="M1561" s="91"/>
      <c r="N1561" s="91"/>
    </row>
    <row r="1562" ht="15.75" hidden="1" customHeight="1">
      <c r="A1562" s="91"/>
      <c r="E1562" s="91"/>
      <c r="H1562" s="91"/>
      <c r="I1562" s="91"/>
      <c r="M1562" s="91"/>
      <c r="N1562" s="91"/>
    </row>
    <row r="1563" ht="15.75" hidden="1" customHeight="1">
      <c r="A1563" s="91"/>
      <c r="E1563" s="91"/>
      <c r="H1563" s="91"/>
      <c r="I1563" s="91"/>
      <c r="M1563" s="91"/>
      <c r="N1563" s="91"/>
    </row>
    <row r="1564" ht="15.75" hidden="1" customHeight="1">
      <c r="A1564" s="91"/>
      <c r="E1564" s="91"/>
      <c r="H1564" s="91"/>
      <c r="I1564" s="91"/>
      <c r="M1564" s="91"/>
      <c r="N1564" s="91"/>
    </row>
    <row r="1565" ht="15.75" hidden="1" customHeight="1">
      <c r="A1565" s="91"/>
      <c r="E1565" s="91"/>
      <c r="H1565" s="91"/>
      <c r="I1565" s="91"/>
      <c r="M1565" s="91"/>
      <c r="N1565" s="91"/>
    </row>
    <row r="1566" ht="15.75" hidden="1" customHeight="1">
      <c r="A1566" s="91"/>
      <c r="E1566" s="91"/>
      <c r="H1566" s="91"/>
      <c r="I1566" s="91"/>
      <c r="M1566" s="91"/>
      <c r="N1566" s="91"/>
    </row>
    <row r="1567" ht="15.75" hidden="1" customHeight="1">
      <c r="A1567" s="91"/>
      <c r="E1567" s="91"/>
      <c r="H1567" s="91"/>
      <c r="I1567" s="91"/>
      <c r="M1567" s="91"/>
      <c r="N1567" s="91"/>
    </row>
    <row r="1568" ht="15.75" hidden="1" customHeight="1">
      <c r="A1568" s="91"/>
      <c r="E1568" s="91"/>
      <c r="H1568" s="91"/>
      <c r="I1568" s="91"/>
      <c r="M1568" s="91"/>
      <c r="N1568" s="91"/>
    </row>
    <row r="1569" ht="15.75" hidden="1" customHeight="1">
      <c r="A1569" s="91"/>
      <c r="E1569" s="91"/>
      <c r="H1569" s="91"/>
      <c r="I1569" s="91"/>
      <c r="M1569" s="91"/>
      <c r="N1569" s="91"/>
    </row>
    <row r="1570" ht="15.75" hidden="1" customHeight="1">
      <c r="A1570" s="91"/>
      <c r="E1570" s="91"/>
      <c r="H1570" s="91"/>
      <c r="I1570" s="91"/>
      <c r="M1570" s="91"/>
      <c r="N1570" s="91"/>
    </row>
    <row r="1571" ht="15.75" hidden="1" customHeight="1">
      <c r="A1571" s="91"/>
      <c r="E1571" s="91"/>
      <c r="H1571" s="91"/>
      <c r="I1571" s="91"/>
      <c r="M1571" s="91"/>
      <c r="N1571" s="91"/>
    </row>
    <row r="1572" ht="15.75" hidden="1" customHeight="1">
      <c r="A1572" s="91"/>
      <c r="E1572" s="91"/>
      <c r="H1572" s="91"/>
      <c r="I1572" s="91"/>
      <c r="M1572" s="91"/>
      <c r="N1572" s="91"/>
    </row>
    <row r="1573" ht="15.75" hidden="1" customHeight="1">
      <c r="A1573" s="91"/>
      <c r="E1573" s="91"/>
      <c r="H1573" s="91"/>
      <c r="I1573" s="91"/>
      <c r="M1573" s="91"/>
      <c r="N1573" s="91"/>
    </row>
    <row r="1574" ht="15.75" hidden="1" customHeight="1">
      <c r="A1574" s="91"/>
      <c r="E1574" s="91"/>
      <c r="H1574" s="91"/>
      <c r="I1574" s="91"/>
      <c r="M1574" s="91"/>
      <c r="N1574" s="91"/>
    </row>
    <row r="1575" ht="15.75" hidden="1" customHeight="1">
      <c r="A1575" s="91"/>
      <c r="E1575" s="91"/>
      <c r="H1575" s="91"/>
      <c r="I1575" s="91"/>
      <c r="M1575" s="91"/>
      <c r="N1575" s="91"/>
    </row>
    <row r="1576" ht="15.75" hidden="1" customHeight="1">
      <c r="A1576" s="91"/>
      <c r="E1576" s="91"/>
      <c r="H1576" s="91"/>
      <c r="I1576" s="91"/>
      <c r="M1576" s="91"/>
      <c r="N1576" s="91"/>
    </row>
    <row r="1577" ht="15.75" hidden="1" customHeight="1">
      <c r="A1577" s="91"/>
      <c r="E1577" s="91"/>
      <c r="H1577" s="91"/>
      <c r="I1577" s="91"/>
      <c r="M1577" s="91"/>
      <c r="N1577" s="91"/>
    </row>
    <row r="1578" ht="15.75" hidden="1" customHeight="1">
      <c r="A1578" s="91"/>
      <c r="E1578" s="91"/>
      <c r="H1578" s="91"/>
      <c r="I1578" s="91"/>
      <c r="M1578" s="91"/>
      <c r="N1578" s="91"/>
    </row>
    <row r="1579" ht="15.75" hidden="1" customHeight="1">
      <c r="A1579" s="91"/>
      <c r="E1579" s="91"/>
      <c r="H1579" s="91"/>
      <c r="I1579" s="91"/>
      <c r="M1579" s="91"/>
      <c r="N1579" s="91"/>
    </row>
    <row r="1580" ht="15.75" hidden="1" customHeight="1">
      <c r="A1580" s="91"/>
      <c r="E1580" s="91"/>
      <c r="H1580" s="91"/>
      <c r="I1580" s="91"/>
      <c r="M1580" s="91"/>
      <c r="N1580" s="91"/>
    </row>
    <row r="1581" ht="15.75" hidden="1" customHeight="1">
      <c r="A1581" s="91"/>
      <c r="E1581" s="91"/>
      <c r="H1581" s="91"/>
      <c r="I1581" s="91"/>
      <c r="M1581" s="91"/>
      <c r="N1581" s="91"/>
    </row>
    <row r="1582" ht="15.75" hidden="1" customHeight="1">
      <c r="A1582" s="91"/>
      <c r="E1582" s="91"/>
      <c r="H1582" s="91"/>
      <c r="I1582" s="91"/>
      <c r="M1582" s="91"/>
      <c r="N1582" s="91"/>
    </row>
    <row r="1583" ht="15.75" hidden="1" customHeight="1">
      <c r="A1583" s="91"/>
      <c r="E1583" s="91"/>
      <c r="H1583" s="91"/>
      <c r="I1583" s="91"/>
      <c r="M1583" s="91"/>
      <c r="N1583" s="91"/>
    </row>
    <row r="1584" ht="15.75" hidden="1" customHeight="1">
      <c r="A1584" s="91"/>
      <c r="E1584" s="91"/>
      <c r="H1584" s="91"/>
      <c r="I1584" s="91"/>
      <c r="M1584" s="91"/>
      <c r="N1584" s="91"/>
    </row>
    <row r="1585" ht="15.75" hidden="1" customHeight="1">
      <c r="A1585" s="91"/>
      <c r="E1585" s="91"/>
      <c r="H1585" s="91"/>
      <c r="I1585" s="91"/>
      <c r="M1585" s="91"/>
      <c r="N1585" s="91"/>
    </row>
    <row r="1586" ht="15.75" hidden="1" customHeight="1">
      <c r="A1586" s="91"/>
      <c r="E1586" s="91"/>
      <c r="H1586" s="91"/>
      <c r="I1586" s="91"/>
      <c r="M1586" s="91"/>
      <c r="N1586" s="91"/>
    </row>
    <row r="1587" ht="15.75" hidden="1" customHeight="1">
      <c r="A1587" s="91"/>
      <c r="E1587" s="91"/>
      <c r="H1587" s="91"/>
      <c r="I1587" s="91"/>
      <c r="M1587" s="91"/>
      <c r="N1587" s="91"/>
    </row>
    <row r="1588" ht="15.75" hidden="1" customHeight="1">
      <c r="A1588" s="91"/>
      <c r="E1588" s="91"/>
      <c r="H1588" s="91"/>
      <c r="I1588" s="91"/>
      <c r="M1588" s="91"/>
      <c r="N1588" s="91"/>
    </row>
    <row r="1589" ht="15.75" hidden="1" customHeight="1">
      <c r="A1589" s="91"/>
      <c r="E1589" s="91"/>
      <c r="H1589" s="91"/>
      <c r="I1589" s="91"/>
      <c r="M1589" s="91"/>
      <c r="N1589" s="91"/>
    </row>
    <row r="1590" ht="15.75" hidden="1" customHeight="1">
      <c r="A1590" s="91"/>
      <c r="E1590" s="91"/>
      <c r="H1590" s="91"/>
      <c r="I1590" s="91"/>
      <c r="M1590" s="91"/>
      <c r="N1590" s="91"/>
    </row>
    <row r="1591" ht="15.75" hidden="1" customHeight="1">
      <c r="A1591" s="91"/>
      <c r="E1591" s="91"/>
      <c r="H1591" s="91"/>
      <c r="I1591" s="91"/>
      <c r="M1591" s="91"/>
      <c r="N1591" s="91"/>
    </row>
    <row r="1592" ht="15.75" hidden="1" customHeight="1">
      <c r="A1592" s="91"/>
      <c r="E1592" s="91"/>
      <c r="H1592" s="91"/>
      <c r="I1592" s="91"/>
      <c r="M1592" s="91"/>
      <c r="N1592" s="91"/>
    </row>
    <row r="1593" ht="15.75" hidden="1" customHeight="1">
      <c r="A1593" s="91"/>
      <c r="E1593" s="91"/>
      <c r="H1593" s="91"/>
      <c r="I1593" s="91"/>
      <c r="M1593" s="91"/>
      <c r="N1593" s="91"/>
    </row>
    <row r="1594" ht="15.75" hidden="1" customHeight="1">
      <c r="A1594" s="91"/>
      <c r="E1594" s="91"/>
      <c r="H1594" s="91"/>
      <c r="I1594" s="91"/>
      <c r="M1594" s="91"/>
      <c r="N1594" s="91"/>
    </row>
    <row r="1595" ht="15.75" hidden="1" customHeight="1">
      <c r="A1595" s="91"/>
      <c r="E1595" s="91"/>
      <c r="H1595" s="91"/>
      <c r="I1595" s="91"/>
      <c r="M1595" s="91"/>
      <c r="N1595" s="91"/>
    </row>
    <row r="1596" ht="15.75" hidden="1" customHeight="1">
      <c r="A1596" s="91"/>
      <c r="E1596" s="91"/>
      <c r="H1596" s="91"/>
      <c r="I1596" s="91"/>
      <c r="M1596" s="91"/>
      <c r="N1596" s="91"/>
    </row>
    <row r="1597" ht="15.75" hidden="1" customHeight="1">
      <c r="A1597" s="91"/>
      <c r="E1597" s="91"/>
      <c r="H1597" s="91"/>
      <c r="I1597" s="91"/>
      <c r="M1597" s="91"/>
      <c r="N1597" s="91"/>
    </row>
    <row r="1598" ht="15.75" hidden="1" customHeight="1">
      <c r="A1598" s="91"/>
      <c r="E1598" s="91"/>
      <c r="H1598" s="91"/>
      <c r="I1598" s="91"/>
      <c r="M1598" s="91"/>
      <c r="N1598" s="91"/>
    </row>
    <row r="1599" ht="15.75" hidden="1" customHeight="1">
      <c r="A1599" s="91"/>
      <c r="E1599" s="91"/>
      <c r="H1599" s="91"/>
      <c r="I1599" s="91"/>
      <c r="M1599" s="91"/>
      <c r="N1599" s="91"/>
    </row>
    <row r="1600" ht="15.75" hidden="1" customHeight="1">
      <c r="A1600" s="91"/>
      <c r="E1600" s="91"/>
      <c r="H1600" s="91"/>
      <c r="I1600" s="91"/>
      <c r="M1600" s="91"/>
      <c r="N1600" s="91"/>
    </row>
    <row r="1601" ht="15.75" hidden="1" customHeight="1">
      <c r="A1601" s="91"/>
      <c r="E1601" s="91"/>
      <c r="H1601" s="91"/>
      <c r="I1601" s="91"/>
      <c r="M1601" s="91"/>
      <c r="N1601" s="91"/>
    </row>
    <row r="1602" ht="15.75" hidden="1" customHeight="1">
      <c r="A1602" s="91"/>
      <c r="E1602" s="91"/>
      <c r="H1602" s="91"/>
      <c r="I1602" s="91"/>
      <c r="M1602" s="91"/>
      <c r="N1602" s="91"/>
    </row>
    <row r="1603" ht="15.75" hidden="1" customHeight="1">
      <c r="A1603" s="91"/>
      <c r="E1603" s="91"/>
      <c r="H1603" s="91"/>
      <c r="I1603" s="91"/>
      <c r="M1603" s="91"/>
      <c r="N1603" s="91"/>
    </row>
    <row r="1604" ht="15.75" hidden="1" customHeight="1">
      <c r="A1604" s="91"/>
      <c r="E1604" s="91"/>
      <c r="H1604" s="91"/>
      <c r="I1604" s="91"/>
      <c r="M1604" s="91"/>
      <c r="N1604" s="91"/>
    </row>
    <row r="1605" ht="15.75" hidden="1" customHeight="1">
      <c r="A1605" s="91"/>
      <c r="E1605" s="91"/>
      <c r="H1605" s="91"/>
      <c r="I1605" s="91"/>
      <c r="M1605" s="91"/>
      <c r="N1605" s="91"/>
    </row>
    <row r="1606" ht="15.75" hidden="1" customHeight="1">
      <c r="A1606" s="91"/>
      <c r="E1606" s="91"/>
      <c r="H1606" s="91"/>
      <c r="I1606" s="91"/>
      <c r="M1606" s="91"/>
      <c r="N1606" s="91"/>
    </row>
    <row r="1607" ht="15.75" hidden="1" customHeight="1">
      <c r="A1607" s="91"/>
      <c r="E1607" s="91"/>
      <c r="H1607" s="91"/>
      <c r="I1607" s="91"/>
      <c r="M1607" s="91"/>
      <c r="N1607" s="91"/>
    </row>
    <row r="1608" ht="15.75" hidden="1" customHeight="1">
      <c r="A1608" s="91"/>
      <c r="E1608" s="91"/>
      <c r="H1608" s="91"/>
      <c r="I1608" s="91"/>
      <c r="M1608" s="91"/>
      <c r="N1608" s="91"/>
    </row>
    <row r="1609" ht="15.75" hidden="1" customHeight="1">
      <c r="A1609" s="91"/>
      <c r="E1609" s="91"/>
      <c r="H1609" s="91"/>
      <c r="I1609" s="91"/>
      <c r="M1609" s="91"/>
      <c r="N1609" s="91"/>
    </row>
    <row r="1610" ht="15.75" hidden="1" customHeight="1">
      <c r="A1610" s="91"/>
      <c r="E1610" s="91"/>
      <c r="H1610" s="91"/>
      <c r="I1610" s="91"/>
      <c r="M1610" s="91"/>
      <c r="N1610" s="91"/>
    </row>
    <row r="1611" ht="15.75" hidden="1" customHeight="1">
      <c r="A1611" s="91"/>
      <c r="E1611" s="91"/>
      <c r="H1611" s="91"/>
      <c r="I1611" s="91"/>
      <c r="M1611" s="91"/>
      <c r="N1611" s="91"/>
    </row>
    <row r="1612" ht="15.75" hidden="1" customHeight="1">
      <c r="A1612" s="91"/>
      <c r="E1612" s="91"/>
      <c r="H1612" s="91"/>
      <c r="I1612" s="91"/>
      <c r="M1612" s="91"/>
      <c r="N1612" s="91"/>
    </row>
    <row r="1613" ht="15.75" hidden="1" customHeight="1">
      <c r="A1613" s="91"/>
      <c r="E1613" s="91"/>
      <c r="H1613" s="91"/>
      <c r="I1613" s="91"/>
      <c r="M1613" s="91"/>
      <c r="N1613" s="91"/>
    </row>
    <row r="1614" ht="15.75" hidden="1" customHeight="1">
      <c r="A1614" s="91"/>
      <c r="E1614" s="91"/>
      <c r="H1614" s="91"/>
      <c r="I1614" s="91"/>
      <c r="M1614" s="91"/>
      <c r="N1614" s="91"/>
    </row>
    <row r="1615" ht="15.75" hidden="1" customHeight="1">
      <c r="A1615" s="91"/>
      <c r="E1615" s="91"/>
      <c r="H1615" s="91"/>
      <c r="I1615" s="91"/>
      <c r="M1615" s="91"/>
      <c r="N1615" s="91"/>
    </row>
    <row r="1616" ht="15.75" hidden="1" customHeight="1">
      <c r="A1616" s="91"/>
      <c r="E1616" s="91"/>
      <c r="H1616" s="91"/>
      <c r="I1616" s="91"/>
      <c r="M1616" s="91"/>
      <c r="N1616" s="91"/>
    </row>
    <row r="1617" ht="15.75" hidden="1" customHeight="1">
      <c r="A1617" s="91"/>
      <c r="E1617" s="91"/>
      <c r="H1617" s="91"/>
      <c r="I1617" s="91"/>
      <c r="M1617" s="91"/>
      <c r="N1617" s="91"/>
    </row>
    <row r="1618" ht="15.75" hidden="1" customHeight="1">
      <c r="A1618" s="91"/>
      <c r="E1618" s="91"/>
      <c r="H1618" s="91"/>
      <c r="I1618" s="91"/>
      <c r="M1618" s="91"/>
      <c r="N1618" s="91"/>
    </row>
    <row r="1619" ht="15.75" hidden="1" customHeight="1">
      <c r="A1619" s="91"/>
      <c r="E1619" s="91"/>
      <c r="H1619" s="91"/>
      <c r="I1619" s="91"/>
      <c r="M1619" s="91"/>
      <c r="N1619" s="91"/>
    </row>
    <row r="1620" ht="15.75" hidden="1" customHeight="1">
      <c r="A1620" s="91"/>
      <c r="E1620" s="91"/>
      <c r="H1620" s="91"/>
      <c r="I1620" s="91"/>
      <c r="M1620" s="91"/>
      <c r="N1620" s="91"/>
    </row>
    <row r="1621" ht="15.75" hidden="1" customHeight="1">
      <c r="A1621" s="91"/>
      <c r="E1621" s="91"/>
      <c r="H1621" s="91"/>
      <c r="I1621" s="91"/>
      <c r="M1621" s="91"/>
      <c r="N1621" s="91"/>
    </row>
    <row r="1622" ht="15.75" hidden="1" customHeight="1">
      <c r="A1622" s="91"/>
      <c r="E1622" s="91"/>
      <c r="H1622" s="91"/>
      <c r="I1622" s="91"/>
      <c r="M1622" s="91"/>
      <c r="N1622" s="91"/>
    </row>
    <row r="1623" ht="15.75" hidden="1" customHeight="1">
      <c r="A1623" s="91"/>
      <c r="E1623" s="91"/>
      <c r="H1623" s="91"/>
      <c r="I1623" s="91"/>
      <c r="M1623" s="91"/>
      <c r="N1623" s="91"/>
    </row>
    <row r="1624" ht="15.75" hidden="1" customHeight="1">
      <c r="A1624" s="91"/>
      <c r="E1624" s="91"/>
      <c r="H1624" s="91"/>
      <c r="I1624" s="91"/>
      <c r="M1624" s="91"/>
      <c r="N1624" s="91"/>
    </row>
    <row r="1625" ht="15.75" hidden="1" customHeight="1">
      <c r="A1625" s="91"/>
      <c r="E1625" s="91"/>
      <c r="H1625" s="91"/>
      <c r="I1625" s="91"/>
      <c r="M1625" s="91"/>
      <c r="N1625" s="91"/>
    </row>
    <row r="1626" ht="15.75" hidden="1" customHeight="1">
      <c r="A1626" s="91"/>
      <c r="E1626" s="91"/>
      <c r="H1626" s="91"/>
      <c r="I1626" s="91"/>
      <c r="M1626" s="91"/>
      <c r="N1626" s="91"/>
    </row>
    <row r="1627" ht="15.75" hidden="1" customHeight="1">
      <c r="A1627" s="91"/>
      <c r="E1627" s="91"/>
      <c r="H1627" s="91"/>
      <c r="I1627" s="91"/>
      <c r="M1627" s="91"/>
      <c r="N1627" s="91"/>
    </row>
    <row r="1628" ht="15.75" hidden="1" customHeight="1">
      <c r="A1628" s="91"/>
      <c r="E1628" s="91"/>
      <c r="H1628" s="91"/>
      <c r="I1628" s="91"/>
      <c r="M1628" s="91"/>
      <c r="N1628" s="91"/>
    </row>
    <row r="1629" ht="15.75" hidden="1" customHeight="1">
      <c r="A1629" s="91"/>
      <c r="E1629" s="91"/>
      <c r="H1629" s="91"/>
      <c r="I1629" s="91"/>
      <c r="M1629" s="91"/>
      <c r="N1629" s="91"/>
    </row>
    <row r="1630" ht="15.75" hidden="1" customHeight="1">
      <c r="A1630" s="91"/>
      <c r="E1630" s="91"/>
      <c r="H1630" s="91"/>
      <c r="I1630" s="91"/>
      <c r="M1630" s="91"/>
      <c r="N1630" s="91"/>
    </row>
    <row r="1631" ht="15.75" hidden="1" customHeight="1">
      <c r="A1631" s="91"/>
      <c r="E1631" s="91"/>
      <c r="H1631" s="91"/>
      <c r="I1631" s="91"/>
      <c r="M1631" s="91"/>
      <c r="N1631" s="91"/>
    </row>
    <row r="1632" ht="15.75" hidden="1" customHeight="1">
      <c r="A1632" s="91"/>
      <c r="E1632" s="91"/>
      <c r="H1632" s="91"/>
      <c r="I1632" s="91"/>
      <c r="M1632" s="91"/>
      <c r="N1632" s="91"/>
    </row>
    <row r="1633" ht="15.75" hidden="1" customHeight="1">
      <c r="A1633" s="91"/>
      <c r="E1633" s="91"/>
      <c r="H1633" s="91"/>
      <c r="I1633" s="91"/>
      <c r="M1633" s="91"/>
      <c r="N1633" s="91"/>
    </row>
    <row r="1634" ht="15.75" hidden="1" customHeight="1">
      <c r="A1634" s="91"/>
      <c r="E1634" s="91"/>
      <c r="H1634" s="91"/>
      <c r="I1634" s="91"/>
      <c r="M1634" s="91"/>
      <c r="N1634" s="91"/>
    </row>
    <row r="1635" ht="15.75" hidden="1" customHeight="1">
      <c r="A1635" s="91"/>
      <c r="E1635" s="91"/>
      <c r="H1635" s="91"/>
      <c r="I1635" s="91"/>
      <c r="M1635" s="91"/>
      <c r="N1635" s="91"/>
    </row>
    <row r="1636" ht="15.75" hidden="1" customHeight="1">
      <c r="A1636" s="91"/>
      <c r="E1636" s="91"/>
      <c r="H1636" s="91"/>
      <c r="I1636" s="91"/>
      <c r="M1636" s="91"/>
      <c r="N1636" s="91"/>
    </row>
    <row r="1637" ht="15.75" hidden="1" customHeight="1">
      <c r="A1637" s="91"/>
      <c r="E1637" s="91"/>
      <c r="H1637" s="91"/>
      <c r="I1637" s="91"/>
      <c r="M1637" s="91"/>
      <c r="N1637" s="91"/>
    </row>
    <row r="1638" ht="15.75" hidden="1" customHeight="1">
      <c r="A1638" s="91"/>
      <c r="E1638" s="91"/>
      <c r="H1638" s="91"/>
      <c r="I1638" s="91"/>
      <c r="M1638" s="91"/>
      <c r="N1638" s="91"/>
    </row>
    <row r="1639" ht="15.75" hidden="1" customHeight="1">
      <c r="A1639" s="91"/>
      <c r="E1639" s="91"/>
      <c r="H1639" s="91"/>
      <c r="I1639" s="91"/>
      <c r="M1639" s="91"/>
      <c r="N1639" s="91"/>
    </row>
    <row r="1640" ht="15.75" hidden="1" customHeight="1">
      <c r="A1640" s="91"/>
      <c r="E1640" s="91"/>
      <c r="H1640" s="91"/>
      <c r="I1640" s="91"/>
      <c r="M1640" s="91"/>
      <c r="N1640" s="91"/>
    </row>
    <row r="1641" ht="15.75" hidden="1" customHeight="1">
      <c r="A1641" s="91"/>
      <c r="E1641" s="91"/>
      <c r="H1641" s="91"/>
      <c r="I1641" s="91"/>
      <c r="M1641" s="91"/>
      <c r="N1641" s="91"/>
    </row>
    <row r="1642" ht="15.75" hidden="1" customHeight="1">
      <c r="A1642" s="91"/>
      <c r="E1642" s="91"/>
      <c r="H1642" s="91"/>
      <c r="I1642" s="91"/>
      <c r="M1642" s="91"/>
      <c r="N1642" s="91"/>
    </row>
    <row r="1643" ht="15.75" hidden="1" customHeight="1">
      <c r="A1643" s="91"/>
      <c r="E1643" s="91"/>
      <c r="H1643" s="91"/>
      <c r="I1643" s="91"/>
      <c r="M1643" s="91"/>
      <c r="N1643" s="91"/>
    </row>
    <row r="1644" ht="15.75" hidden="1" customHeight="1">
      <c r="A1644" s="91"/>
      <c r="E1644" s="91"/>
      <c r="H1644" s="91"/>
      <c r="I1644" s="91"/>
      <c r="M1644" s="91"/>
      <c r="N1644" s="91"/>
    </row>
    <row r="1645" ht="15.75" hidden="1" customHeight="1">
      <c r="A1645" s="91"/>
      <c r="E1645" s="91"/>
      <c r="H1645" s="91"/>
      <c r="I1645" s="91"/>
      <c r="M1645" s="91"/>
      <c r="N1645" s="91"/>
    </row>
    <row r="1646" ht="15.75" hidden="1" customHeight="1">
      <c r="A1646" s="91"/>
      <c r="E1646" s="91"/>
      <c r="H1646" s="91"/>
      <c r="I1646" s="91"/>
      <c r="M1646" s="91"/>
      <c r="N1646" s="91"/>
    </row>
    <row r="1647" ht="15.75" hidden="1" customHeight="1">
      <c r="A1647" s="91"/>
      <c r="E1647" s="91"/>
      <c r="H1647" s="91"/>
      <c r="I1647" s="91"/>
      <c r="M1647" s="91"/>
      <c r="N1647" s="91"/>
    </row>
    <row r="1648" ht="15.75" hidden="1" customHeight="1">
      <c r="A1648" s="91"/>
      <c r="E1648" s="91"/>
      <c r="H1648" s="91"/>
      <c r="I1648" s="91"/>
      <c r="M1648" s="91"/>
      <c r="N1648" s="91"/>
    </row>
    <row r="1649" ht="15.75" hidden="1" customHeight="1">
      <c r="A1649" s="91"/>
      <c r="E1649" s="91"/>
      <c r="H1649" s="91"/>
      <c r="I1649" s="91"/>
      <c r="M1649" s="91"/>
      <c r="N1649" s="91"/>
    </row>
    <row r="1650" ht="15.75" hidden="1" customHeight="1">
      <c r="A1650" s="91"/>
      <c r="E1650" s="91"/>
      <c r="H1650" s="91"/>
      <c r="I1650" s="91"/>
      <c r="M1650" s="91"/>
      <c r="N1650" s="91"/>
    </row>
    <row r="1651" ht="15.75" hidden="1" customHeight="1">
      <c r="A1651" s="91"/>
      <c r="E1651" s="91"/>
      <c r="H1651" s="91"/>
      <c r="I1651" s="91"/>
      <c r="M1651" s="91"/>
      <c r="N1651" s="91"/>
    </row>
    <row r="1652" ht="15.75" hidden="1" customHeight="1">
      <c r="A1652" s="91"/>
      <c r="E1652" s="91"/>
      <c r="H1652" s="91"/>
      <c r="I1652" s="91"/>
      <c r="M1652" s="91"/>
      <c r="N1652" s="91"/>
    </row>
    <row r="1653" ht="15.75" hidden="1" customHeight="1">
      <c r="A1653" s="91"/>
      <c r="E1653" s="91"/>
      <c r="H1653" s="91"/>
      <c r="I1653" s="91"/>
      <c r="M1653" s="91"/>
      <c r="N1653" s="91"/>
    </row>
    <row r="1654" ht="15.75" hidden="1" customHeight="1">
      <c r="A1654" s="91"/>
      <c r="E1654" s="91"/>
      <c r="H1654" s="91"/>
      <c r="I1654" s="91"/>
      <c r="M1654" s="91"/>
      <c r="N1654" s="91"/>
    </row>
    <row r="1655" ht="15.75" hidden="1" customHeight="1">
      <c r="A1655" s="91"/>
      <c r="E1655" s="91"/>
      <c r="H1655" s="91"/>
      <c r="I1655" s="91"/>
      <c r="M1655" s="91"/>
      <c r="N1655" s="91"/>
    </row>
    <row r="1656" ht="15.75" hidden="1" customHeight="1">
      <c r="A1656" s="91"/>
      <c r="E1656" s="91"/>
      <c r="H1656" s="91"/>
      <c r="I1656" s="91"/>
      <c r="M1656" s="91"/>
      <c r="N1656" s="91"/>
    </row>
    <row r="1657" ht="15.75" hidden="1" customHeight="1">
      <c r="A1657" s="91"/>
      <c r="E1657" s="91"/>
      <c r="H1657" s="91"/>
      <c r="I1657" s="91"/>
      <c r="M1657" s="91"/>
      <c r="N1657" s="91"/>
    </row>
    <row r="1658" ht="15.75" hidden="1" customHeight="1">
      <c r="A1658" s="91"/>
      <c r="E1658" s="91"/>
      <c r="H1658" s="91"/>
      <c r="I1658" s="91"/>
      <c r="M1658" s="91"/>
      <c r="N1658" s="91"/>
    </row>
    <row r="1659" ht="15.75" hidden="1" customHeight="1">
      <c r="A1659" s="91"/>
      <c r="E1659" s="91"/>
      <c r="H1659" s="91"/>
      <c r="I1659" s="91"/>
      <c r="M1659" s="91"/>
      <c r="N1659" s="91"/>
    </row>
    <row r="1660" ht="15.75" hidden="1" customHeight="1">
      <c r="A1660" s="91"/>
      <c r="E1660" s="91"/>
      <c r="H1660" s="91"/>
      <c r="I1660" s="91"/>
      <c r="M1660" s="91"/>
      <c r="N1660" s="91"/>
    </row>
    <row r="1661" ht="15.75" hidden="1" customHeight="1">
      <c r="A1661" s="91"/>
      <c r="E1661" s="91"/>
      <c r="H1661" s="91"/>
      <c r="I1661" s="91"/>
      <c r="M1661" s="91"/>
      <c r="N1661" s="91"/>
    </row>
    <row r="1662" ht="15.75" hidden="1" customHeight="1">
      <c r="A1662" s="91"/>
      <c r="E1662" s="91"/>
      <c r="H1662" s="91"/>
      <c r="I1662" s="91"/>
      <c r="M1662" s="91"/>
      <c r="N1662" s="91"/>
    </row>
    <row r="1663" ht="15.75" hidden="1" customHeight="1">
      <c r="A1663" s="91"/>
      <c r="E1663" s="91"/>
      <c r="H1663" s="91"/>
      <c r="I1663" s="91"/>
      <c r="M1663" s="91"/>
      <c r="N1663" s="91"/>
    </row>
    <row r="1664" ht="15.75" hidden="1" customHeight="1">
      <c r="A1664" s="91"/>
      <c r="E1664" s="91"/>
      <c r="H1664" s="91"/>
      <c r="I1664" s="91"/>
      <c r="M1664" s="91"/>
      <c r="N1664" s="91"/>
    </row>
    <row r="1665" ht="15.75" hidden="1" customHeight="1">
      <c r="A1665" s="91"/>
      <c r="E1665" s="91"/>
      <c r="H1665" s="91"/>
      <c r="I1665" s="91"/>
      <c r="M1665" s="91"/>
      <c r="N1665" s="91"/>
    </row>
    <row r="1666" ht="15.75" hidden="1" customHeight="1">
      <c r="A1666" s="91"/>
      <c r="E1666" s="91"/>
      <c r="H1666" s="91"/>
      <c r="I1666" s="91"/>
      <c r="M1666" s="91"/>
      <c r="N1666" s="91"/>
    </row>
    <row r="1667" ht="15.75" hidden="1" customHeight="1">
      <c r="A1667" s="91"/>
      <c r="E1667" s="91"/>
      <c r="H1667" s="91"/>
      <c r="I1667" s="91"/>
      <c r="M1667" s="91"/>
      <c r="N1667" s="91"/>
    </row>
    <row r="1668" ht="15.75" hidden="1" customHeight="1">
      <c r="A1668" s="91"/>
      <c r="E1668" s="91"/>
      <c r="H1668" s="91"/>
      <c r="I1668" s="91"/>
      <c r="M1668" s="91"/>
      <c r="N1668" s="91"/>
    </row>
    <row r="1669" ht="15.75" hidden="1" customHeight="1">
      <c r="A1669" s="91"/>
      <c r="E1669" s="91"/>
      <c r="H1669" s="91"/>
      <c r="I1669" s="91"/>
      <c r="M1669" s="91"/>
      <c r="N1669" s="91"/>
    </row>
    <row r="1670" ht="15.75" hidden="1" customHeight="1">
      <c r="A1670" s="91"/>
      <c r="E1670" s="91"/>
      <c r="H1670" s="91"/>
      <c r="I1670" s="91"/>
      <c r="M1670" s="91"/>
      <c r="N1670" s="91"/>
    </row>
    <row r="1671" ht="15.75" hidden="1" customHeight="1">
      <c r="A1671" s="91"/>
      <c r="E1671" s="91"/>
      <c r="H1671" s="91"/>
      <c r="I1671" s="91"/>
      <c r="M1671" s="91"/>
      <c r="N1671" s="91"/>
    </row>
    <row r="1672" ht="15.75" hidden="1" customHeight="1">
      <c r="A1672" s="91"/>
      <c r="E1672" s="91"/>
      <c r="H1672" s="91"/>
      <c r="I1672" s="91"/>
      <c r="M1672" s="91"/>
      <c r="N1672" s="91"/>
    </row>
    <row r="1673" ht="15.75" hidden="1" customHeight="1">
      <c r="A1673" s="91"/>
      <c r="E1673" s="91"/>
      <c r="H1673" s="91"/>
      <c r="I1673" s="91"/>
      <c r="M1673" s="91"/>
      <c r="N1673" s="91"/>
    </row>
    <row r="1674" ht="15.75" hidden="1" customHeight="1">
      <c r="A1674" s="91"/>
      <c r="E1674" s="91"/>
      <c r="H1674" s="91"/>
      <c r="I1674" s="91"/>
      <c r="M1674" s="91"/>
      <c r="N1674" s="91"/>
    </row>
    <row r="1675" ht="15.75" hidden="1" customHeight="1">
      <c r="A1675" s="91"/>
      <c r="E1675" s="91"/>
      <c r="H1675" s="91"/>
      <c r="I1675" s="91"/>
      <c r="M1675" s="91"/>
      <c r="N1675" s="91"/>
    </row>
    <row r="1676" ht="15.75" hidden="1" customHeight="1">
      <c r="A1676" s="91"/>
      <c r="E1676" s="91"/>
      <c r="H1676" s="91"/>
      <c r="I1676" s="91"/>
      <c r="M1676" s="91"/>
      <c r="N1676" s="91"/>
    </row>
    <row r="1677" ht="15.75" hidden="1" customHeight="1">
      <c r="A1677" s="91"/>
      <c r="E1677" s="91"/>
      <c r="H1677" s="91"/>
      <c r="I1677" s="91"/>
      <c r="M1677" s="91"/>
      <c r="N1677" s="91"/>
    </row>
    <row r="1678" ht="15.75" hidden="1" customHeight="1">
      <c r="A1678" s="91"/>
      <c r="E1678" s="91"/>
      <c r="H1678" s="91"/>
      <c r="I1678" s="91"/>
      <c r="M1678" s="91"/>
      <c r="N1678" s="91"/>
    </row>
    <row r="1679" ht="15.75" hidden="1" customHeight="1">
      <c r="A1679" s="91"/>
      <c r="E1679" s="91"/>
      <c r="H1679" s="91"/>
      <c r="I1679" s="91"/>
      <c r="M1679" s="91"/>
      <c r="N1679" s="91"/>
    </row>
    <row r="1680" ht="15.75" hidden="1" customHeight="1">
      <c r="A1680" s="91"/>
      <c r="E1680" s="91"/>
      <c r="H1680" s="91"/>
      <c r="I1680" s="91"/>
      <c r="M1680" s="91"/>
      <c r="N1680" s="91"/>
    </row>
    <row r="1681" ht="15.75" hidden="1" customHeight="1">
      <c r="A1681" s="91"/>
      <c r="E1681" s="91"/>
      <c r="H1681" s="91"/>
      <c r="I1681" s="91"/>
      <c r="M1681" s="91"/>
      <c r="N1681" s="91"/>
    </row>
    <row r="1682" ht="15.75" hidden="1" customHeight="1">
      <c r="A1682" s="91"/>
      <c r="E1682" s="91"/>
      <c r="H1682" s="91"/>
      <c r="I1682" s="91"/>
      <c r="M1682" s="91"/>
      <c r="N1682" s="91"/>
    </row>
    <row r="1683" ht="15.75" hidden="1" customHeight="1">
      <c r="A1683" s="91"/>
      <c r="E1683" s="91"/>
      <c r="H1683" s="91"/>
      <c r="I1683" s="91"/>
      <c r="M1683" s="91"/>
      <c r="N1683" s="91"/>
    </row>
    <row r="1684" ht="15.75" hidden="1" customHeight="1">
      <c r="A1684" s="91"/>
      <c r="E1684" s="91"/>
      <c r="H1684" s="91"/>
      <c r="I1684" s="91"/>
      <c r="M1684" s="91"/>
      <c r="N1684" s="91"/>
    </row>
    <row r="1685" ht="15.75" hidden="1" customHeight="1">
      <c r="A1685" s="91"/>
      <c r="E1685" s="91"/>
      <c r="H1685" s="91"/>
      <c r="I1685" s="91"/>
      <c r="M1685" s="91"/>
      <c r="N1685" s="91"/>
    </row>
    <row r="1686" ht="15.75" hidden="1" customHeight="1">
      <c r="A1686" s="91"/>
      <c r="E1686" s="91"/>
      <c r="H1686" s="91"/>
      <c r="I1686" s="91"/>
      <c r="M1686" s="91"/>
      <c r="N1686" s="91"/>
    </row>
    <row r="1687" ht="15.75" hidden="1" customHeight="1">
      <c r="A1687" s="91"/>
      <c r="E1687" s="91"/>
      <c r="H1687" s="91"/>
      <c r="I1687" s="91"/>
      <c r="M1687" s="91"/>
      <c r="N1687" s="91"/>
    </row>
    <row r="1688" ht="15.75" hidden="1" customHeight="1">
      <c r="A1688" s="91"/>
      <c r="E1688" s="91"/>
      <c r="H1688" s="91"/>
      <c r="I1688" s="91"/>
      <c r="M1688" s="91"/>
      <c r="N1688" s="91"/>
    </row>
    <row r="1689" ht="15.75" hidden="1" customHeight="1">
      <c r="A1689" s="91"/>
      <c r="E1689" s="91"/>
      <c r="H1689" s="91"/>
      <c r="I1689" s="91"/>
      <c r="M1689" s="91"/>
      <c r="N1689" s="91"/>
    </row>
    <row r="1690" ht="15.75" hidden="1" customHeight="1">
      <c r="A1690" s="91"/>
      <c r="E1690" s="91"/>
      <c r="H1690" s="91"/>
      <c r="I1690" s="91"/>
      <c r="M1690" s="91"/>
      <c r="N1690" s="91"/>
    </row>
    <row r="1691" ht="15.75" hidden="1" customHeight="1">
      <c r="A1691" s="91"/>
      <c r="E1691" s="91"/>
      <c r="H1691" s="91"/>
      <c r="I1691" s="91"/>
      <c r="M1691" s="91"/>
      <c r="N1691" s="91"/>
    </row>
    <row r="1692" ht="15.75" hidden="1" customHeight="1">
      <c r="A1692" s="91"/>
      <c r="E1692" s="91"/>
      <c r="H1692" s="91"/>
      <c r="I1692" s="91"/>
      <c r="M1692" s="91"/>
      <c r="N1692" s="91"/>
    </row>
    <row r="1693" ht="15.75" hidden="1" customHeight="1">
      <c r="A1693" s="91"/>
      <c r="E1693" s="91"/>
      <c r="H1693" s="91"/>
      <c r="I1693" s="91"/>
      <c r="M1693" s="91"/>
      <c r="N1693" s="91"/>
    </row>
    <row r="1694" ht="15.75" hidden="1" customHeight="1">
      <c r="A1694" s="91"/>
      <c r="E1694" s="91"/>
      <c r="H1694" s="91"/>
      <c r="I1694" s="91"/>
      <c r="M1694" s="91"/>
      <c r="N1694" s="91"/>
    </row>
    <row r="1695" ht="15.75" hidden="1" customHeight="1">
      <c r="A1695" s="91"/>
      <c r="E1695" s="91"/>
      <c r="H1695" s="91"/>
      <c r="I1695" s="91"/>
      <c r="M1695" s="91"/>
      <c r="N1695" s="91"/>
    </row>
    <row r="1696" ht="15.75" hidden="1" customHeight="1">
      <c r="A1696" s="91"/>
      <c r="E1696" s="91"/>
      <c r="H1696" s="91"/>
      <c r="I1696" s="91"/>
      <c r="M1696" s="91"/>
      <c r="N1696" s="91"/>
    </row>
    <row r="1697" ht="15.75" hidden="1" customHeight="1">
      <c r="A1697" s="91"/>
      <c r="E1697" s="91"/>
      <c r="H1697" s="91"/>
      <c r="I1697" s="91"/>
      <c r="M1697" s="91"/>
      <c r="N1697" s="91"/>
    </row>
    <row r="1698" ht="15.75" hidden="1" customHeight="1">
      <c r="A1698" s="91"/>
      <c r="E1698" s="91"/>
      <c r="H1698" s="91"/>
      <c r="I1698" s="91"/>
      <c r="M1698" s="91"/>
      <c r="N1698" s="91"/>
    </row>
    <row r="1699" ht="15.75" hidden="1" customHeight="1">
      <c r="A1699" s="91"/>
      <c r="E1699" s="91"/>
      <c r="H1699" s="91"/>
      <c r="I1699" s="91"/>
      <c r="M1699" s="91"/>
      <c r="N1699" s="91"/>
    </row>
    <row r="1700" ht="15.75" hidden="1" customHeight="1">
      <c r="A1700" s="91"/>
      <c r="E1700" s="91"/>
      <c r="H1700" s="91"/>
      <c r="I1700" s="91"/>
      <c r="M1700" s="91"/>
      <c r="N1700" s="91"/>
    </row>
    <row r="1701" ht="15.75" hidden="1" customHeight="1">
      <c r="A1701" s="91"/>
      <c r="E1701" s="91"/>
      <c r="H1701" s="91"/>
      <c r="I1701" s="91"/>
      <c r="M1701" s="91"/>
      <c r="N1701" s="91"/>
    </row>
    <row r="1702" ht="15.75" hidden="1" customHeight="1">
      <c r="A1702" s="91"/>
      <c r="E1702" s="91"/>
      <c r="H1702" s="91"/>
      <c r="I1702" s="91"/>
      <c r="M1702" s="91"/>
      <c r="N1702" s="91"/>
    </row>
    <row r="1703" ht="15.75" hidden="1" customHeight="1">
      <c r="A1703" s="91"/>
      <c r="E1703" s="91"/>
      <c r="H1703" s="91"/>
      <c r="I1703" s="91"/>
      <c r="M1703" s="91"/>
      <c r="N1703" s="91"/>
    </row>
    <row r="1704" ht="15.75" hidden="1" customHeight="1">
      <c r="A1704" s="91"/>
      <c r="E1704" s="91"/>
      <c r="H1704" s="91"/>
      <c r="I1704" s="91"/>
      <c r="M1704" s="91"/>
      <c r="N1704" s="91"/>
    </row>
    <row r="1705" ht="15.75" hidden="1" customHeight="1">
      <c r="A1705" s="91"/>
      <c r="E1705" s="91"/>
      <c r="H1705" s="91"/>
      <c r="I1705" s="91"/>
      <c r="M1705" s="91"/>
      <c r="N1705" s="91"/>
    </row>
    <row r="1706" ht="15.75" hidden="1" customHeight="1">
      <c r="A1706" s="91"/>
      <c r="E1706" s="91"/>
      <c r="H1706" s="91"/>
      <c r="I1706" s="91"/>
      <c r="M1706" s="91"/>
      <c r="N1706" s="91"/>
    </row>
    <row r="1707" ht="15.75" hidden="1" customHeight="1">
      <c r="A1707" s="91"/>
      <c r="E1707" s="91"/>
      <c r="H1707" s="91"/>
      <c r="I1707" s="91"/>
      <c r="M1707" s="91"/>
      <c r="N1707" s="91"/>
    </row>
    <row r="1708" ht="15.75" hidden="1" customHeight="1">
      <c r="A1708" s="91"/>
      <c r="E1708" s="91"/>
      <c r="H1708" s="91"/>
      <c r="I1708" s="91"/>
      <c r="M1708" s="91"/>
      <c r="N1708" s="91"/>
    </row>
    <row r="1709" ht="15.75" hidden="1" customHeight="1">
      <c r="A1709" s="91"/>
      <c r="E1709" s="91"/>
      <c r="H1709" s="91"/>
      <c r="I1709" s="91"/>
      <c r="M1709" s="91"/>
      <c r="N1709" s="91"/>
    </row>
    <row r="1710" ht="15.75" hidden="1" customHeight="1">
      <c r="A1710" s="91"/>
      <c r="E1710" s="91"/>
      <c r="H1710" s="91"/>
      <c r="I1710" s="91"/>
      <c r="M1710" s="91"/>
      <c r="N1710" s="91"/>
    </row>
    <row r="1711" ht="15.75" hidden="1" customHeight="1">
      <c r="A1711" s="91"/>
      <c r="E1711" s="91"/>
      <c r="H1711" s="91"/>
      <c r="I1711" s="91"/>
      <c r="M1711" s="91"/>
      <c r="N1711" s="91"/>
    </row>
    <row r="1712" ht="15.75" hidden="1" customHeight="1">
      <c r="A1712" s="91"/>
      <c r="E1712" s="91"/>
      <c r="H1712" s="91"/>
      <c r="I1712" s="91"/>
      <c r="M1712" s="91"/>
      <c r="N1712" s="91"/>
    </row>
    <row r="1713" ht="15.75" hidden="1" customHeight="1">
      <c r="A1713" s="91"/>
      <c r="E1713" s="91"/>
      <c r="H1713" s="91"/>
      <c r="I1713" s="91"/>
      <c r="M1713" s="91"/>
      <c r="N1713" s="91"/>
    </row>
    <row r="1714" ht="15.75" hidden="1" customHeight="1">
      <c r="A1714" s="91"/>
      <c r="E1714" s="91"/>
      <c r="H1714" s="91"/>
      <c r="I1714" s="91"/>
      <c r="M1714" s="91"/>
      <c r="N1714" s="91"/>
    </row>
    <row r="1715" ht="15.75" hidden="1" customHeight="1">
      <c r="A1715" s="91"/>
      <c r="E1715" s="91"/>
      <c r="H1715" s="91"/>
      <c r="I1715" s="91"/>
      <c r="M1715" s="91"/>
      <c r="N1715" s="91"/>
    </row>
    <row r="1716" ht="15.75" hidden="1" customHeight="1">
      <c r="A1716" s="91"/>
      <c r="E1716" s="91"/>
      <c r="H1716" s="91"/>
      <c r="I1716" s="91"/>
      <c r="M1716" s="91"/>
      <c r="N1716" s="91"/>
    </row>
    <row r="1717" ht="15.75" hidden="1" customHeight="1">
      <c r="A1717" s="91"/>
      <c r="E1717" s="91"/>
      <c r="H1717" s="91"/>
      <c r="I1717" s="91"/>
      <c r="M1717" s="91"/>
      <c r="N1717" s="91"/>
    </row>
    <row r="1718" ht="15.75" hidden="1" customHeight="1">
      <c r="A1718" s="91"/>
      <c r="E1718" s="91"/>
      <c r="H1718" s="91"/>
      <c r="I1718" s="91"/>
      <c r="M1718" s="91"/>
      <c r="N1718" s="91"/>
    </row>
    <row r="1719" ht="15.75" hidden="1" customHeight="1">
      <c r="A1719" s="91"/>
      <c r="E1719" s="91"/>
      <c r="H1719" s="91"/>
      <c r="I1719" s="91"/>
      <c r="M1719" s="91"/>
      <c r="N1719" s="91"/>
    </row>
    <row r="1720" ht="15.75" hidden="1" customHeight="1">
      <c r="A1720" s="91"/>
      <c r="E1720" s="91"/>
      <c r="H1720" s="91"/>
      <c r="I1720" s="91"/>
      <c r="M1720" s="91"/>
      <c r="N1720" s="91"/>
    </row>
    <row r="1721" ht="15.75" hidden="1" customHeight="1">
      <c r="A1721" s="91"/>
      <c r="E1721" s="91"/>
      <c r="H1721" s="91"/>
      <c r="I1721" s="91"/>
      <c r="M1721" s="91"/>
      <c r="N1721" s="91"/>
    </row>
    <row r="1722" ht="15.75" hidden="1" customHeight="1">
      <c r="A1722" s="91"/>
      <c r="E1722" s="91"/>
      <c r="H1722" s="91"/>
      <c r="I1722" s="91"/>
      <c r="M1722" s="91"/>
      <c r="N1722" s="91"/>
    </row>
    <row r="1723" ht="15.75" hidden="1" customHeight="1">
      <c r="A1723" s="91"/>
      <c r="E1723" s="91"/>
      <c r="H1723" s="91"/>
      <c r="I1723" s="91"/>
      <c r="M1723" s="91"/>
      <c r="N1723" s="91"/>
    </row>
    <row r="1724" ht="15.75" hidden="1" customHeight="1">
      <c r="A1724" s="91"/>
      <c r="E1724" s="91"/>
      <c r="H1724" s="91"/>
      <c r="I1724" s="91"/>
      <c r="M1724" s="91"/>
      <c r="N1724" s="91"/>
    </row>
    <row r="1725" ht="15.75" hidden="1" customHeight="1">
      <c r="A1725" s="91"/>
      <c r="E1725" s="91"/>
      <c r="H1725" s="91"/>
      <c r="I1725" s="91"/>
      <c r="M1725" s="91"/>
      <c r="N1725" s="91"/>
    </row>
    <row r="1726" ht="15.75" hidden="1" customHeight="1">
      <c r="A1726" s="91"/>
      <c r="E1726" s="91"/>
      <c r="H1726" s="91"/>
      <c r="I1726" s="91"/>
      <c r="M1726" s="91"/>
      <c r="N1726" s="91"/>
    </row>
    <row r="1727" ht="15.75" hidden="1" customHeight="1">
      <c r="A1727" s="91"/>
      <c r="E1727" s="91"/>
      <c r="H1727" s="91"/>
      <c r="I1727" s="91"/>
      <c r="M1727" s="91"/>
      <c r="N1727" s="91"/>
    </row>
    <row r="1728" ht="15.75" hidden="1" customHeight="1">
      <c r="A1728" s="91"/>
      <c r="E1728" s="91"/>
      <c r="H1728" s="91"/>
      <c r="I1728" s="91"/>
      <c r="M1728" s="91"/>
      <c r="N1728" s="91"/>
    </row>
    <row r="1729" ht="15.75" hidden="1" customHeight="1">
      <c r="A1729" s="91"/>
      <c r="E1729" s="91"/>
      <c r="H1729" s="91"/>
      <c r="I1729" s="91"/>
      <c r="M1729" s="91"/>
      <c r="N1729" s="91"/>
    </row>
    <row r="1730" ht="15.75" hidden="1" customHeight="1">
      <c r="A1730" s="91"/>
      <c r="E1730" s="91"/>
      <c r="H1730" s="91"/>
      <c r="I1730" s="91"/>
      <c r="M1730" s="91"/>
      <c r="N1730" s="91"/>
    </row>
    <row r="1731" ht="15.75" hidden="1" customHeight="1">
      <c r="A1731" s="91"/>
      <c r="E1731" s="91"/>
      <c r="H1731" s="91"/>
      <c r="I1731" s="91"/>
      <c r="M1731" s="91"/>
      <c r="N1731" s="91"/>
    </row>
    <row r="1732" ht="15.75" hidden="1" customHeight="1">
      <c r="A1732" s="91"/>
      <c r="E1732" s="91"/>
      <c r="H1732" s="91"/>
      <c r="I1732" s="91"/>
      <c r="M1732" s="91"/>
      <c r="N1732" s="91"/>
    </row>
    <row r="1733" ht="15.75" hidden="1" customHeight="1">
      <c r="A1733" s="91"/>
      <c r="E1733" s="91"/>
      <c r="H1733" s="91"/>
      <c r="I1733" s="91"/>
      <c r="M1733" s="91"/>
      <c r="N1733" s="91"/>
    </row>
    <row r="1734" ht="15.75" hidden="1" customHeight="1">
      <c r="A1734" s="91"/>
      <c r="E1734" s="91"/>
      <c r="H1734" s="91"/>
      <c r="I1734" s="91"/>
      <c r="M1734" s="91"/>
      <c r="N1734" s="91"/>
    </row>
    <row r="1735" ht="15.75" hidden="1" customHeight="1">
      <c r="A1735" s="91"/>
      <c r="E1735" s="91"/>
      <c r="H1735" s="91"/>
      <c r="I1735" s="91"/>
      <c r="M1735" s="91"/>
      <c r="N1735" s="91"/>
    </row>
    <row r="1736" ht="15.75" hidden="1" customHeight="1">
      <c r="A1736" s="91"/>
      <c r="E1736" s="91"/>
      <c r="H1736" s="91"/>
      <c r="I1736" s="91"/>
      <c r="M1736" s="91"/>
      <c r="N1736" s="91"/>
    </row>
    <row r="1737" ht="15.75" hidden="1" customHeight="1">
      <c r="A1737" s="91"/>
      <c r="E1737" s="91"/>
      <c r="H1737" s="91"/>
      <c r="I1737" s="91"/>
      <c r="M1737" s="91"/>
      <c r="N1737" s="91"/>
    </row>
    <row r="1738" ht="15.75" hidden="1" customHeight="1">
      <c r="A1738" s="91"/>
      <c r="E1738" s="91"/>
      <c r="H1738" s="91"/>
      <c r="I1738" s="91"/>
      <c r="M1738" s="91"/>
      <c r="N1738" s="91"/>
    </row>
    <row r="1739" ht="15.75" hidden="1" customHeight="1">
      <c r="A1739" s="91"/>
      <c r="E1739" s="91"/>
      <c r="H1739" s="91"/>
      <c r="I1739" s="91"/>
      <c r="M1739" s="91"/>
      <c r="N1739" s="91"/>
    </row>
    <row r="1740" ht="15.75" hidden="1" customHeight="1">
      <c r="A1740" s="91"/>
      <c r="E1740" s="91"/>
      <c r="H1740" s="91"/>
      <c r="I1740" s="91"/>
      <c r="M1740" s="91"/>
      <c r="N1740" s="91"/>
    </row>
    <row r="1741" ht="15.75" hidden="1" customHeight="1">
      <c r="A1741" s="91"/>
      <c r="E1741" s="91"/>
      <c r="H1741" s="91"/>
      <c r="I1741" s="91"/>
      <c r="M1741" s="91"/>
      <c r="N1741" s="91"/>
    </row>
    <row r="1742" ht="15.75" hidden="1" customHeight="1">
      <c r="A1742" s="91"/>
      <c r="E1742" s="91"/>
      <c r="H1742" s="91"/>
      <c r="I1742" s="91"/>
      <c r="M1742" s="91"/>
      <c r="N1742" s="91"/>
    </row>
    <row r="1743" ht="15.75" hidden="1" customHeight="1">
      <c r="A1743" s="91"/>
      <c r="E1743" s="91"/>
      <c r="H1743" s="91"/>
      <c r="I1743" s="91"/>
      <c r="M1743" s="91"/>
      <c r="N1743" s="91"/>
    </row>
    <row r="1744" ht="15.75" hidden="1" customHeight="1">
      <c r="A1744" s="91"/>
      <c r="E1744" s="91"/>
      <c r="H1744" s="91"/>
      <c r="I1744" s="91"/>
      <c r="M1744" s="91"/>
      <c r="N1744" s="91"/>
    </row>
    <row r="1745" ht="15.75" hidden="1" customHeight="1">
      <c r="A1745" s="91"/>
      <c r="E1745" s="91"/>
      <c r="H1745" s="91"/>
      <c r="I1745" s="91"/>
      <c r="M1745" s="91"/>
      <c r="N1745" s="91"/>
    </row>
    <row r="1746" ht="15.75" hidden="1" customHeight="1">
      <c r="A1746" s="91"/>
      <c r="E1746" s="91"/>
      <c r="H1746" s="91"/>
      <c r="I1746" s="91"/>
      <c r="M1746" s="91"/>
      <c r="N1746" s="91"/>
    </row>
    <row r="1747" ht="15.75" hidden="1" customHeight="1">
      <c r="A1747" s="91"/>
      <c r="E1747" s="91"/>
      <c r="H1747" s="91"/>
      <c r="I1747" s="91"/>
      <c r="M1747" s="91"/>
      <c r="N1747" s="91"/>
    </row>
    <row r="1748" ht="15.75" hidden="1" customHeight="1">
      <c r="A1748" s="91"/>
      <c r="E1748" s="91"/>
      <c r="H1748" s="91"/>
      <c r="I1748" s="91"/>
      <c r="M1748" s="91"/>
      <c r="N1748" s="91"/>
    </row>
    <row r="1749" ht="15.75" hidden="1" customHeight="1">
      <c r="A1749" s="91"/>
      <c r="E1749" s="91"/>
      <c r="H1749" s="91"/>
      <c r="I1749" s="91"/>
      <c r="M1749" s="91"/>
      <c r="N1749" s="91"/>
    </row>
    <row r="1750" ht="15.75" hidden="1" customHeight="1">
      <c r="A1750" s="91"/>
      <c r="E1750" s="91"/>
      <c r="H1750" s="91"/>
      <c r="I1750" s="91"/>
      <c r="M1750" s="91"/>
      <c r="N1750" s="91"/>
    </row>
    <row r="1751" ht="15.75" hidden="1" customHeight="1">
      <c r="A1751" s="91"/>
      <c r="E1751" s="91"/>
      <c r="H1751" s="91"/>
      <c r="I1751" s="91"/>
      <c r="M1751" s="91"/>
      <c r="N1751" s="91"/>
    </row>
    <row r="1752" ht="15.75" hidden="1" customHeight="1">
      <c r="A1752" s="91"/>
      <c r="E1752" s="91"/>
      <c r="H1752" s="91"/>
      <c r="I1752" s="91"/>
      <c r="M1752" s="91"/>
      <c r="N1752" s="91"/>
    </row>
    <row r="1753" ht="15.75" hidden="1" customHeight="1">
      <c r="A1753" s="91"/>
      <c r="E1753" s="91"/>
      <c r="H1753" s="91"/>
      <c r="I1753" s="91"/>
      <c r="M1753" s="91"/>
      <c r="N1753" s="91"/>
    </row>
    <row r="1754" ht="15.75" hidden="1" customHeight="1">
      <c r="A1754" s="91"/>
      <c r="E1754" s="91"/>
      <c r="H1754" s="91"/>
      <c r="I1754" s="91"/>
      <c r="M1754" s="91"/>
      <c r="N1754" s="91"/>
    </row>
    <row r="1755" ht="15.75" hidden="1" customHeight="1">
      <c r="A1755" s="91"/>
      <c r="E1755" s="91"/>
      <c r="H1755" s="91"/>
      <c r="I1755" s="91"/>
      <c r="M1755" s="91"/>
      <c r="N1755" s="91"/>
    </row>
    <row r="1756" ht="15.75" hidden="1" customHeight="1">
      <c r="A1756" s="91"/>
      <c r="E1756" s="91"/>
      <c r="H1756" s="91"/>
      <c r="I1756" s="91"/>
      <c r="M1756" s="91"/>
      <c r="N1756" s="91"/>
    </row>
    <row r="1757" ht="15.75" hidden="1" customHeight="1">
      <c r="A1757" s="91"/>
      <c r="E1757" s="91"/>
      <c r="H1757" s="91"/>
      <c r="I1757" s="91"/>
      <c r="M1757" s="91"/>
      <c r="N1757" s="91"/>
    </row>
    <row r="1758" ht="15.75" hidden="1" customHeight="1">
      <c r="A1758" s="91"/>
      <c r="E1758" s="91"/>
      <c r="H1758" s="91"/>
      <c r="I1758" s="91"/>
      <c r="M1758" s="91"/>
      <c r="N1758" s="91"/>
    </row>
    <row r="1759" ht="15.75" hidden="1" customHeight="1">
      <c r="A1759" s="91"/>
      <c r="E1759" s="91"/>
      <c r="H1759" s="91"/>
      <c r="I1759" s="91"/>
      <c r="M1759" s="91"/>
      <c r="N1759" s="91"/>
    </row>
    <row r="1760" ht="15.75" hidden="1" customHeight="1">
      <c r="A1760" s="91"/>
      <c r="E1760" s="91"/>
      <c r="H1760" s="91"/>
      <c r="I1760" s="91"/>
      <c r="M1760" s="91"/>
      <c r="N1760" s="91"/>
    </row>
    <row r="1761" ht="15.75" hidden="1" customHeight="1">
      <c r="A1761" s="91"/>
      <c r="E1761" s="91"/>
      <c r="H1761" s="91"/>
      <c r="I1761" s="91"/>
      <c r="M1761" s="91"/>
      <c r="N1761" s="91"/>
    </row>
    <row r="1762" ht="15.75" hidden="1" customHeight="1">
      <c r="A1762" s="91"/>
      <c r="E1762" s="91"/>
      <c r="H1762" s="91"/>
      <c r="I1762" s="91"/>
      <c r="M1762" s="91"/>
      <c r="N1762" s="91"/>
    </row>
    <row r="1763" ht="15.75" hidden="1" customHeight="1">
      <c r="A1763" s="91"/>
      <c r="E1763" s="91"/>
      <c r="H1763" s="91"/>
      <c r="I1763" s="91"/>
      <c r="M1763" s="91"/>
      <c r="N1763" s="91"/>
    </row>
    <row r="1764" ht="15.75" hidden="1" customHeight="1">
      <c r="A1764" s="91"/>
      <c r="E1764" s="91"/>
      <c r="H1764" s="91"/>
      <c r="I1764" s="91"/>
      <c r="M1764" s="91"/>
      <c r="N1764" s="91"/>
    </row>
    <row r="1765" ht="15.75" hidden="1" customHeight="1">
      <c r="A1765" s="91"/>
      <c r="E1765" s="91"/>
      <c r="H1765" s="91"/>
      <c r="I1765" s="91"/>
      <c r="M1765" s="91"/>
      <c r="N1765" s="91"/>
    </row>
    <row r="1766" ht="15.75" hidden="1" customHeight="1">
      <c r="A1766" s="91"/>
      <c r="E1766" s="91"/>
      <c r="H1766" s="91"/>
      <c r="I1766" s="91"/>
      <c r="M1766" s="91"/>
      <c r="N1766" s="91"/>
    </row>
    <row r="1767" ht="15.75" hidden="1" customHeight="1">
      <c r="A1767" s="91"/>
      <c r="E1767" s="91"/>
      <c r="H1767" s="91"/>
      <c r="I1767" s="91"/>
      <c r="M1767" s="91"/>
      <c r="N1767" s="91"/>
    </row>
    <row r="1768" ht="15.75" hidden="1" customHeight="1">
      <c r="A1768" s="91"/>
      <c r="E1768" s="91"/>
      <c r="H1768" s="91"/>
      <c r="I1768" s="91"/>
      <c r="M1768" s="91"/>
      <c r="N1768" s="91"/>
    </row>
    <row r="1769" ht="15.75" hidden="1" customHeight="1">
      <c r="A1769" s="91"/>
      <c r="E1769" s="91"/>
      <c r="H1769" s="91"/>
      <c r="I1769" s="91"/>
      <c r="M1769" s="91"/>
      <c r="N1769" s="91"/>
    </row>
    <row r="1770" ht="15.75" hidden="1" customHeight="1">
      <c r="A1770" s="91"/>
      <c r="E1770" s="91"/>
      <c r="H1770" s="91"/>
      <c r="I1770" s="91"/>
      <c r="M1770" s="91"/>
      <c r="N1770" s="91"/>
    </row>
    <row r="1771" ht="15.75" hidden="1" customHeight="1">
      <c r="A1771" s="91"/>
      <c r="E1771" s="91"/>
      <c r="H1771" s="91"/>
      <c r="I1771" s="91"/>
      <c r="M1771" s="91"/>
      <c r="N1771" s="91"/>
    </row>
    <row r="1772" ht="15.75" hidden="1" customHeight="1">
      <c r="A1772" s="91"/>
      <c r="E1772" s="91"/>
      <c r="H1772" s="91"/>
      <c r="I1772" s="91"/>
      <c r="M1772" s="91"/>
      <c r="N1772" s="91"/>
    </row>
    <row r="1773" ht="15.75" hidden="1" customHeight="1">
      <c r="A1773" s="91"/>
      <c r="E1773" s="91"/>
      <c r="H1773" s="91"/>
      <c r="I1773" s="91"/>
      <c r="M1773" s="91"/>
      <c r="N1773" s="91"/>
    </row>
    <row r="1774" ht="15.75" hidden="1" customHeight="1">
      <c r="A1774" s="91"/>
      <c r="E1774" s="91"/>
      <c r="H1774" s="91"/>
      <c r="I1774" s="91"/>
      <c r="M1774" s="91"/>
      <c r="N1774" s="91"/>
    </row>
    <row r="1775" ht="15.75" hidden="1" customHeight="1">
      <c r="A1775" s="91"/>
      <c r="E1775" s="91"/>
      <c r="H1775" s="91"/>
      <c r="I1775" s="91"/>
      <c r="M1775" s="91"/>
      <c r="N1775" s="91"/>
    </row>
    <row r="1776" ht="15.75" hidden="1" customHeight="1">
      <c r="A1776" s="91"/>
      <c r="E1776" s="91"/>
      <c r="H1776" s="91"/>
      <c r="I1776" s="91"/>
      <c r="M1776" s="91"/>
      <c r="N1776" s="91"/>
    </row>
    <row r="1777" ht="15.75" hidden="1" customHeight="1">
      <c r="A1777" s="91"/>
      <c r="E1777" s="91"/>
      <c r="H1777" s="91"/>
      <c r="I1777" s="91"/>
      <c r="M1777" s="91"/>
      <c r="N1777" s="91"/>
    </row>
    <row r="1778" ht="15.75" hidden="1" customHeight="1">
      <c r="A1778" s="91"/>
      <c r="E1778" s="91"/>
      <c r="H1778" s="91"/>
      <c r="I1778" s="91"/>
      <c r="M1778" s="91"/>
      <c r="N1778" s="91"/>
    </row>
    <row r="1779" ht="15.75" hidden="1" customHeight="1">
      <c r="A1779" s="91"/>
      <c r="E1779" s="91"/>
      <c r="H1779" s="91"/>
      <c r="I1779" s="91"/>
      <c r="M1779" s="91"/>
      <c r="N1779" s="91"/>
    </row>
    <row r="1780" ht="15.75" hidden="1" customHeight="1">
      <c r="A1780" s="91"/>
      <c r="E1780" s="91"/>
      <c r="H1780" s="91"/>
      <c r="I1780" s="91"/>
      <c r="M1780" s="91"/>
      <c r="N1780" s="91"/>
    </row>
    <row r="1781" ht="15.75" hidden="1" customHeight="1">
      <c r="A1781" s="91"/>
      <c r="E1781" s="91"/>
      <c r="H1781" s="91"/>
      <c r="I1781" s="91"/>
      <c r="M1781" s="91"/>
      <c r="N1781" s="91"/>
    </row>
    <row r="1782" ht="15.75" hidden="1" customHeight="1">
      <c r="A1782" s="91"/>
      <c r="E1782" s="91"/>
      <c r="H1782" s="91"/>
      <c r="I1782" s="91"/>
      <c r="M1782" s="91"/>
      <c r="N1782" s="91"/>
    </row>
    <row r="1783" ht="15.75" hidden="1" customHeight="1">
      <c r="A1783" s="91"/>
      <c r="E1783" s="91"/>
      <c r="H1783" s="91"/>
      <c r="I1783" s="91"/>
      <c r="M1783" s="91"/>
      <c r="N1783" s="91"/>
    </row>
    <row r="1784" ht="15.75" hidden="1" customHeight="1">
      <c r="A1784" s="91"/>
      <c r="E1784" s="91"/>
      <c r="H1784" s="91"/>
      <c r="I1784" s="91"/>
      <c r="M1784" s="91"/>
      <c r="N1784" s="91"/>
    </row>
    <row r="1785" ht="15.75" hidden="1" customHeight="1">
      <c r="A1785" s="91"/>
      <c r="E1785" s="91"/>
      <c r="H1785" s="91"/>
      <c r="I1785" s="91"/>
      <c r="M1785" s="91"/>
      <c r="N1785" s="91"/>
    </row>
    <row r="1786" ht="15.75" hidden="1" customHeight="1">
      <c r="A1786" s="91"/>
      <c r="E1786" s="91"/>
      <c r="H1786" s="91"/>
      <c r="I1786" s="91"/>
      <c r="M1786" s="91"/>
      <c r="N1786" s="91"/>
    </row>
    <row r="1787" ht="15.75" hidden="1" customHeight="1">
      <c r="A1787" s="91"/>
      <c r="E1787" s="91"/>
      <c r="H1787" s="91"/>
      <c r="I1787" s="91"/>
      <c r="M1787" s="91"/>
      <c r="N1787" s="91"/>
    </row>
    <row r="1788" ht="15.75" hidden="1" customHeight="1">
      <c r="A1788" s="91"/>
      <c r="E1788" s="91"/>
      <c r="H1788" s="91"/>
      <c r="I1788" s="91"/>
      <c r="M1788" s="91"/>
      <c r="N1788" s="91"/>
    </row>
    <row r="1789" ht="15.75" hidden="1" customHeight="1">
      <c r="A1789" s="91"/>
      <c r="E1789" s="91"/>
      <c r="H1789" s="91"/>
      <c r="I1789" s="91"/>
      <c r="M1789" s="91"/>
      <c r="N1789" s="91"/>
    </row>
    <row r="1790" ht="15.75" hidden="1" customHeight="1">
      <c r="A1790" s="91"/>
      <c r="E1790" s="91"/>
      <c r="H1790" s="91"/>
      <c r="I1790" s="91"/>
      <c r="M1790" s="91"/>
      <c r="N1790" s="91"/>
    </row>
    <row r="1791" ht="15.75" hidden="1" customHeight="1">
      <c r="A1791" s="91"/>
      <c r="E1791" s="91"/>
      <c r="H1791" s="91"/>
      <c r="I1791" s="91"/>
      <c r="M1791" s="91"/>
      <c r="N1791" s="91"/>
    </row>
    <row r="1792" ht="15.75" hidden="1" customHeight="1">
      <c r="A1792" s="91"/>
      <c r="E1792" s="91"/>
      <c r="H1792" s="91"/>
      <c r="I1792" s="91"/>
      <c r="M1792" s="91"/>
      <c r="N1792" s="91"/>
    </row>
    <row r="1793" ht="15.75" hidden="1" customHeight="1">
      <c r="A1793" s="91"/>
      <c r="E1793" s="91"/>
      <c r="H1793" s="91"/>
      <c r="I1793" s="91"/>
      <c r="M1793" s="91"/>
      <c r="N1793" s="91"/>
    </row>
    <row r="1794" ht="15.75" hidden="1" customHeight="1">
      <c r="A1794" s="91"/>
      <c r="E1794" s="91"/>
      <c r="H1794" s="91"/>
      <c r="I1794" s="91"/>
      <c r="M1794" s="91"/>
      <c r="N1794" s="91"/>
    </row>
    <row r="1795" ht="15.75" hidden="1" customHeight="1">
      <c r="A1795" s="91"/>
      <c r="E1795" s="91"/>
      <c r="H1795" s="91"/>
      <c r="I1795" s="91"/>
      <c r="M1795" s="91"/>
      <c r="N1795" s="91"/>
    </row>
    <row r="1796" ht="15.75" hidden="1" customHeight="1">
      <c r="A1796" s="91"/>
      <c r="E1796" s="91"/>
      <c r="H1796" s="91"/>
      <c r="I1796" s="91"/>
      <c r="M1796" s="91"/>
      <c r="N1796" s="91"/>
    </row>
    <row r="1797" ht="15.75" hidden="1" customHeight="1">
      <c r="A1797" s="91"/>
      <c r="E1797" s="91"/>
      <c r="H1797" s="91"/>
      <c r="I1797" s="91"/>
      <c r="M1797" s="91"/>
      <c r="N1797" s="91"/>
    </row>
    <row r="1798" ht="15.75" hidden="1" customHeight="1">
      <c r="A1798" s="91"/>
      <c r="E1798" s="91"/>
      <c r="H1798" s="91"/>
      <c r="I1798" s="91"/>
      <c r="M1798" s="91"/>
      <c r="N1798" s="91"/>
    </row>
    <row r="1799" ht="15.75" hidden="1" customHeight="1">
      <c r="A1799" s="91"/>
      <c r="E1799" s="91"/>
      <c r="H1799" s="91"/>
      <c r="I1799" s="91"/>
      <c r="M1799" s="91"/>
      <c r="N1799" s="91"/>
    </row>
    <row r="1800" ht="15.75" hidden="1" customHeight="1">
      <c r="A1800" s="91"/>
      <c r="E1800" s="91"/>
      <c r="H1800" s="91"/>
      <c r="I1800" s="91"/>
      <c r="M1800" s="91"/>
      <c r="N1800" s="91"/>
    </row>
    <row r="1801" ht="15.75" hidden="1" customHeight="1">
      <c r="A1801" s="91"/>
      <c r="E1801" s="91"/>
      <c r="H1801" s="91"/>
      <c r="I1801" s="91"/>
      <c r="M1801" s="91"/>
      <c r="N1801" s="91"/>
    </row>
    <row r="1802" ht="15.75" hidden="1" customHeight="1">
      <c r="A1802" s="91"/>
      <c r="E1802" s="91"/>
      <c r="H1802" s="91"/>
      <c r="I1802" s="91"/>
      <c r="M1802" s="91"/>
      <c r="N1802" s="91"/>
    </row>
    <row r="1803" ht="15.75" hidden="1" customHeight="1">
      <c r="A1803" s="91"/>
      <c r="E1803" s="91"/>
      <c r="H1803" s="91"/>
      <c r="I1803" s="91"/>
      <c r="M1803" s="91"/>
      <c r="N1803" s="91"/>
    </row>
    <row r="1804" ht="15.75" hidden="1" customHeight="1">
      <c r="A1804" s="91"/>
      <c r="E1804" s="91"/>
      <c r="H1804" s="91"/>
      <c r="I1804" s="91"/>
      <c r="M1804" s="91"/>
      <c r="N1804" s="91"/>
    </row>
    <row r="1805" ht="15.75" hidden="1" customHeight="1">
      <c r="A1805" s="91"/>
      <c r="E1805" s="91"/>
      <c r="H1805" s="91"/>
      <c r="I1805" s="91"/>
      <c r="M1805" s="91"/>
      <c r="N1805" s="91"/>
    </row>
    <row r="1806" ht="15.75" hidden="1" customHeight="1">
      <c r="A1806" s="91"/>
      <c r="E1806" s="91"/>
      <c r="H1806" s="91"/>
      <c r="I1806" s="91"/>
      <c r="M1806" s="91"/>
      <c r="N1806" s="91"/>
    </row>
    <row r="1807" ht="15.75" hidden="1" customHeight="1">
      <c r="A1807" s="91"/>
      <c r="E1807" s="91"/>
      <c r="H1807" s="91"/>
      <c r="I1807" s="91"/>
      <c r="M1807" s="91"/>
      <c r="N1807" s="91"/>
    </row>
    <row r="1808" ht="15.75" hidden="1" customHeight="1">
      <c r="A1808" s="91"/>
      <c r="E1808" s="91"/>
      <c r="H1808" s="91"/>
      <c r="I1808" s="91"/>
      <c r="M1808" s="91"/>
      <c r="N1808" s="91"/>
    </row>
    <row r="1809" ht="15.75" hidden="1" customHeight="1">
      <c r="A1809" s="91"/>
      <c r="E1809" s="91"/>
      <c r="H1809" s="91"/>
      <c r="I1809" s="91"/>
      <c r="M1809" s="91"/>
      <c r="N1809" s="91"/>
    </row>
    <row r="1810" ht="15.75" hidden="1" customHeight="1">
      <c r="A1810" s="91"/>
      <c r="E1810" s="91"/>
      <c r="H1810" s="91"/>
      <c r="I1810" s="91"/>
      <c r="M1810" s="91"/>
      <c r="N1810" s="91"/>
    </row>
    <row r="1811" ht="15.75" hidden="1" customHeight="1">
      <c r="A1811" s="91"/>
      <c r="E1811" s="91"/>
      <c r="H1811" s="91"/>
      <c r="I1811" s="91"/>
      <c r="M1811" s="91"/>
      <c r="N1811" s="91"/>
    </row>
    <row r="1812" ht="15.75" hidden="1" customHeight="1">
      <c r="A1812" s="91"/>
      <c r="E1812" s="91"/>
      <c r="H1812" s="91"/>
      <c r="I1812" s="91"/>
      <c r="M1812" s="91"/>
      <c r="N1812" s="91"/>
    </row>
    <row r="1813" ht="15.75" hidden="1" customHeight="1">
      <c r="A1813" s="91"/>
      <c r="E1813" s="91"/>
      <c r="H1813" s="91"/>
      <c r="I1813" s="91"/>
      <c r="M1813" s="91"/>
      <c r="N1813" s="91"/>
    </row>
    <row r="1814" ht="15.75" hidden="1" customHeight="1">
      <c r="A1814" s="91"/>
      <c r="E1814" s="91"/>
      <c r="H1814" s="91"/>
      <c r="I1814" s="91"/>
      <c r="M1814" s="91"/>
      <c r="N1814" s="91"/>
    </row>
    <row r="1815" ht="15.75" hidden="1" customHeight="1">
      <c r="A1815" s="91"/>
      <c r="E1815" s="91"/>
      <c r="H1815" s="91"/>
      <c r="I1815" s="91"/>
      <c r="M1815" s="91"/>
      <c r="N1815" s="91"/>
    </row>
    <row r="1816" ht="15.75" hidden="1" customHeight="1">
      <c r="A1816" s="91"/>
      <c r="E1816" s="91"/>
      <c r="H1816" s="91"/>
      <c r="I1816" s="91"/>
      <c r="M1816" s="91"/>
      <c r="N1816" s="91"/>
    </row>
    <row r="1817" ht="15.75" hidden="1" customHeight="1">
      <c r="A1817" s="91"/>
      <c r="E1817" s="91"/>
      <c r="H1817" s="91"/>
      <c r="I1817" s="91"/>
      <c r="M1817" s="91"/>
      <c r="N1817" s="91"/>
    </row>
    <row r="1818" ht="15.75" hidden="1" customHeight="1">
      <c r="A1818" s="91"/>
      <c r="E1818" s="91"/>
      <c r="H1818" s="91"/>
      <c r="I1818" s="91"/>
      <c r="M1818" s="91"/>
      <c r="N1818" s="91"/>
    </row>
    <row r="1819" ht="15.75" hidden="1" customHeight="1">
      <c r="A1819" s="91"/>
      <c r="E1819" s="91"/>
      <c r="H1819" s="91"/>
      <c r="I1819" s="91"/>
      <c r="M1819" s="91"/>
      <c r="N1819" s="91"/>
    </row>
    <row r="1820" ht="15.75" hidden="1" customHeight="1">
      <c r="A1820" s="91"/>
      <c r="E1820" s="91"/>
      <c r="H1820" s="91"/>
      <c r="I1820" s="91"/>
      <c r="M1820" s="91"/>
      <c r="N1820" s="91"/>
    </row>
    <row r="1821" ht="15.75" hidden="1" customHeight="1">
      <c r="A1821" s="91"/>
      <c r="E1821" s="91"/>
      <c r="H1821" s="91"/>
      <c r="I1821" s="91"/>
      <c r="M1821" s="91"/>
      <c r="N1821" s="91"/>
    </row>
    <row r="1822" ht="15.75" hidden="1" customHeight="1">
      <c r="A1822" s="91"/>
      <c r="E1822" s="91"/>
      <c r="H1822" s="91"/>
      <c r="I1822" s="91"/>
      <c r="M1822" s="91"/>
      <c r="N1822" s="91"/>
    </row>
    <row r="1823" ht="15.75" hidden="1" customHeight="1">
      <c r="A1823" s="91"/>
      <c r="E1823" s="91"/>
      <c r="H1823" s="91"/>
      <c r="I1823" s="91"/>
      <c r="M1823" s="91"/>
      <c r="N1823" s="91"/>
    </row>
    <row r="1824" ht="15.75" hidden="1" customHeight="1">
      <c r="A1824" s="91"/>
      <c r="E1824" s="91"/>
      <c r="H1824" s="91"/>
      <c r="I1824" s="91"/>
      <c r="M1824" s="91"/>
      <c r="N1824" s="91"/>
    </row>
    <row r="1825" ht="15.75" hidden="1" customHeight="1">
      <c r="A1825" s="91"/>
      <c r="E1825" s="91"/>
      <c r="H1825" s="91"/>
      <c r="I1825" s="91"/>
      <c r="M1825" s="91"/>
      <c r="N1825" s="91"/>
    </row>
    <row r="1826" ht="15.75" hidden="1" customHeight="1">
      <c r="A1826" s="91"/>
      <c r="E1826" s="91"/>
      <c r="H1826" s="91"/>
      <c r="I1826" s="91"/>
      <c r="M1826" s="91"/>
      <c r="N1826" s="91"/>
    </row>
    <row r="1827" ht="15.75" hidden="1" customHeight="1">
      <c r="A1827" s="91"/>
      <c r="E1827" s="91"/>
      <c r="H1827" s="91"/>
      <c r="I1827" s="91"/>
      <c r="M1827" s="91"/>
      <c r="N1827" s="91"/>
    </row>
    <row r="1828" ht="15.75" hidden="1" customHeight="1">
      <c r="A1828" s="91"/>
      <c r="E1828" s="91"/>
      <c r="H1828" s="91"/>
      <c r="I1828" s="91"/>
      <c r="M1828" s="91"/>
      <c r="N1828" s="91"/>
    </row>
    <row r="1829" ht="15.75" hidden="1" customHeight="1">
      <c r="A1829" s="91"/>
      <c r="E1829" s="91"/>
      <c r="H1829" s="91"/>
      <c r="I1829" s="91"/>
      <c r="M1829" s="91"/>
      <c r="N1829" s="91"/>
    </row>
    <row r="1830" ht="15.75" hidden="1" customHeight="1">
      <c r="A1830" s="91"/>
      <c r="E1830" s="91"/>
      <c r="H1830" s="91"/>
      <c r="I1830" s="91"/>
      <c r="M1830" s="91"/>
      <c r="N1830" s="91"/>
    </row>
    <row r="1831" ht="15.75" hidden="1" customHeight="1">
      <c r="A1831" s="91"/>
      <c r="E1831" s="91"/>
      <c r="H1831" s="91"/>
      <c r="I1831" s="91"/>
      <c r="M1831" s="91"/>
      <c r="N1831" s="91"/>
    </row>
    <row r="1832" ht="15.75" hidden="1" customHeight="1">
      <c r="A1832" s="91"/>
      <c r="E1832" s="91"/>
      <c r="H1832" s="91"/>
      <c r="I1832" s="91"/>
      <c r="M1832" s="91"/>
      <c r="N1832" s="91"/>
    </row>
    <row r="1833" ht="15.75" hidden="1" customHeight="1">
      <c r="A1833" s="91"/>
      <c r="E1833" s="91"/>
      <c r="H1833" s="91"/>
      <c r="I1833" s="91"/>
      <c r="M1833" s="91"/>
      <c r="N1833" s="91"/>
    </row>
    <row r="1834" ht="15.75" hidden="1" customHeight="1">
      <c r="A1834" s="91"/>
      <c r="E1834" s="91"/>
      <c r="H1834" s="91"/>
      <c r="I1834" s="91"/>
      <c r="M1834" s="91"/>
      <c r="N1834" s="91"/>
    </row>
    <row r="1835" ht="15.75" hidden="1" customHeight="1">
      <c r="A1835" s="91"/>
      <c r="E1835" s="91"/>
      <c r="H1835" s="91"/>
      <c r="I1835" s="91"/>
      <c r="M1835" s="91"/>
      <c r="N1835" s="91"/>
    </row>
    <row r="1836" ht="15.75" hidden="1" customHeight="1">
      <c r="A1836" s="91"/>
      <c r="E1836" s="91"/>
      <c r="H1836" s="91"/>
      <c r="I1836" s="91"/>
      <c r="M1836" s="91"/>
      <c r="N1836" s="91"/>
    </row>
    <row r="1837" ht="15.75" hidden="1" customHeight="1">
      <c r="A1837" s="91"/>
      <c r="E1837" s="91"/>
      <c r="H1837" s="91"/>
      <c r="I1837" s="91"/>
      <c r="M1837" s="91"/>
      <c r="N1837" s="91"/>
    </row>
    <row r="1838" ht="15.75" hidden="1" customHeight="1">
      <c r="A1838" s="91"/>
      <c r="E1838" s="91"/>
      <c r="H1838" s="91"/>
      <c r="I1838" s="91"/>
      <c r="M1838" s="91"/>
      <c r="N1838" s="91"/>
    </row>
    <row r="1839" ht="15.75" hidden="1" customHeight="1">
      <c r="A1839" s="91"/>
      <c r="E1839" s="91"/>
      <c r="H1839" s="91"/>
      <c r="I1839" s="91"/>
      <c r="M1839" s="91"/>
      <c r="N1839" s="91"/>
    </row>
    <row r="1840" ht="15.75" hidden="1" customHeight="1">
      <c r="A1840" s="91"/>
      <c r="E1840" s="91"/>
      <c r="H1840" s="91"/>
      <c r="I1840" s="91"/>
      <c r="M1840" s="91"/>
      <c r="N1840" s="91"/>
    </row>
    <row r="1841" ht="15.75" hidden="1" customHeight="1">
      <c r="A1841" s="91"/>
      <c r="E1841" s="91"/>
      <c r="H1841" s="91"/>
      <c r="I1841" s="91"/>
      <c r="M1841" s="91"/>
      <c r="N1841" s="91"/>
    </row>
    <row r="1842" ht="15.75" hidden="1" customHeight="1">
      <c r="A1842" s="91"/>
      <c r="E1842" s="91"/>
      <c r="H1842" s="91"/>
      <c r="I1842" s="91"/>
      <c r="M1842" s="91"/>
      <c r="N1842" s="91"/>
    </row>
    <row r="1843" ht="15.75" hidden="1" customHeight="1">
      <c r="A1843" s="91"/>
      <c r="E1843" s="91"/>
      <c r="H1843" s="91"/>
      <c r="I1843" s="91"/>
      <c r="M1843" s="91"/>
      <c r="N1843" s="91"/>
    </row>
    <row r="1844" ht="15.75" hidden="1" customHeight="1">
      <c r="A1844" s="91"/>
      <c r="E1844" s="91"/>
      <c r="H1844" s="91"/>
      <c r="I1844" s="91"/>
      <c r="M1844" s="91"/>
      <c r="N1844" s="91"/>
    </row>
    <row r="1845" ht="15.75" hidden="1" customHeight="1">
      <c r="A1845" s="91"/>
      <c r="E1845" s="91"/>
      <c r="H1845" s="91"/>
      <c r="I1845" s="91"/>
      <c r="M1845" s="91"/>
      <c r="N1845" s="91"/>
    </row>
    <row r="1846" ht="15.75" hidden="1" customHeight="1">
      <c r="A1846" s="91"/>
      <c r="E1846" s="91"/>
      <c r="H1846" s="91"/>
      <c r="I1846" s="91"/>
      <c r="M1846" s="91"/>
      <c r="N1846" s="91"/>
    </row>
    <row r="1847" ht="15.75" hidden="1" customHeight="1">
      <c r="A1847" s="91"/>
      <c r="E1847" s="91"/>
      <c r="H1847" s="91"/>
      <c r="I1847" s="91"/>
      <c r="M1847" s="91"/>
      <c r="N1847" s="91"/>
    </row>
    <row r="1848" ht="15.75" hidden="1" customHeight="1">
      <c r="A1848" s="91"/>
      <c r="E1848" s="91"/>
      <c r="H1848" s="91"/>
      <c r="I1848" s="91"/>
      <c r="M1848" s="91"/>
      <c r="N1848" s="91"/>
    </row>
    <row r="1849" ht="15.75" hidden="1" customHeight="1">
      <c r="A1849" s="91"/>
      <c r="E1849" s="91"/>
      <c r="H1849" s="91"/>
      <c r="I1849" s="91"/>
      <c r="M1849" s="91"/>
      <c r="N1849" s="91"/>
    </row>
    <row r="1850" ht="15.75" hidden="1" customHeight="1">
      <c r="A1850" s="91"/>
      <c r="E1850" s="91"/>
      <c r="H1850" s="91"/>
      <c r="I1850" s="91"/>
      <c r="M1850" s="91"/>
      <c r="N1850" s="91"/>
    </row>
    <row r="1851" ht="15.75" hidden="1" customHeight="1">
      <c r="A1851" s="91"/>
      <c r="E1851" s="91"/>
      <c r="H1851" s="91"/>
      <c r="I1851" s="91"/>
      <c r="M1851" s="91"/>
      <c r="N1851" s="91"/>
    </row>
    <row r="1852" ht="15.75" hidden="1" customHeight="1">
      <c r="A1852" s="91"/>
      <c r="E1852" s="91"/>
      <c r="H1852" s="91"/>
      <c r="I1852" s="91"/>
      <c r="M1852" s="91"/>
      <c r="N1852" s="91"/>
    </row>
    <row r="1853" ht="15.75" hidden="1" customHeight="1">
      <c r="A1853" s="91"/>
      <c r="E1853" s="91"/>
      <c r="H1853" s="91"/>
      <c r="I1853" s="91"/>
      <c r="M1853" s="91"/>
      <c r="N1853" s="91"/>
    </row>
    <row r="1854" ht="15.75" hidden="1" customHeight="1">
      <c r="A1854" s="91"/>
      <c r="E1854" s="91"/>
      <c r="H1854" s="91"/>
      <c r="I1854" s="91"/>
      <c r="M1854" s="91"/>
      <c r="N1854" s="91"/>
    </row>
    <row r="1855" ht="15.75" hidden="1" customHeight="1">
      <c r="A1855" s="91"/>
      <c r="E1855" s="91"/>
      <c r="H1855" s="91"/>
      <c r="I1855" s="91"/>
      <c r="M1855" s="91"/>
      <c r="N1855" s="91"/>
    </row>
    <row r="1856" ht="15.75" hidden="1" customHeight="1">
      <c r="A1856" s="91"/>
      <c r="E1856" s="91"/>
      <c r="H1856" s="91"/>
      <c r="I1856" s="91"/>
      <c r="M1856" s="91"/>
      <c r="N1856" s="91"/>
    </row>
    <row r="1857" ht="15.75" hidden="1" customHeight="1">
      <c r="A1857" s="91"/>
      <c r="E1857" s="91"/>
      <c r="H1857" s="91"/>
      <c r="I1857" s="91"/>
      <c r="M1857" s="91"/>
      <c r="N1857" s="91"/>
    </row>
    <row r="1858" ht="15.75" hidden="1" customHeight="1">
      <c r="A1858" s="91"/>
      <c r="E1858" s="91"/>
      <c r="H1858" s="91"/>
      <c r="I1858" s="91"/>
      <c r="M1858" s="91"/>
      <c r="N1858" s="91"/>
    </row>
    <row r="1859" ht="15.75" hidden="1" customHeight="1">
      <c r="A1859" s="91"/>
      <c r="E1859" s="91"/>
      <c r="H1859" s="91"/>
      <c r="I1859" s="91"/>
      <c r="M1859" s="91"/>
      <c r="N1859" s="91"/>
    </row>
    <row r="1860" ht="15.75" hidden="1" customHeight="1">
      <c r="A1860" s="91"/>
      <c r="E1860" s="91"/>
      <c r="H1860" s="91"/>
      <c r="I1860" s="91"/>
      <c r="M1860" s="91"/>
      <c r="N1860" s="91"/>
    </row>
    <row r="1861" ht="15.75" hidden="1" customHeight="1">
      <c r="A1861" s="91"/>
      <c r="E1861" s="91"/>
      <c r="H1861" s="91"/>
      <c r="I1861" s="91"/>
      <c r="M1861" s="91"/>
      <c r="N1861" s="91"/>
    </row>
    <row r="1862" ht="15.75" hidden="1" customHeight="1">
      <c r="A1862" s="91"/>
      <c r="E1862" s="91"/>
      <c r="H1862" s="91"/>
      <c r="I1862" s="91"/>
      <c r="M1862" s="91"/>
      <c r="N1862" s="91"/>
    </row>
    <row r="1863" ht="15.75" hidden="1" customHeight="1">
      <c r="A1863" s="91"/>
      <c r="E1863" s="91"/>
      <c r="H1863" s="91"/>
      <c r="I1863" s="91"/>
      <c r="M1863" s="91"/>
      <c r="N1863" s="91"/>
    </row>
    <row r="1864" ht="15.75" hidden="1" customHeight="1">
      <c r="A1864" s="91"/>
      <c r="E1864" s="91"/>
      <c r="H1864" s="91"/>
      <c r="I1864" s="91"/>
      <c r="M1864" s="91"/>
      <c r="N1864" s="91"/>
    </row>
    <row r="1865" ht="15.75" hidden="1" customHeight="1">
      <c r="A1865" s="91"/>
      <c r="E1865" s="91"/>
      <c r="H1865" s="91"/>
      <c r="I1865" s="91"/>
      <c r="M1865" s="91"/>
      <c r="N1865" s="91"/>
    </row>
    <row r="1866" ht="15.75" hidden="1" customHeight="1">
      <c r="A1866" s="91"/>
      <c r="E1866" s="91"/>
      <c r="H1866" s="91"/>
      <c r="I1866" s="91"/>
      <c r="M1866" s="91"/>
      <c r="N1866" s="91"/>
    </row>
    <row r="1867" ht="15.75" hidden="1" customHeight="1">
      <c r="A1867" s="91"/>
      <c r="E1867" s="91"/>
      <c r="H1867" s="91"/>
      <c r="I1867" s="91"/>
      <c r="M1867" s="91"/>
      <c r="N1867" s="91"/>
    </row>
    <row r="1868" ht="15.75" hidden="1" customHeight="1">
      <c r="A1868" s="91"/>
      <c r="E1868" s="91"/>
      <c r="H1868" s="91"/>
      <c r="I1868" s="91"/>
      <c r="M1868" s="91"/>
      <c r="N1868" s="91"/>
    </row>
    <row r="1869" ht="15.75" hidden="1" customHeight="1">
      <c r="A1869" s="91"/>
      <c r="E1869" s="91"/>
      <c r="H1869" s="91"/>
      <c r="I1869" s="91"/>
      <c r="M1869" s="91"/>
      <c r="N1869" s="91"/>
    </row>
    <row r="1870" ht="15.75" hidden="1" customHeight="1">
      <c r="A1870" s="91"/>
      <c r="E1870" s="91"/>
      <c r="H1870" s="91"/>
      <c r="I1870" s="91"/>
      <c r="M1870" s="91"/>
      <c r="N1870" s="91"/>
    </row>
    <row r="1871" ht="15.75" hidden="1" customHeight="1">
      <c r="A1871" s="91"/>
      <c r="E1871" s="91"/>
      <c r="H1871" s="91"/>
      <c r="I1871" s="91"/>
      <c r="M1871" s="91"/>
      <c r="N1871" s="91"/>
    </row>
    <row r="1872" ht="15.75" hidden="1" customHeight="1">
      <c r="A1872" s="91"/>
      <c r="E1872" s="91"/>
      <c r="H1872" s="91"/>
      <c r="I1872" s="91"/>
      <c r="M1872" s="91"/>
      <c r="N1872" s="91"/>
    </row>
    <row r="1873" ht="15.75" hidden="1" customHeight="1">
      <c r="A1873" s="91"/>
      <c r="E1873" s="91"/>
      <c r="H1873" s="91"/>
      <c r="I1873" s="91"/>
      <c r="M1873" s="91"/>
      <c r="N1873" s="91"/>
    </row>
    <row r="1874" ht="15.75" hidden="1" customHeight="1">
      <c r="A1874" s="91"/>
      <c r="E1874" s="91"/>
      <c r="H1874" s="91"/>
      <c r="I1874" s="91"/>
      <c r="M1874" s="91"/>
      <c r="N1874" s="91"/>
    </row>
    <row r="1875" ht="15.75" hidden="1" customHeight="1">
      <c r="A1875" s="91"/>
      <c r="E1875" s="91"/>
      <c r="H1875" s="91"/>
      <c r="I1875" s="91"/>
      <c r="M1875" s="91"/>
      <c r="N1875" s="91"/>
    </row>
    <row r="1876" ht="15.75" hidden="1" customHeight="1">
      <c r="A1876" s="91"/>
      <c r="E1876" s="91"/>
      <c r="H1876" s="91"/>
      <c r="I1876" s="91"/>
      <c r="M1876" s="91"/>
      <c r="N1876" s="91"/>
    </row>
    <row r="1877" ht="15.75" hidden="1" customHeight="1">
      <c r="A1877" s="91"/>
      <c r="E1877" s="91"/>
      <c r="H1877" s="91"/>
      <c r="I1877" s="91"/>
      <c r="M1877" s="91"/>
      <c r="N1877" s="91"/>
    </row>
    <row r="1878" ht="15.75" hidden="1" customHeight="1">
      <c r="A1878" s="91"/>
      <c r="E1878" s="91"/>
      <c r="H1878" s="91"/>
      <c r="I1878" s="91"/>
      <c r="M1878" s="91"/>
      <c r="N1878" s="91"/>
    </row>
    <row r="1879" ht="15.75" hidden="1" customHeight="1">
      <c r="A1879" s="91"/>
      <c r="E1879" s="91"/>
      <c r="H1879" s="91"/>
      <c r="I1879" s="91"/>
      <c r="M1879" s="91"/>
      <c r="N1879" s="91"/>
    </row>
    <row r="1880" ht="15.75" hidden="1" customHeight="1">
      <c r="A1880" s="91"/>
      <c r="E1880" s="91"/>
      <c r="H1880" s="91"/>
      <c r="I1880" s="91"/>
      <c r="M1880" s="91"/>
      <c r="N1880" s="91"/>
    </row>
    <row r="1881" ht="15.75" hidden="1" customHeight="1">
      <c r="A1881" s="91"/>
      <c r="E1881" s="91"/>
      <c r="H1881" s="91"/>
      <c r="I1881" s="91"/>
      <c r="M1881" s="91"/>
      <c r="N1881" s="91"/>
    </row>
    <row r="1882" ht="15.75" hidden="1" customHeight="1">
      <c r="A1882" s="91"/>
      <c r="E1882" s="91"/>
      <c r="H1882" s="91"/>
      <c r="I1882" s="91"/>
      <c r="M1882" s="91"/>
      <c r="N1882" s="91"/>
    </row>
    <row r="1883" ht="15.75" hidden="1" customHeight="1">
      <c r="A1883" s="91"/>
      <c r="E1883" s="91"/>
      <c r="H1883" s="91"/>
      <c r="I1883" s="91"/>
      <c r="M1883" s="91"/>
      <c r="N1883" s="91"/>
    </row>
    <row r="1884" ht="15.75" hidden="1" customHeight="1">
      <c r="A1884" s="91"/>
      <c r="E1884" s="91"/>
      <c r="H1884" s="91"/>
      <c r="I1884" s="91"/>
      <c r="M1884" s="91"/>
      <c r="N1884" s="91"/>
    </row>
    <row r="1885" ht="15.75" hidden="1" customHeight="1">
      <c r="A1885" s="91"/>
      <c r="E1885" s="91"/>
      <c r="H1885" s="91"/>
      <c r="I1885" s="91"/>
      <c r="M1885" s="91"/>
      <c r="N1885" s="91"/>
    </row>
    <row r="1886" ht="15.75" hidden="1" customHeight="1">
      <c r="A1886" s="91"/>
      <c r="E1886" s="91"/>
      <c r="H1886" s="91"/>
      <c r="I1886" s="91"/>
      <c r="M1886" s="91"/>
      <c r="N1886" s="91"/>
    </row>
    <row r="1887" ht="15.75" hidden="1" customHeight="1">
      <c r="A1887" s="91"/>
      <c r="E1887" s="91"/>
      <c r="H1887" s="91"/>
      <c r="I1887" s="91"/>
      <c r="M1887" s="91"/>
      <c r="N1887" s="91"/>
    </row>
    <row r="1888" ht="15.75" hidden="1" customHeight="1">
      <c r="A1888" s="91"/>
      <c r="E1888" s="91"/>
      <c r="H1888" s="91"/>
      <c r="I1888" s="91"/>
      <c r="M1888" s="91"/>
      <c r="N1888" s="91"/>
    </row>
    <row r="1889" ht="15.75" hidden="1" customHeight="1">
      <c r="A1889" s="91"/>
      <c r="E1889" s="91"/>
      <c r="H1889" s="91"/>
      <c r="I1889" s="91"/>
      <c r="M1889" s="91"/>
      <c r="N1889" s="91"/>
    </row>
    <row r="1890" ht="15.75" hidden="1" customHeight="1">
      <c r="A1890" s="91"/>
      <c r="E1890" s="91"/>
      <c r="H1890" s="91"/>
      <c r="I1890" s="91"/>
      <c r="M1890" s="91"/>
      <c r="N1890" s="91"/>
    </row>
    <row r="1891" ht="15.75" hidden="1" customHeight="1">
      <c r="A1891" s="91"/>
      <c r="E1891" s="91"/>
      <c r="H1891" s="91"/>
      <c r="I1891" s="91"/>
      <c r="M1891" s="91"/>
      <c r="N1891" s="91"/>
    </row>
    <row r="1892" ht="15.75" hidden="1" customHeight="1">
      <c r="A1892" s="91"/>
      <c r="E1892" s="91"/>
      <c r="H1892" s="91"/>
      <c r="I1892" s="91"/>
      <c r="M1892" s="91"/>
      <c r="N1892" s="91"/>
    </row>
    <row r="1893" ht="15.75" hidden="1" customHeight="1">
      <c r="A1893" s="91"/>
      <c r="E1893" s="91"/>
      <c r="H1893" s="91"/>
      <c r="I1893" s="91"/>
      <c r="M1893" s="91"/>
      <c r="N1893" s="91"/>
    </row>
    <row r="1894" ht="15.75" hidden="1" customHeight="1">
      <c r="A1894" s="91"/>
      <c r="E1894" s="91"/>
      <c r="H1894" s="91"/>
      <c r="I1894" s="91"/>
      <c r="M1894" s="91"/>
      <c r="N1894" s="91"/>
    </row>
    <row r="1895" ht="15.75" hidden="1" customHeight="1">
      <c r="A1895" s="91"/>
      <c r="E1895" s="91"/>
      <c r="H1895" s="91"/>
      <c r="I1895" s="91"/>
      <c r="M1895" s="91"/>
      <c r="N1895" s="91"/>
    </row>
    <row r="1896" ht="15.75" hidden="1" customHeight="1">
      <c r="A1896" s="91"/>
      <c r="E1896" s="91"/>
      <c r="H1896" s="91"/>
      <c r="I1896" s="91"/>
      <c r="M1896" s="91"/>
      <c r="N1896" s="91"/>
    </row>
    <row r="1897" ht="15.75" hidden="1" customHeight="1">
      <c r="A1897" s="91"/>
      <c r="E1897" s="91"/>
      <c r="H1897" s="91"/>
      <c r="I1897" s="91"/>
      <c r="M1897" s="91"/>
      <c r="N1897" s="91"/>
    </row>
    <row r="1898" ht="15.75" hidden="1" customHeight="1">
      <c r="A1898" s="91"/>
      <c r="E1898" s="91"/>
      <c r="H1898" s="91"/>
      <c r="I1898" s="91"/>
      <c r="M1898" s="91"/>
      <c r="N1898" s="91"/>
    </row>
    <row r="1899" ht="15.75" hidden="1" customHeight="1">
      <c r="A1899" s="91"/>
      <c r="E1899" s="91"/>
      <c r="H1899" s="91"/>
      <c r="I1899" s="91"/>
      <c r="M1899" s="91"/>
      <c r="N1899" s="91"/>
    </row>
    <row r="1900" ht="15.75" hidden="1" customHeight="1">
      <c r="A1900" s="91"/>
      <c r="E1900" s="91"/>
      <c r="H1900" s="91"/>
      <c r="I1900" s="91"/>
      <c r="M1900" s="91"/>
      <c r="N1900" s="91"/>
    </row>
    <row r="1901" ht="15.75" hidden="1" customHeight="1">
      <c r="A1901" s="91"/>
      <c r="E1901" s="91"/>
      <c r="H1901" s="91"/>
      <c r="I1901" s="91"/>
      <c r="M1901" s="91"/>
      <c r="N1901" s="91"/>
    </row>
    <row r="1902" ht="15.75" hidden="1" customHeight="1">
      <c r="A1902" s="91"/>
      <c r="E1902" s="91"/>
      <c r="H1902" s="91"/>
      <c r="I1902" s="91"/>
      <c r="M1902" s="91"/>
      <c r="N1902" s="91"/>
    </row>
    <row r="1903" ht="15.75" hidden="1" customHeight="1">
      <c r="A1903" s="91"/>
      <c r="E1903" s="91"/>
      <c r="H1903" s="91"/>
      <c r="I1903" s="91"/>
      <c r="M1903" s="91"/>
      <c r="N1903" s="91"/>
    </row>
    <row r="1904" ht="15.75" hidden="1" customHeight="1">
      <c r="A1904" s="91"/>
      <c r="E1904" s="91"/>
      <c r="H1904" s="91"/>
      <c r="I1904" s="91"/>
      <c r="M1904" s="91"/>
      <c r="N1904" s="91"/>
    </row>
    <row r="1905" ht="15.75" hidden="1" customHeight="1">
      <c r="A1905" s="91"/>
      <c r="E1905" s="91"/>
      <c r="H1905" s="91"/>
      <c r="I1905" s="91"/>
      <c r="M1905" s="91"/>
      <c r="N1905" s="91"/>
    </row>
    <row r="1906" ht="15.75" hidden="1" customHeight="1">
      <c r="A1906" s="91"/>
      <c r="E1906" s="91"/>
      <c r="H1906" s="91"/>
      <c r="I1906" s="91"/>
      <c r="M1906" s="91"/>
      <c r="N1906" s="91"/>
    </row>
    <row r="1907" ht="15.75" hidden="1" customHeight="1">
      <c r="A1907" s="91"/>
      <c r="E1907" s="91"/>
      <c r="H1907" s="91"/>
      <c r="I1907" s="91"/>
      <c r="M1907" s="91"/>
      <c r="N1907" s="91"/>
    </row>
    <row r="1908" ht="15.75" hidden="1" customHeight="1">
      <c r="A1908" s="91"/>
      <c r="E1908" s="91"/>
      <c r="H1908" s="91"/>
      <c r="I1908" s="91"/>
      <c r="M1908" s="91"/>
      <c r="N1908" s="91"/>
    </row>
    <row r="1909" ht="15.75" hidden="1" customHeight="1">
      <c r="A1909" s="91"/>
      <c r="E1909" s="91"/>
      <c r="H1909" s="91"/>
      <c r="I1909" s="91"/>
      <c r="M1909" s="91"/>
      <c r="N1909" s="91"/>
    </row>
    <row r="1910" ht="15.75" hidden="1" customHeight="1">
      <c r="A1910" s="91"/>
      <c r="E1910" s="91"/>
      <c r="H1910" s="91"/>
      <c r="I1910" s="91"/>
      <c r="M1910" s="91"/>
      <c r="N1910" s="91"/>
    </row>
    <row r="1911" ht="15.75" hidden="1" customHeight="1">
      <c r="A1911" s="91"/>
      <c r="E1911" s="91"/>
      <c r="H1911" s="91"/>
      <c r="I1911" s="91"/>
      <c r="M1911" s="91"/>
      <c r="N1911" s="91"/>
    </row>
    <row r="1912" ht="15.75" hidden="1" customHeight="1">
      <c r="A1912" s="91"/>
      <c r="E1912" s="91"/>
      <c r="H1912" s="91"/>
      <c r="I1912" s="91"/>
      <c r="M1912" s="91"/>
      <c r="N1912" s="91"/>
    </row>
    <row r="1913" ht="15.75" hidden="1" customHeight="1">
      <c r="A1913" s="91"/>
      <c r="E1913" s="91"/>
      <c r="H1913" s="91"/>
      <c r="I1913" s="91"/>
      <c r="M1913" s="91"/>
      <c r="N1913" s="91"/>
    </row>
    <row r="1914" ht="15.75" hidden="1" customHeight="1">
      <c r="A1914" s="91"/>
      <c r="E1914" s="91"/>
      <c r="H1914" s="91"/>
      <c r="I1914" s="91"/>
      <c r="M1914" s="91"/>
      <c r="N1914" s="91"/>
    </row>
    <row r="1915" ht="15.75" hidden="1" customHeight="1">
      <c r="A1915" s="91"/>
      <c r="E1915" s="91"/>
      <c r="H1915" s="91"/>
      <c r="I1915" s="91"/>
      <c r="M1915" s="91"/>
      <c r="N1915" s="91"/>
    </row>
    <row r="1916" ht="15.75" hidden="1" customHeight="1">
      <c r="A1916" s="91"/>
      <c r="E1916" s="91"/>
      <c r="H1916" s="91"/>
      <c r="I1916" s="91"/>
      <c r="M1916" s="91"/>
      <c r="N1916" s="91"/>
    </row>
    <row r="1917" ht="15.75" hidden="1" customHeight="1">
      <c r="A1917" s="91"/>
      <c r="E1917" s="91"/>
      <c r="H1917" s="91"/>
      <c r="I1917" s="91"/>
      <c r="M1917" s="91"/>
      <c r="N1917" s="91"/>
    </row>
    <row r="1918" ht="15.75" hidden="1" customHeight="1">
      <c r="A1918" s="91"/>
      <c r="E1918" s="91"/>
      <c r="H1918" s="91"/>
      <c r="I1918" s="91"/>
      <c r="M1918" s="91"/>
      <c r="N1918" s="91"/>
    </row>
    <row r="1919" ht="15.75" hidden="1" customHeight="1">
      <c r="A1919" s="91"/>
      <c r="E1919" s="91"/>
      <c r="H1919" s="91"/>
      <c r="I1919" s="91"/>
      <c r="M1919" s="91"/>
      <c r="N1919" s="91"/>
    </row>
    <row r="1920" ht="15.75" hidden="1" customHeight="1">
      <c r="A1920" s="91"/>
      <c r="E1920" s="91"/>
      <c r="H1920" s="91"/>
      <c r="I1920" s="91"/>
      <c r="M1920" s="91"/>
      <c r="N1920" s="91"/>
    </row>
    <row r="1921" ht="15.75" hidden="1" customHeight="1">
      <c r="A1921" s="91"/>
      <c r="E1921" s="91"/>
      <c r="H1921" s="91"/>
      <c r="I1921" s="91"/>
      <c r="M1921" s="91"/>
      <c r="N1921" s="91"/>
    </row>
    <row r="1922" ht="15.75" hidden="1" customHeight="1">
      <c r="A1922" s="91"/>
      <c r="E1922" s="91"/>
      <c r="H1922" s="91"/>
      <c r="I1922" s="91"/>
      <c r="M1922" s="91"/>
      <c r="N1922" s="91"/>
    </row>
    <row r="1923" ht="15.75" hidden="1" customHeight="1">
      <c r="A1923" s="91"/>
      <c r="E1923" s="91"/>
      <c r="H1923" s="91"/>
      <c r="I1923" s="91"/>
      <c r="M1923" s="91"/>
      <c r="N1923" s="91"/>
    </row>
    <row r="1924" ht="15.75" hidden="1" customHeight="1">
      <c r="A1924" s="91"/>
      <c r="E1924" s="91"/>
      <c r="H1924" s="91"/>
      <c r="I1924" s="91"/>
      <c r="M1924" s="91"/>
      <c r="N1924" s="91"/>
    </row>
    <row r="1925" ht="15.75" hidden="1" customHeight="1">
      <c r="A1925" s="91"/>
      <c r="E1925" s="91"/>
      <c r="H1925" s="91"/>
      <c r="I1925" s="91"/>
      <c r="M1925" s="91"/>
      <c r="N1925" s="91"/>
    </row>
    <row r="1926" ht="15.75" hidden="1" customHeight="1">
      <c r="A1926" s="91"/>
      <c r="E1926" s="91"/>
      <c r="H1926" s="91"/>
      <c r="I1926" s="91"/>
      <c r="M1926" s="91"/>
      <c r="N1926" s="91"/>
    </row>
    <row r="1927" ht="15.75" hidden="1" customHeight="1">
      <c r="A1927" s="91"/>
      <c r="E1927" s="91"/>
      <c r="H1927" s="91"/>
      <c r="I1927" s="91"/>
      <c r="M1927" s="91"/>
      <c r="N1927" s="91"/>
    </row>
    <row r="1928" ht="15.75" hidden="1" customHeight="1">
      <c r="A1928" s="91"/>
      <c r="E1928" s="91"/>
      <c r="H1928" s="91"/>
      <c r="I1928" s="91"/>
      <c r="M1928" s="91"/>
      <c r="N1928" s="91"/>
    </row>
    <row r="1929" ht="15.75" hidden="1" customHeight="1">
      <c r="A1929" s="91"/>
      <c r="E1929" s="91"/>
      <c r="H1929" s="91"/>
      <c r="I1929" s="91"/>
      <c r="M1929" s="91"/>
      <c r="N1929" s="91"/>
    </row>
    <row r="1930" ht="15.75" hidden="1" customHeight="1">
      <c r="A1930" s="91"/>
      <c r="E1930" s="91"/>
      <c r="H1930" s="91"/>
      <c r="I1930" s="91"/>
      <c r="M1930" s="91"/>
      <c r="N1930" s="91"/>
    </row>
    <row r="1931" ht="15.75" hidden="1" customHeight="1">
      <c r="A1931" s="91"/>
      <c r="E1931" s="91"/>
      <c r="H1931" s="91"/>
      <c r="I1931" s="91"/>
      <c r="M1931" s="91"/>
      <c r="N1931" s="91"/>
    </row>
    <row r="1932" ht="15.75" hidden="1" customHeight="1">
      <c r="A1932" s="91"/>
      <c r="E1932" s="91"/>
      <c r="H1932" s="91"/>
      <c r="I1932" s="91"/>
      <c r="M1932" s="91"/>
      <c r="N1932" s="91"/>
    </row>
    <row r="1933" ht="15.75" hidden="1" customHeight="1">
      <c r="A1933" s="91"/>
      <c r="E1933" s="91"/>
      <c r="H1933" s="91"/>
      <c r="I1933" s="91"/>
      <c r="M1933" s="91"/>
      <c r="N1933" s="91"/>
    </row>
    <row r="1934" ht="15.75" hidden="1" customHeight="1">
      <c r="A1934" s="91"/>
      <c r="E1934" s="91"/>
      <c r="H1934" s="91"/>
      <c r="I1934" s="91"/>
      <c r="M1934" s="91"/>
      <c r="N1934" s="91"/>
    </row>
    <row r="1935" ht="15.75" hidden="1" customHeight="1">
      <c r="A1935" s="91"/>
      <c r="E1935" s="91"/>
      <c r="H1935" s="91"/>
      <c r="I1935" s="91"/>
      <c r="M1935" s="91"/>
      <c r="N1935" s="91"/>
    </row>
    <row r="1936" ht="15.75" hidden="1" customHeight="1">
      <c r="A1936" s="91"/>
      <c r="E1936" s="91"/>
      <c r="H1936" s="91"/>
      <c r="I1936" s="91"/>
      <c r="M1936" s="91"/>
      <c r="N1936" s="91"/>
    </row>
    <row r="1937" ht="15.75" hidden="1" customHeight="1">
      <c r="A1937" s="91"/>
      <c r="E1937" s="91"/>
      <c r="H1937" s="91"/>
      <c r="I1937" s="91"/>
      <c r="M1937" s="91"/>
      <c r="N1937" s="91"/>
    </row>
    <row r="1938" ht="15.75" hidden="1" customHeight="1">
      <c r="A1938" s="91"/>
      <c r="E1938" s="91"/>
      <c r="H1938" s="91"/>
      <c r="I1938" s="91"/>
      <c r="M1938" s="91"/>
      <c r="N1938" s="91"/>
    </row>
    <row r="1939" ht="15.75" hidden="1" customHeight="1">
      <c r="A1939" s="91"/>
      <c r="E1939" s="91"/>
      <c r="H1939" s="91"/>
      <c r="I1939" s="91"/>
      <c r="M1939" s="91"/>
      <c r="N1939" s="91"/>
    </row>
    <row r="1940" ht="15.75" hidden="1" customHeight="1">
      <c r="A1940" s="91"/>
      <c r="E1940" s="91"/>
      <c r="H1940" s="91"/>
      <c r="I1940" s="91"/>
      <c r="M1940" s="91"/>
      <c r="N1940" s="91"/>
    </row>
    <row r="1941" ht="15.75" hidden="1" customHeight="1">
      <c r="A1941" s="91"/>
      <c r="E1941" s="91"/>
      <c r="H1941" s="91"/>
      <c r="I1941" s="91"/>
      <c r="M1941" s="91"/>
      <c r="N1941" s="91"/>
    </row>
    <row r="1942" ht="15.75" hidden="1" customHeight="1">
      <c r="A1942" s="91"/>
      <c r="E1942" s="91"/>
      <c r="H1942" s="91"/>
      <c r="I1942" s="91"/>
      <c r="M1942" s="91"/>
      <c r="N1942" s="91"/>
    </row>
    <row r="1943" ht="15.75" hidden="1" customHeight="1">
      <c r="A1943" s="91"/>
      <c r="E1943" s="91"/>
      <c r="H1943" s="91"/>
      <c r="I1943" s="91"/>
      <c r="M1943" s="91"/>
      <c r="N1943" s="91"/>
    </row>
    <row r="1944" ht="15.75" hidden="1" customHeight="1">
      <c r="A1944" s="91"/>
      <c r="E1944" s="91"/>
      <c r="H1944" s="91"/>
      <c r="I1944" s="91"/>
      <c r="M1944" s="91"/>
      <c r="N1944" s="91"/>
    </row>
    <row r="1945" ht="15.75" hidden="1" customHeight="1">
      <c r="A1945" s="91"/>
      <c r="E1945" s="91"/>
      <c r="H1945" s="91"/>
      <c r="I1945" s="91"/>
      <c r="M1945" s="91"/>
      <c r="N1945" s="91"/>
    </row>
    <row r="1946" ht="15.75" hidden="1" customHeight="1">
      <c r="A1946" s="91"/>
      <c r="E1946" s="91"/>
      <c r="H1946" s="91"/>
      <c r="I1946" s="91"/>
      <c r="M1946" s="91"/>
      <c r="N1946" s="91"/>
    </row>
    <row r="1947" ht="15.75" hidden="1" customHeight="1">
      <c r="A1947" s="91"/>
      <c r="E1947" s="91"/>
      <c r="H1947" s="91"/>
      <c r="I1947" s="91"/>
      <c r="M1947" s="91"/>
      <c r="N1947" s="91"/>
    </row>
    <row r="1948" ht="15.75" hidden="1" customHeight="1">
      <c r="A1948" s="91"/>
      <c r="E1948" s="91"/>
      <c r="H1948" s="91"/>
      <c r="I1948" s="91"/>
      <c r="M1948" s="91"/>
      <c r="N1948" s="91"/>
    </row>
    <row r="1949" ht="15.75" hidden="1" customHeight="1">
      <c r="A1949" s="91"/>
      <c r="E1949" s="91"/>
      <c r="H1949" s="91"/>
      <c r="I1949" s="91"/>
      <c r="M1949" s="91"/>
      <c r="N1949" s="91"/>
    </row>
    <row r="1950" ht="15.75" hidden="1" customHeight="1">
      <c r="A1950" s="91"/>
      <c r="E1950" s="91"/>
      <c r="H1950" s="91"/>
      <c r="I1950" s="91"/>
      <c r="M1950" s="91"/>
      <c r="N1950" s="91"/>
    </row>
    <row r="1951" ht="15.75" hidden="1" customHeight="1">
      <c r="A1951" s="91"/>
      <c r="E1951" s="91"/>
      <c r="H1951" s="91"/>
      <c r="I1951" s="91"/>
      <c r="M1951" s="91"/>
      <c r="N1951" s="91"/>
    </row>
    <row r="1952" ht="15.75" hidden="1" customHeight="1">
      <c r="A1952" s="91"/>
      <c r="E1952" s="91"/>
      <c r="H1952" s="91"/>
      <c r="I1952" s="91"/>
      <c r="M1952" s="91"/>
      <c r="N1952" s="91"/>
    </row>
    <row r="1953" ht="15.75" hidden="1" customHeight="1">
      <c r="A1953" s="91"/>
      <c r="E1953" s="91"/>
      <c r="H1953" s="91"/>
      <c r="I1953" s="91"/>
      <c r="M1953" s="91"/>
      <c r="N1953" s="91"/>
    </row>
    <row r="1954" ht="15.75" hidden="1" customHeight="1">
      <c r="A1954" s="91"/>
      <c r="E1954" s="91"/>
      <c r="H1954" s="91"/>
      <c r="I1954" s="91"/>
      <c r="M1954" s="91"/>
      <c r="N1954" s="91"/>
    </row>
    <row r="1955" ht="15.75" hidden="1" customHeight="1">
      <c r="A1955" s="91"/>
      <c r="E1955" s="91"/>
      <c r="H1955" s="91"/>
      <c r="I1955" s="91"/>
      <c r="M1955" s="91"/>
      <c r="N1955" s="91"/>
    </row>
    <row r="1956" ht="15.75" hidden="1" customHeight="1">
      <c r="A1956" s="91"/>
      <c r="E1956" s="91"/>
      <c r="H1956" s="91"/>
      <c r="I1956" s="91"/>
      <c r="M1956" s="91"/>
      <c r="N1956" s="91"/>
    </row>
    <row r="1957" ht="15.75" hidden="1" customHeight="1">
      <c r="A1957" s="91"/>
      <c r="E1957" s="91"/>
      <c r="H1957" s="91"/>
      <c r="I1957" s="91"/>
      <c r="M1957" s="91"/>
      <c r="N1957" s="91"/>
    </row>
    <row r="1958" ht="15.75" hidden="1" customHeight="1">
      <c r="A1958" s="91"/>
      <c r="E1958" s="91"/>
      <c r="H1958" s="91"/>
      <c r="I1958" s="91"/>
      <c r="M1958" s="91"/>
      <c r="N1958" s="91"/>
    </row>
    <row r="1959" ht="15.75" hidden="1" customHeight="1">
      <c r="A1959" s="91"/>
      <c r="E1959" s="91"/>
      <c r="H1959" s="91"/>
      <c r="I1959" s="91"/>
      <c r="M1959" s="91"/>
      <c r="N1959" s="91"/>
    </row>
    <row r="1960" ht="15.75" hidden="1" customHeight="1">
      <c r="A1960" s="91"/>
      <c r="E1960" s="91"/>
      <c r="H1960" s="91"/>
      <c r="I1960" s="91"/>
      <c r="M1960" s="91"/>
      <c r="N1960" s="91"/>
    </row>
    <row r="1961" ht="15.75" hidden="1" customHeight="1">
      <c r="A1961" s="91"/>
      <c r="E1961" s="91"/>
      <c r="H1961" s="91"/>
      <c r="I1961" s="91"/>
      <c r="M1961" s="91"/>
      <c r="N1961" s="91"/>
    </row>
    <row r="1962" ht="15.75" hidden="1" customHeight="1">
      <c r="A1962" s="91"/>
      <c r="E1962" s="91"/>
      <c r="H1962" s="91"/>
      <c r="I1962" s="91"/>
      <c r="M1962" s="91"/>
      <c r="N1962" s="91"/>
    </row>
    <row r="1963" ht="15.75" hidden="1" customHeight="1">
      <c r="A1963" s="91"/>
      <c r="E1963" s="91"/>
      <c r="H1963" s="91"/>
      <c r="I1963" s="91"/>
      <c r="M1963" s="91"/>
      <c r="N1963" s="91"/>
    </row>
    <row r="1964" ht="15.75" hidden="1" customHeight="1">
      <c r="A1964" s="91"/>
      <c r="E1964" s="91"/>
      <c r="H1964" s="91"/>
      <c r="I1964" s="91"/>
      <c r="M1964" s="91"/>
      <c r="N1964" s="91"/>
    </row>
    <row r="1965" ht="15.75" hidden="1" customHeight="1">
      <c r="A1965" s="91"/>
      <c r="E1965" s="91"/>
      <c r="H1965" s="91"/>
      <c r="I1965" s="91"/>
      <c r="M1965" s="91"/>
      <c r="N1965" s="91"/>
    </row>
    <row r="1966" ht="15.75" hidden="1" customHeight="1">
      <c r="A1966" s="91"/>
      <c r="E1966" s="91"/>
      <c r="H1966" s="91"/>
      <c r="I1966" s="91"/>
      <c r="M1966" s="91"/>
      <c r="N1966" s="91"/>
    </row>
    <row r="1967" ht="15.75" hidden="1" customHeight="1">
      <c r="A1967" s="91"/>
      <c r="E1967" s="91"/>
      <c r="H1967" s="91"/>
      <c r="I1967" s="91"/>
      <c r="M1967" s="91"/>
      <c r="N1967" s="91"/>
    </row>
    <row r="1968" ht="15.75" hidden="1" customHeight="1">
      <c r="A1968" s="91"/>
      <c r="E1968" s="91"/>
      <c r="H1968" s="91"/>
      <c r="I1968" s="91"/>
      <c r="M1968" s="91"/>
      <c r="N1968" s="91"/>
    </row>
    <row r="1969" ht="15.75" hidden="1" customHeight="1">
      <c r="A1969" s="91"/>
      <c r="E1969" s="91"/>
      <c r="H1969" s="91"/>
      <c r="I1969" s="91"/>
      <c r="M1969" s="91"/>
      <c r="N1969" s="91"/>
    </row>
    <row r="1970" ht="15.75" hidden="1" customHeight="1">
      <c r="A1970" s="91"/>
      <c r="E1970" s="91"/>
      <c r="H1970" s="91"/>
      <c r="I1970" s="91"/>
      <c r="M1970" s="91"/>
      <c r="N1970" s="91"/>
    </row>
    <row r="1971" ht="15.75" hidden="1" customHeight="1">
      <c r="A1971" s="91"/>
      <c r="E1971" s="91"/>
      <c r="H1971" s="91"/>
      <c r="I1971" s="91"/>
      <c r="M1971" s="91"/>
      <c r="N1971" s="91"/>
    </row>
    <row r="1972" ht="15.75" hidden="1" customHeight="1">
      <c r="A1972" s="91"/>
      <c r="E1972" s="91"/>
      <c r="H1972" s="91"/>
      <c r="I1972" s="91"/>
      <c r="M1972" s="91"/>
      <c r="N1972" s="91"/>
    </row>
    <row r="1973" ht="15.75" hidden="1" customHeight="1">
      <c r="A1973" s="91"/>
      <c r="E1973" s="91"/>
      <c r="H1973" s="91"/>
      <c r="I1973" s="91"/>
      <c r="M1973" s="91"/>
      <c r="N1973" s="91"/>
    </row>
    <row r="1974" ht="15.75" hidden="1" customHeight="1">
      <c r="A1974" s="91"/>
      <c r="E1974" s="91"/>
      <c r="H1974" s="91"/>
      <c r="I1974" s="91"/>
      <c r="M1974" s="91"/>
      <c r="N1974" s="91"/>
    </row>
    <row r="1975" ht="15.75" hidden="1" customHeight="1">
      <c r="A1975" s="91"/>
      <c r="E1975" s="91"/>
      <c r="H1975" s="91"/>
      <c r="I1975" s="91"/>
      <c r="M1975" s="91"/>
      <c r="N1975" s="91"/>
    </row>
    <row r="1976" ht="15.75" hidden="1" customHeight="1">
      <c r="A1976" s="91"/>
      <c r="E1976" s="91"/>
      <c r="H1976" s="91"/>
      <c r="I1976" s="91"/>
      <c r="M1976" s="91"/>
      <c r="N1976" s="91"/>
    </row>
    <row r="1977" ht="15.75" hidden="1" customHeight="1">
      <c r="A1977" s="91"/>
      <c r="E1977" s="91"/>
      <c r="H1977" s="91"/>
      <c r="I1977" s="91"/>
      <c r="M1977" s="91"/>
      <c r="N1977" s="91"/>
    </row>
    <row r="1978" ht="15.75" hidden="1" customHeight="1">
      <c r="A1978" s="91"/>
      <c r="E1978" s="91"/>
      <c r="H1978" s="91"/>
      <c r="I1978" s="91"/>
      <c r="M1978" s="91"/>
      <c r="N1978" s="91"/>
    </row>
    <row r="1979" ht="15.75" hidden="1" customHeight="1">
      <c r="A1979" s="91"/>
      <c r="E1979" s="91"/>
      <c r="H1979" s="91"/>
      <c r="I1979" s="91"/>
      <c r="M1979" s="91"/>
      <c r="N1979" s="91"/>
    </row>
    <row r="1980" ht="15.75" hidden="1" customHeight="1">
      <c r="A1980" s="91"/>
      <c r="E1980" s="91"/>
      <c r="H1980" s="91"/>
      <c r="I1980" s="91"/>
      <c r="M1980" s="91"/>
      <c r="N1980" s="91"/>
    </row>
    <row r="1981" ht="15.75" hidden="1" customHeight="1">
      <c r="A1981" s="91"/>
      <c r="E1981" s="91"/>
      <c r="H1981" s="91"/>
      <c r="I1981" s="91"/>
      <c r="M1981" s="91"/>
      <c r="N1981" s="91"/>
    </row>
    <row r="1982" ht="15.75" hidden="1" customHeight="1">
      <c r="A1982" s="91"/>
      <c r="E1982" s="91"/>
      <c r="H1982" s="91"/>
      <c r="I1982" s="91"/>
      <c r="M1982" s="91"/>
      <c r="N1982" s="91"/>
    </row>
    <row r="1983" ht="15.75" hidden="1" customHeight="1">
      <c r="A1983" s="91"/>
      <c r="E1983" s="91"/>
      <c r="H1983" s="91"/>
      <c r="I1983" s="91"/>
      <c r="M1983" s="91"/>
      <c r="N1983" s="91"/>
    </row>
    <row r="1984" ht="15.75" hidden="1" customHeight="1">
      <c r="A1984" s="91"/>
      <c r="E1984" s="91"/>
      <c r="H1984" s="91"/>
      <c r="I1984" s="91"/>
      <c r="M1984" s="91"/>
      <c r="N1984" s="91"/>
    </row>
    <row r="1985" ht="15.75" hidden="1" customHeight="1">
      <c r="A1985" s="91"/>
      <c r="E1985" s="91"/>
      <c r="H1985" s="91"/>
      <c r="I1985" s="91"/>
      <c r="M1985" s="91"/>
      <c r="N1985" s="91"/>
    </row>
    <row r="1986" ht="15.75" hidden="1" customHeight="1">
      <c r="A1986" s="91"/>
      <c r="E1986" s="91"/>
      <c r="H1986" s="91"/>
      <c r="I1986" s="91"/>
      <c r="M1986" s="91"/>
      <c r="N1986" s="91"/>
    </row>
    <row r="1987" ht="15.75" hidden="1" customHeight="1">
      <c r="A1987" s="91"/>
      <c r="E1987" s="91"/>
      <c r="H1987" s="91"/>
      <c r="I1987" s="91"/>
      <c r="M1987" s="91"/>
      <c r="N1987" s="91"/>
    </row>
    <row r="1988" ht="15.75" hidden="1" customHeight="1">
      <c r="A1988" s="91"/>
      <c r="E1988" s="91"/>
      <c r="H1988" s="91"/>
      <c r="I1988" s="91"/>
      <c r="M1988" s="91"/>
      <c r="N1988" s="91"/>
    </row>
    <row r="1989" ht="15.75" hidden="1" customHeight="1">
      <c r="A1989" s="91"/>
      <c r="E1989" s="91"/>
      <c r="H1989" s="91"/>
      <c r="I1989" s="91"/>
      <c r="M1989" s="91"/>
      <c r="N1989" s="91"/>
    </row>
    <row r="1990" ht="15.75" hidden="1" customHeight="1">
      <c r="A1990" s="91"/>
      <c r="E1990" s="91"/>
      <c r="H1990" s="91"/>
      <c r="I1990" s="91"/>
      <c r="M1990" s="91"/>
      <c r="N1990" s="91"/>
    </row>
    <row r="1991" ht="15.75" hidden="1" customHeight="1">
      <c r="A1991" s="91"/>
      <c r="E1991" s="91"/>
      <c r="H1991" s="91"/>
      <c r="I1991" s="91"/>
      <c r="M1991" s="91"/>
      <c r="N1991" s="91"/>
    </row>
    <row r="1992" ht="15.75" hidden="1" customHeight="1">
      <c r="A1992" s="91"/>
      <c r="E1992" s="91"/>
      <c r="H1992" s="91"/>
      <c r="I1992" s="91"/>
      <c r="M1992" s="91"/>
      <c r="N1992" s="91"/>
    </row>
    <row r="1993" ht="15.75" hidden="1" customHeight="1">
      <c r="A1993" s="91"/>
      <c r="E1993" s="91"/>
      <c r="H1993" s="91"/>
      <c r="I1993" s="91"/>
      <c r="M1993" s="91"/>
      <c r="N1993" s="91"/>
    </row>
    <row r="1994" ht="15.75" hidden="1" customHeight="1">
      <c r="A1994" s="91"/>
      <c r="E1994" s="91"/>
      <c r="H1994" s="91"/>
      <c r="I1994" s="91"/>
      <c r="M1994" s="91"/>
      <c r="N1994" s="91"/>
    </row>
    <row r="1995" ht="15.75" hidden="1" customHeight="1">
      <c r="A1995" s="91"/>
      <c r="E1995" s="91"/>
      <c r="H1995" s="91"/>
      <c r="I1995" s="91"/>
      <c r="M1995" s="91"/>
      <c r="N1995" s="91"/>
    </row>
    <row r="1996" ht="15.75" hidden="1" customHeight="1">
      <c r="A1996" s="91"/>
      <c r="E1996" s="91"/>
      <c r="H1996" s="91"/>
      <c r="I1996" s="91"/>
      <c r="M1996" s="91"/>
      <c r="N1996" s="91"/>
    </row>
    <row r="1997" ht="15.75" hidden="1" customHeight="1">
      <c r="A1997" s="91"/>
      <c r="E1997" s="91"/>
      <c r="H1997" s="91"/>
      <c r="I1997" s="91"/>
      <c r="M1997" s="91"/>
      <c r="N1997" s="91"/>
    </row>
    <row r="1998" ht="15.75" hidden="1" customHeight="1">
      <c r="A1998" s="91"/>
      <c r="E1998" s="91"/>
      <c r="H1998" s="91"/>
      <c r="I1998" s="91"/>
      <c r="M1998" s="91"/>
      <c r="N1998" s="91"/>
    </row>
    <row r="1999" ht="15.75" hidden="1" customHeight="1">
      <c r="A1999" s="91"/>
      <c r="E1999" s="91"/>
      <c r="H1999" s="91"/>
      <c r="I1999" s="91"/>
      <c r="M1999" s="91"/>
      <c r="N1999" s="91"/>
    </row>
    <row r="2000" ht="15.75" hidden="1" customHeight="1">
      <c r="A2000" s="91"/>
      <c r="E2000" s="91"/>
      <c r="H2000" s="91"/>
      <c r="I2000" s="91"/>
      <c r="M2000" s="91"/>
      <c r="N2000" s="91"/>
    </row>
    <row r="2001" ht="15.75" hidden="1" customHeight="1">
      <c r="A2001" s="91"/>
      <c r="E2001" s="91"/>
      <c r="H2001" s="91"/>
      <c r="I2001" s="91"/>
      <c r="M2001" s="91"/>
      <c r="N2001" s="91"/>
    </row>
    <row r="2002" ht="15.75" hidden="1" customHeight="1">
      <c r="A2002" s="91"/>
      <c r="E2002" s="91"/>
      <c r="H2002" s="91"/>
      <c r="I2002" s="91"/>
      <c r="M2002" s="91"/>
      <c r="N2002" s="91"/>
    </row>
    <row r="2003" ht="15.75" hidden="1" customHeight="1">
      <c r="A2003" s="91"/>
      <c r="E2003" s="91"/>
      <c r="H2003" s="91"/>
      <c r="I2003" s="91"/>
      <c r="M2003" s="91"/>
      <c r="N2003" s="91"/>
    </row>
    <row r="2004" ht="15.75" hidden="1" customHeight="1">
      <c r="A2004" s="91"/>
      <c r="E2004" s="91"/>
      <c r="H2004" s="91"/>
      <c r="I2004" s="91"/>
      <c r="M2004" s="91"/>
      <c r="N2004" s="91"/>
    </row>
    <row r="2005" ht="15.75" hidden="1" customHeight="1">
      <c r="A2005" s="91"/>
      <c r="E2005" s="91"/>
      <c r="H2005" s="91"/>
      <c r="I2005" s="91"/>
      <c r="M2005" s="91"/>
      <c r="N2005" s="91"/>
    </row>
    <row r="2006" ht="15.75" hidden="1" customHeight="1">
      <c r="A2006" s="91"/>
      <c r="E2006" s="91"/>
      <c r="H2006" s="91"/>
      <c r="I2006" s="91"/>
      <c r="M2006" s="91"/>
      <c r="N2006" s="91"/>
    </row>
    <row r="2007" ht="15.75" hidden="1" customHeight="1">
      <c r="A2007" s="91"/>
      <c r="E2007" s="91"/>
      <c r="H2007" s="91"/>
      <c r="I2007" s="91"/>
      <c r="M2007" s="91"/>
      <c r="N2007" s="91"/>
    </row>
    <row r="2008" ht="15.75" hidden="1" customHeight="1">
      <c r="A2008" s="91"/>
      <c r="E2008" s="91"/>
      <c r="H2008" s="91"/>
      <c r="I2008" s="91"/>
      <c r="M2008" s="91"/>
      <c r="N2008" s="91"/>
    </row>
    <row r="2009" ht="15.75" hidden="1" customHeight="1">
      <c r="A2009" s="91"/>
      <c r="E2009" s="91"/>
      <c r="H2009" s="91"/>
      <c r="I2009" s="91"/>
      <c r="M2009" s="91"/>
      <c r="N2009" s="91"/>
    </row>
    <row r="2010" ht="15.75" hidden="1" customHeight="1">
      <c r="A2010" s="91"/>
      <c r="E2010" s="91"/>
      <c r="H2010" s="91"/>
      <c r="I2010" s="91"/>
      <c r="M2010" s="91"/>
      <c r="N2010" s="91"/>
    </row>
    <row r="2011" ht="15.75" hidden="1" customHeight="1">
      <c r="A2011" s="91"/>
      <c r="E2011" s="91"/>
      <c r="H2011" s="91"/>
      <c r="I2011" s="91"/>
      <c r="M2011" s="91"/>
      <c r="N2011" s="91"/>
    </row>
    <row r="2012" ht="15.75" hidden="1" customHeight="1">
      <c r="A2012" s="91"/>
      <c r="E2012" s="91"/>
      <c r="H2012" s="91"/>
      <c r="I2012" s="91"/>
      <c r="M2012" s="91"/>
      <c r="N2012" s="91"/>
    </row>
    <row r="2013" ht="15.75" hidden="1" customHeight="1">
      <c r="A2013" s="91"/>
      <c r="E2013" s="91"/>
      <c r="H2013" s="91"/>
      <c r="I2013" s="91"/>
      <c r="M2013" s="91"/>
      <c r="N2013" s="91"/>
    </row>
    <row r="2014" ht="15.75" hidden="1" customHeight="1">
      <c r="A2014" s="91"/>
      <c r="E2014" s="91"/>
      <c r="H2014" s="91"/>
      <c r="I2014" s="91"/>
      <c r="M2014" s="91"/>
      <c r="N2014" s="91"/>
    </row>
    <row r="2015" ht="15.75" hidden="1" customHeight="1">
      <c r="A2015" s="91"/>
      <c r="E2015" s="91"/>
      <c r="H2015" s="91"/>
      <c r="I2015" s="91"/>
      <c r="M2015" s="91"/>
      <c r="N2015" s="91"/>
    </row>
    <row r="2016" ht="15.75" hidden="1" customHeight="1">
      <c r="A2016" s="91"/>
      <c r="E2016" s="91"/>
      <c r="H2016" s="91"/>
      <c r="I2016" s="91"/>
      <c r="M2016" s="91"/>
      <c r="N2016" s="91"/>
    </row>
    <row r="2017" ht="15.75" hidden="1" customHeight="1">
      <c r="A2017" s="91"/>
      <c r="E2017" s="91"/>
      <c r="H2017" s="91"/>
      <c r="I2017" s="91"/>
      <c r="M2017" s="91"/>
      <c r="N2017" s="91"/>
    </row>
    <row r="2018" ht="15.75" hidden="1" customHeight="1">
      <c r="A2018" s="91"/>
      <c r="E2018" s="91"/>
      <c r="H2018" s="91"/>
      <c r="I2018" s="91"/>
      <c r="M2018" s="91"/>
      <c r="N2018" s="91"/>
    </row>
    <row r="2019" ht="15.75" hidden="1" customHeight="1">
      <c r="A2019" s="91"/>
      <c r="E2019" s="91"/>
      <c r="H2019" s="91"/>
      <c r="I2019" s="91"/>
      <c r="M2019" s="91"/>
      <c r="N2019" s="91"/>
    </row>
    <row r="2020" ht="15.75" hidden="1" customHeight="1">
      <c r="A2020" s="91"/>
      <c r="E2020" s="91"/>
      <c r="H2020" s="91"/>
      <c r="I2020" s="91"/>
      <c r="M2020" s="91"/>
      <c r="N2020" s="91"/>
    </row>
    <row r="2021" ht="15.75" hidden="1" customHeight="1">
      <c r="A2021" s="91"/>
      <c r="E2021" s="91"/>
      <c r="H2021" s="91"/>
      <c r="I2021" s="91"/>
      <c r="M2021" s="91"/>
      <c r="N2021" s="91"/>
    </row>
    <row r="2022" ht="15.75" hidden="1" customHeight="1">
      <c r="A2022" s="91"/>
      <c r="E2022" s="91"/>
      <c r="H2022" s="91"/>
      <c r="I2022" s="91"/>
      <c r="M2022" s="91"/>
      <c r="N2022" s="91"/>
    </row>
    <row r="2023" ht="15.75" hidden="1" customHeight="1">
      <c r="A2023" s="91"/>
      <c r="E2023" s="91"/>
      <c r="H2023" s="91"/>
      <c r="I2023" s="91"/>
      <c r="M2023" s="91"/>
      <c r="N2023" s="91"/>
    </row>
    <row r="2024" ht="15.75" hidden="1" customHeight="1">
      <c r="A2024" s="91"/>
      <c r="E2024" s="91"/>
      <c r="H2024" s="91"/>
      <c r="I2024" s="91"/>
      <c r="M2024" s="91"/>
      <c r="N2024" s="91"/>
    </row>
    <row r="2025" ht="15.75" hidden="1" customHeight="1">
      <c r="A2025" s="91"/>
      <c r="E2025" s="91"/>
      <c r="H2025" s="91"/>
      <c r="I2025" s="91"/>
      <c r="M2025" s="91"/>
      <c r="N2025" s="91"/>
    </row>
    <row r="2026" ht="15.75" hidden="1" customHeight="1">
      <c r="A2026" s="91"/>
      <c r="E2026" s="91"/>
      <c r="H2026" s="91"/>
      <c r="I2026" s="91"/>
      <c r="M2026" s="91"/>
      <c r="N2026" s="91"/>
    </row>
    <row r="2027" ht="15.75" hidden="1" customHeight="1">
      <c r="A2027" s="91"/>
      <c r="E2027" s="91"/>
      <c r="H2027" s="91"/>
      <c r="I2027" s="91"/>
      <c r="M2027" s="91"/>
      <c r="N2027" s="91"/>
    </row>
    <row r="2028" ht="15.75" hidden="1" customHeight="1">
      <c r="A2028" s="91"/>
      <c r="E2028" s="91"/>
      <c r="H2028" s="91"/>
      <c r="I2028" s="91"/>
      <c r="M2028" s="91"/>
      <c r="N2028" s="91"/>
    </row>
    <row r="2029" ht="15.75" hidden="1" customHeight="1">
      <c r="A2029" s="91"/>
      <c r="E2029" s="91"/>
      <c r="H2029" s="91"/>
      <c r="I2029" s="91"/>
      <c r="M2029" s="91"/>
      <c r="N2029" s="91"/>
    </row>
    <row r="2030" ht="15.75" hidden="1" customHeight="1">
      <c r="A2030" s="91"/>
      <c r="E2030" s="91"/>
      <c r="H2030" s="91"/>
      <c r="I2030" s="91"/>
      <c r="M2030" s="91"/>
      <c r="N2030" s="91"/>
    </row>
    <row r="2031" ht="15.75" hidden="1" customHeight="1">
      <c r="A2031" s="91"/>
      <c r="E2031" s="91"/>
      <c r="H2031" s="91"/>
      <c r="I2031" s="91"/>
      <c r="M2031" s="91"/>
      <c r="N2031" s="91"/>
    </row>
    <row r="2032" ht="15.75" hidden="1" customHeight="1">
      <c r="A2032" s="91"/>
      <c r="E2032" s="91"/>
      <c r="H2032" s="91"/>
      <c r="I2032" s="91"/>
      <c r="M2032" s="91"/>
      <c r="N2032" s="91"/>
    </row>
    <row r="2033" ht="15.75" hidden="1" customHeight="1">
      <c r="A2033" s="91"/>
      <c r="E2033" s="91"/>
      <c r="H2033" s="91"/>
      <c r="I2033" s="91"/>
      <c r="M2033" s="91"/>
      <c r="N2033" s="91"/>
    </row>
    <row r="2034" ht="15.75" hidden="1" customHeight="1">
      <c r="A2034" s="91"/>
      <c r="E2034" s="91"/>
      <c r="H2034" s="91"/>
      <c r="I2034" s="91"/>
      <c r="M2034" s="91"/>
      <c r="N2034" s="91"/>
    </row>
    <row r="2035" ht="15.75" hidden="1" customHeight="1">
      <c r="A2035" s="91"/>
      <c r="E2035" s="91"/>
      <c r="H2035" s="91"/>
      <c r="I2035" s="91"/>
      <c r="M2035" s="91"/>
      <c r="N2035" s="91"/>
    </row>
    <row r="2036" ht="15.75" hidden="1" customHeight="1">
      <c r="A2036" s="91"/>
      <c r="E2036" s="91"/>
      <c r="H2036" s="91"/>
      <c r="I2036" s="91"/>
      <c r="M2036" s="91"/>
      <c r="N2036" s="91"/>
    </row>
    <row r="2037" ht="15.75" hidden="1" customHeight="1">
      <c r="A2037" s="91"/>
      <c r="E2037" s="91"/>
      <c r="H2037" s="91"/>
      <c r="I2037" s="91"/>
      <c r="M2037" s="91"/>
      <c r="N2037" s="91"/>
    </row>
    <row r="2038" ht="15.75" hidden="1" customHeight="1">
      <c r="A2038" s="91"/>
      <c r="E2038" s="91"/>
      <c r="H2038" s="91"/>
      <c r="I2038" s="91"/>
      <c r="M2038" s="91"/>
      <c r="N2038" s="91"/>
    </row>
    <row r="2039" ht="15.75" hidden="1" customHeight="1">
      <c r="A2039" s="91"/>
      <c r="E2039" s="91"/>
      <c r="H2039" s="91"/>
      <c r="I2039" s="91"/>
      <c r="M2039" s="91"/>
      <c r="N2039" s="91"/>
    </row>
    <row r="2040" ht="15.75" hidden="1" customHeight="1">
      <c r="A2040" s="91"/>
      <c r="E2040" s="91"/>
      <c r="H2040" s="91"/>
      <c r="I2040" s="91"/>
      <c r="M2040" s="91"/>
      <c r="N2040" s="91"/>
    </row>
    <row r="2041" ht="15.75" hidden="1" customHeight="1">
      <c r="A2041" s="91"/>
      <c r="E2041" s="91"/>
      <c r="H2041" s="91"/>
      <c r="I2041" s="91"/>
      <c r="M2041" s="91"/>
      <c r="N2041" s="91"/>
    </row>
    <row r="2042" ht="15.75" hidden="1" customHeight="1">
      <c r="A2042" s="91"/>
      <c r="E2042" s="91"/>
      <c r="H2042" s="91"/>
      <c r="I2042" s="91"/>
      <c r="M2042" s="91"/>
      <c r="N2042" s="91"/>
    </row>
    <row r="2043" ht="15.75" hidden="1" customHeight="1">
      <c r="A2043" s="91"/>
      <c r="E2043" s="91"/>
      <c r="H2043" s="91"/>
      <c r="I2043" s="91"/>
      <c r="M2043" s="91"/>
      <c r="N2043" s="91"/>
    </row>
    <row r="2044" ht="15.75" hidden="1" customHeight="1">
      <c r="A2044" s="91"/>
      <c r="E2044" s="91"/>
      <c r="H2044" s="91"/>
      <c r="I2044" s="91"/>
      <c r="M2044" s="91"/>
      <c r="N2044" s="91"/>
    </row>
    <row r="2045" ht="15.75" hidden="1" customHeight="1">
      <c r="A2045" s="91"/>
      <c r="E2045" s="91"/>
      <c r="H2045" s="91"/>
      <c r="I2045" s="91"/>
      <c r="M2045" s="91"/>
      <c r="N2045" s="91"/>
    </row>
    <row r="2046" ht="15.75" hidden="1" customHeight="1">
      <c r="A2046" s="91"/>
      <c r="E2046" s="91"/>
      <c r="H2046" s="91"/>
      <c r="I2046" s="91"/>
      <c r="M2046" s="91"/>
      <c r="N2046" s="91"/>
    </row>
    <row r="2047" ht="15.75" hidden="1" customHeight="1">
      <c r="A2047" s="91"/>
      <c r="E2047" s="91"/>
      <c r="H2047" s="91"/>
      <c r="I2047" s="91"/>
      <c r="M2047" s="91"/>
      <c r="N2047" s="91"/>
    </row>
    <row r="2048" ht="15.75" hidden="1" customHeight="1">
      <c r="A2048" s="91"/>
      <c r="E2048" s="91"/>
      <c r="H2048" s="91"/>
      <c r="I2048" s="91"/>
      <c r="M2048" s="91"/>
      <c r="N2048" s="91"/>
    </row>
    <row r="2049" ht="15.75" hidden="1" customHeight="1">
      <c r="A2049" s="91"/>
      <c r="E2049" s="91"/>
      <c r="H2049" s="91"/>
      <c r="I2049" s="91"/>
      <c r="M2049" s="91"/>
      <c r="N2049" s="91"/>
    </row>
    <row r="2050" ht="15.75" hidden="1" customHeight="1">
      <c r="A2050" s="91"/>
      <c r="E2050" s="91"/>
      <c r="H2050" s="91"/>
      <c r="I2050" s="91"/>
      <c r="M2050" s="91"/>
      <c r="N2050" s="91"/>
    </row>
    <row r="2051" ht="15.75" hidden="1" customHeight="1">
      <c r="A2051" s="91"/>
      <c r="E2051" s="91"/>
      <c r="H2051" s="91"/>
      <c r="I2051" s="91"/>
      <c r="M2051" s="91"/>
      <c r="N2051" s="91"/>
    </row>
    <row r="2052" ht="15.75" hidden="1" customHeight="1">
      <c r="A2052" s="91"/>
      <c r="E2052" s="91"/>
      <c r="H2052" s="91"/>
      <c r="I2052" s="91"/>
      <c r="M2052" s="91"/>
      <c r="N2052" s="91"/>
    </row>
    <row r="2053" ht="15.75" hidden="1" customHeight="1">
      <c r="A2053" s="91"/>
      <c r="E2053" s="91"/>
      <c r="H2053" s="91"/>
      <c r="I2053" s="91"/>
      <c r="M2053" s="91"/>
      <c r="N2053" s="91"/>
    </row>
    <row r="2054" ht="15.75" hidden="1" customHeight="1">
      <c r="A2054" s="91"/>
      <c r="E2054" s="91"/>
      <c r="H2054" s="91"/>
      <c r="I2054" s="91"/>
      <c r="M2054" s="91"/>
      <c r="N2054" s="91"/>
    </row>
    <row r="2055" ht="15.75" hidden="1" customHeight="1">
      <c r="A2055" s="91"/>
      <c r="E2055" s="91"/>
      <c r="H2055" s="91"/>
      <c r="I2055" s="91"/>
      <c r="M2055" s="91"/>
      <c r="N2055" s="91"/>
    </row>
    <row r="2056" ht="15.75" hidden="1" customHeight="1">
      <c r="A2056" s="91"/>
      <c r="E2056" s="91"/>
      <c r="H2056" s="91"/>
      <c r="I2056" s="91"/>
      <c r="M2056" s="91"/>
      <c r="N2056" s="91"/>
    </row>
    <row r="2057" ht="15.75" hidden="1" customHeight="1">
      <c r="A2057" s="91"/>
      <c r="E2057" s="91"/>
      <c r="H2057" s="91"/>
      <c r="I2057" s="91"/>
      <c r="M2057" s="91"/>
      <c r="N2057" s="91"/>
    </row>
    <row r="2058" ht="15.75" hidden="1" customHeight="1">
      <c r="A2058" s="91"/>
      <c r="E2058" s="91"/>
      <c r="H2058" s="91"/>
      <c r="I2058" s="91"/>
      <c r="M2058" s="91"/>
      <c r="N2058" s="91"/>
    </row>
    <row r="2059" ht="15.75" hidden="1" customHeight="1">
      <c r="A2059" s="91"/>
      <c r="E2059" s="91"/>
      <c r="H2059" s="91"/>
      <c r="I2059" s="91"/>
      <c r="M2059" s="91"/>
      <c r="N2059" s="91"/>
    </row>
    <row r="2060" ht="15.75" hidden="1" customHeight="1">
      <c r="A2060" s="91"/>
      <c r="E2060" s="91"/>
      <c r="H2060" s="91"/>
      <c r="I2060" s="91"/>
      <c r="M2060" s="91"/>
      <c r="N2060" s="91"/>
    </row>
    <row r="2061" ht="15.75" hidden="1" customHeight="1">
      <c r="A2061" s="91"/>
      <c r="E2061" s="91"/>
      <c r="H2061" s="91"/>
      <c r="I2061" s="91"/>
      <c r="M2061" s="91"/>
      <c r="N2061" s="91"/>
    </row>
    <row r="2062" ht="15.75" hidden="1" customHeight="1">
      <c r="A2062" s="91"/>
      <c r="E2062" s="91"/>
      <c r="H2062" s="91"/>
      <c r="I2062" s="91"/>
      <c r="M2062" s="91"/>
      <c r="N2062" s="91"/>
    </row>
    <row r="2063" ht="15.75" hidden="1" customHeight="1">
      <c r="A2063" s="91"/>
      <c r="E2063" s="91"/>
      <c r="H2063" s="91"/>
      <c r="I2063" s="91"/>
      <c r="M2063" s="91"/>
      <c r="N2063" s="91"/>
    </row>
    <row r="2064" ht="15.75" hidden="1" customHeight="1">
      <c r="A2064" s="91"/>
      <c r="E2064" s="91"/>
      <c r="H2064" s="91"/>
      <c r="I2064" s="91"/>
      <c r="M2064" s="91"/>
      <c r="N2064" s="91"/>
    </row>
    <row r="2065" ht="15.75" hidden="1" customHeight="1">
      <c r="A2065" s="91"/>
      <c r="E2065" s="91"/>
      <c r="H2065" s="91"/>
      <c r="I2065" s="91"/>
      <c r="M2065" s="91"/>
      <c r="N2065" s="91"/>
    </row>
    <row r="2066" ht="15.75" hidden="1" customHeight="1">
      <c r="A2066" s="91"/>
      <c r="E2066" s="91"/>
      <c r="H2066" s="91"/>
      <c r="I2066" s="91"/>
      <c r="M2066" s="91"/>
      <c r="N2066" s="91"/>
    </row>
    <row r="2067" ht="15.75" hidden="1" customHeight="1">
      <c r="A2067" s="91"/>
      <c r="E2067" s="91"/>
      <c r="H2067" s="91"/>
      <c r="I2067" s="91"/>
      <c r="M2067" s="91"/>
      <c r="N2067" s="91"/>
    </row>
    <row r="2068" ht="15.75" hidden="1" customHeight="1">
      <c r="A2068" s="91"/>
      <c r="E2068" s="91"/>
      <c r="H2068" s="91"/>
      <c r="I2068" s="91"/>
      <c r="M2068" s="91"/>
      <c r="N2068" s="91"/>
    </row>
    <row r="2069" ht="15.75" hidden="1" customHeight="1">
      <c r="A2069" s="91"/>
      <c r="E2069" s="91"/>
      <c r="H2069" s="91"/>
      <c r="I2069" s="91"/>
      <c r="M2069" s="91"/>
      <c r="N2069" s="91"/>
    </row>
    <row r="2070" ht="15.75" hidden="1" customHeight="1">
      <c r="A2070" s="91"/>
      <c r="E2070" s="91"/>
      <c r="H2070" s="91"/>
      <c r="I2070" s="91"/>
      <c r="M2070" s="91"/>
      <c r="N2070" s="91"/>
    </row>
    <row r="2071" ht="15.75" hidden="1" customHeight="1">
      <c r="A2071" s="91"/>
      <c r="E2071" s="91"/>
      <c r="H2071" s="91"/>
      <c r="I2071" s="91"/>
      <c r="M2071" s="91"/>
      <c r="N2071" s="91"/>
    </row>
    <row r="2072" ht="15.75" hidden="1" customHeight="1">
      <c r="A2072" s="91"/>
      <c r="E2072" s="91"/>
      <c r="H2072" s="91"/>
      <c r="I2072" s="91"/>
      <c r="M2072" s="91"/>
      <c r="N2072" s="91"/>
    </row>
    <row r="2073" ht="15.75" hidden="1" customHeight="1">
      <c r="A2073" s="91"/>
      <c r="E2073" s="91"/>
      <c r="H2073" s="91"/>
      <c r="I2073" s="91"/>
      <c r="M2073" s="91"/>
      <c r="N2073" s="91"/>
    </row>
    <row r="2074" ht="15.75" hidden="1" customHeight="1">
      <c r="A2074" s="91"/>
      <c r="E2074" s="91"/>
      <c r="H2074" s="91"/>
      <c r="I2074" s="91"/>
      <c r="M2074" s="91"/>
      <c r="N2074" s="91"/>
    </row>
    <row r="2075" ht="15.75" hidden="1" customHeight="1">
      <c r="A2075" s="91"/>
      <c r="E2075" s="91"/>
      <c r="H2075" s="91"/>
      <c r="I2075" s="91"/>
      <c r="M2075" s="91"/>
      <c r="N2075" s="91"/>
    </row>
    <row r="2076" ht="15.75" hidden="1" customHeight="1">
      <c r="A2076" s="91"/>
      <c r="E2076" s="91"/>
      <c r="H2076" s="91"/>
      <c r="I2076" s="91"/>
      <c r="M2076" s="91"/>
      <c r="N2076" s="91"/>
    </row>
    <row r="2077" ht="15.75" hidden="1" customHeight="1">
      <c r="A2077" s="91"/>
      <c r="E2077" s="91"/>
      <c r="H2077" s="91"/>
      <c r="I2077" s="91"/>
      <c r="M2077" s="91"/>
      <c r="N2077" s="91"/>
    </row>
    <row r="2078" ht="15.75" hidden="1" customHeight="1">
      <c r="A2078" s="91"/>
      <c r="E2078" s="91"/>
      <c r="H2078" s="91"/>
      <c r="I2078" s="91"/>
      <c r="M2078" s="91"/>
      <c r="N2078" s="91"/>
    </row>
    <row r="2079" ht="15.75" hidden="1" customHeight="1">
      <c r="A2079" s="91"/>
      <c r="E2079" s="91"/>
      <c r="H2079" s="91"/>
      <c r="I2079" s="91"/>
      <c r="M2079" s="91"/>
      <c r="N2079" s="91"/>
    </row>
    <row r="2080" ht="15.75" hidden="1" customHeight="1">
      <c r="A2080" s="91"/>
      <c r="E2080" s="91"/>
      <c r="H2080" s="91"/>
      <c r="I2080" s="91"/>
      <c r="M2080" s="91"/>
      <c r="N2080" s="91"/>
    </row>
    <row r="2081" ht="15.75" hidden="1" customHeight="1">
      <c r="A2081" s="91"/>
      <c r="E2081" s="91"/>
      <c r="H2081" s="91"/>
      <c r="I2081" s="91"/>
      <c r="M2081" s="91"/>
      <c r="N2081" s="91"/>
    </row>
    <row r="2082" ht="15.75" hidden="1" customHeight="1">
      <c r="A2082" s="91"/>
      <c r="E2082" s="91"/>
      <c r="H2082" s="91"/>
      <c r="I2082" s="91"/>
      <c r="M2082" s="91"/>
      <c r="N2082" s="91"/>
    </row>
    <row r="2083" ht="15.75" hidden="1" customHeight="1">
      <c r="A2083" s="91"/>
      <c r="E2083" s="91"/>
      <c r="H2083" s="91"/>
      <c r="I2083" s="91"/>
      <c r="M2083" s="91"/>
      <c r="N2083" s="91"/>
    </row>
    <row r="2084" ht="15.75" hidden="1" customHeight="1">
      <c r="A2084" s="91"/>
      <c r="E2084" s="91"/>
      <c r="H2084" s="91"/>
      <c r="I2084" s="91"/>
      <c r="M2084" s="91"/>
      <c r="N2084" s="91"/>
    </row>
    <row r="2085" ht="15.75" hidden="1" customHeight="1">
      <c r="A2085" s="91"/>
      <c r="E2085" s="91"/>
      <c r="H2085" s="91"/>
      <c r="I2085" s="91"/>
      <c r="M2085" s="91"/>
      <c r="N2085" s="91"/>
    </row>
    <row r="2086" ht="15.75" hidden="1" customHeight="1">
      <c r="A2086" s="91"/>
      <c r="E2086" s="91"/>
      <c r="H2086" s="91"/>
      <c r="I2086" s="91"/>
      <c r="M2086" s="91"/>
      <c r="N2086" s="91"/>
    </row>
    <row r="2087" ht="15.75" hidden="1" customHeight="1">
      <c r="A2087" s="91"/>
      <c r="E2087" s="91"/>
      <c r="H2087" s="91"/>
      <c r="I2087" s="91"/>
      <c r="M2087" s="91"/>
      <c r="N2087" s="91"/>
    </row>
    <row r="2088" ht="15.75" hidden="1" customHeight="1">
      <c r="A2088" s="91"/>
      <c r="E2088" s="91"/>
      <c r="H2088" s="91"/>
      <c r="I2088" s="91"/>
      <c r="M2088" s="91"/>
      <c r="N2088" s="91"/>
    </row>
    <row r="2089" ht="15.75" hidden="1" customHeight="1">
      <c r="A2089" s="91"/>
      <c r="E2089" s="91"/>
      <c r="H2089" s="91"/>
      <c r="I2089" s="91"/>
      <c r="M2089" s="91"/>
      <c r="N2089" s="91"/>
    </row>
    <row r="2090" ht="15.75" hidden="1" customHeight="1">
      <c r="A2090" s="91"/>
      <c r="E2090" s="91"/>
      <c r="H2090" s="91"/>
      <c r="I2090" s="91"/>
      <c r="M2090" s="91"/>
      <c r="N2090" s="91"/>
    </row>
    <row r="2091" ht="15.75" hidden="1" customHeight="1">
      <c r="A2091" s="91"/>
      <c r="E2091" s="91"/>
      <c r="H2091" s="91"/>
      <c r="I2091" s="91"/>
      <c r="M2091" s="91"/>
      <c r="N2091" s="91"/>
    </row>
    <row r="2092" ht="15.75" hidden="1" customHeight="1">
      <c r="A2092" s="91"/>
      <c r="E2092" s="91"/>
      <c r="H2092" s="91"/>
      <c r="I2092" s="91"/>
      <c r="M2092" s="91"/>
      <c r="N2092" s="91"/>
    </row>
    <row r="2093" ht="15.75" hidden="1" customHeight="1">
      <c r="A2093" s="91"/>
      <c r="E2093" s="91"/>
      <c r="H2093" s="91"/>
      <c r="I2093" s="91"/>
      <c r="M2093" s="91"/>
      <c r="N2093" s="91"/>
    </row>
    <row r="2094" ht="15.75" hidden="1" customHeight="1">
      <c r="A2094" s="91"/>
      <c r="E2094" s="91"/>
      <c r="H2094" s="91"/>
      <c r="I2094" s="91"/>
      <c r="M2094" s="91"/>
      <c r="N2094" s="91"/>
    </row>
    <row r="2095" ht="15.75" hidden="1" customHeight="1">
      <c r="A2095" s="91"/>
      <c r="E2095" s="91"/>
      <c r="H2095" s="91"/>
      <c r="I2095" s="91"/>
      <c r="M2095" s="91"/>
      <c r="N2095" s="91"/>
    </row>
    <row r="2096" ht="15.75" hidden="1" customHeight="1">
      <c r="A2096" s="91"/>
      <c r="E2096" s="91"/>
      <c r="H2096" s="91"/>
      <c r="I2096" s="91"/>
      <c r="M2096" s="91"/>
      <c r="N2096" s="91"/>
    </row>
    <row r="2097" ht="15.75" hidden="1" customHeight="1">
      <c r="A2097" s="91"/>
      <c r="E2097" s="91"/>
      <c r="H2097" s="91"/>
      <c r="I2097" s="91"/>
      <c r="M2097" s="91"/>
      <c r="N2097" s="91"/>
    </row>
    <row r="2098" ht="15.75" hidden="1" customHeight="1">
      <c r="A2098" s="91"/>
      <c r="E2098" s="91"/>
      <c r="H2098" s="91"/>
      <c r="I2098" s="91"/>
      <c r="M2098" s="91"/>
      <c r="N2098" s="91"/>
    </row>
    <row r="2099" ht="15.75" hidden="1" customHeight="1">
      <c r="A2099" s="91"/>
      <c r="E2099" s="91"/>
      <c r="H2099" s="91"/>
      <c r="I2099" s="91"/>
      <c r="M2099" s="91"/>
      <c r="N2099" s="91"/>
    </row>
    <row r="2100" ht="15.75" hidden="1" customHeight="1">
      <c r="A2100" s="91"/>
      <c r="E2100" s="91"/>
      <c r="H2100" s="91"/>
      <c r="I2100" s="91"/>
      <c r="M2100" s="91"/>
      <c r="N2100" s="91"/>
    </row>
    <row r="2101" ht="15.75" hidden="1" customHeight="1">
      <c r="A2101" s="91"/>
      <c r="E2101" s="91"/>
      <c r="H2101" s="91"/>
      <c r="I2101" s="91"/>
      <c r="M2101" s="91"/>
      <c r="N2101" s="91"/>
    </row>
    <row r="2102" ht="15.75" hidden="1" customHeight="1">
      <c r="A2102" s="91"/>
      <c r="E2102" s="91"/>
      <c r="H2102" s="91"/>
      <c r="I2102" s="91"/>
      <c r="M2102" s="91"/>
      <c r="N2102" s="91"/>
    </row>
    <row r="2103" ht="15.75" hidden="1" customHeight="1">
      <c r="A2103" s="91"/>
      <c r="E2103" s="91"/>
      <c r="H2103" s="91"/>
      <c r="I2103" s="91"/>
      <c r="M2103" s="91"/>
      <c r="N2103" s="91"/>
    </row>
    <row r="2104" ht="15.75" hidden="1" customHeight="1">
      <c r="A2104" s="91"/>
      <c r="E2104" s="91"/>
      <c r="H2104" s="91"/>
      <c r="I2104" s="91"/>
      <c r="M2104" s="91"/>
      <c r="N2104" s="91"/>
    </row>
    <row r="2105" ht="15.75" hidden="1" customHeight="1">
      <c r="A2105" s="91"/>
      <c r="E2105" s="91"/>
      <c r="H2105" s="91"/>
      <c r="I2105" s="91"/>
      <c r="M2105" s="91"/>
      <c r="N2105" s="91"/>
    </row>
    <row r="2106" ht="15.75" hidden="1" customHeight="1">
      <c r="A2106" s="91"/>
      <c r="E2106" s="91"/>
      <c r="H2106" s="91"/>
      <c r="I2106" s="91"/>
      <c r="M2106" s="91"/>
      <c r="N2106" s="91"/>
    </row>
    <row r="2107" ht="15.75" hidden="1" customHeight="1">
      <c r="A2107" s="91"/>
      <c r="E2107" s="91"/>
      <c r="H2107" s="91"/>
      <c r="I2107" s="91"/>
      <c r="M2107" s="91"/>
      <c r="N2107" s="91"/>
    </row>
    <row r="2108" ht="15.75" hidden="1" customHeight="1">
      <c r="A2108" s="91"/>
      <c r="E2108" s="91"/>
      <c r="H2108" s="91"/>
      <c r="I2108" s="91"/>
      <c r="M2108" s="91"/>
      <c r="N2108" s="91"/>
    </row>
    <row r="2109" ht="15.75" hidden="1" customHeight="1">
      <c r="A2109" s="91"/>
      <c r="E2109" s="91"/>
      <c r="H2109" s="91"/>
      <c r="I2109" s="91"/>
      <c r="M2109" s="91"/>
      <c r="N2109" s="91"/>
    </row>
    <row r="2110" ht="15.75" hidden="1" customHeight="1">
      <c r="A2110" s="91"/>
      <c r="E2110" s="91"/>
      <c r="H2110" s="91"/>
      <c r="I2110" s="91"/>
      <c r="M2110" s="91"/>
      <c r="N2110" s="91"/>
    </row>
    <row r="2111" ht="15.75" hidden="1" customHeight="1">
      <c r="A2111" s="91"/>
      <c r="E2111" s="91"/>
      <c r="H2111" s="91"/>
      <c r="I2111" s="91"/>
      <c r="M2111" s="91"/>
      <c r="N2111" s="91"/>
    </row>
    <row r="2112" ht="15.75" hidden="1" customHeight="1">
      <c r="A2112" s="91"/>
      <c r="E2112" s="91"/>
      <c r="H2112" s="91"/>
      <c r="I2112" s="91"/>
      <c r="M2112" s="91"/>
      <c r="N2112" s="91"/>
    </row>
    <row r="2113" ht="15.75" hidden="1" customHeight="1">
      <c r="A2113" s="91"/>
      <c r="E2113" s="91"/>
      <c r="H2113" s="91"/>
      <c r="I2113" s="91"/>
      <c r="M2113" s="91"/>
      <c r="N2113" s="91"/>
    </row>
    <row r="2114" ht="15.75" hidden="1" customHeight="1">
      <c r="A2114" s="91"/>
      <c r="E2114" s="91"/>
      <c r="H2114" s="91"/>
      <c r="I2114" s="91"/>
      <c r="M2114" s="91"/>
      <c r="N2114" s="91"/>
    </row>
    <row r="2115" ht="15.75" hidden="1" customHeight="1">
      <c r="A2115" s="91"/>
      <c r="E2115" s="91"/>
      <c r="H2115" s="91"/>
      <c r="I2115" s="91"/>
      <c r="M2115" s="91"/>
      <c r="N2115" s="91"/>
    </row>
    <row r="2116" ht="15.75" hidden="1" customHeight="1">
      <c r="A2116" s="91"/>
      <c r="E2116" s="91"/>
      <c r="H2116" s="91"/>
      <c r="I2116" s="91"/>
      <c r="M2116" s="91"/>
      <c r="N2116" s="91"/>
    </row>
    <row r="2117" ht="15.75" hidden="1" customHeight="1">
      <c r="A2117" s="91"/>
      <c r="E2117" s="91"/>
      <c r="H2117" s="91"/>
      <c r="I2117" s="91"/>
      <c r="M2117" s="91"/>
      <c r="N2117" s="91"/>
    </row>
    <row r="2118" ht="15.75" hidden="1" customHeight="1">
      <c r="A2118" s="91"/>
      <c r="E2118" s="91"/>
      <c r="H2118" s="91"/>
      <c r="I2118" s="91"/>
      <c r="M2118" s="91"/>
      <c r="N2118" s="91"/>
    </row>
    <row r="2119" ht="15.75" hidden="1" customHeight="1">
      <c r="A2119" s="91"/>
      <c r="E2119" s="91"/>
      <c r="H2119" s="91"/>
      <c r="I2119" s="91"/>
      <c r="M2119" s="91"/>
      <c r="N2119" s="91"/>
    </row>
    <row r="2120" ht="15.75" hidden="1" customHeight="1">
      <c r="A2120" s="91"/>
      <c r="E2120" s="91"/>
      <c r="H2120" s="91"/>
      <c r="I2120" s="91"/>
      <c r="M2120" s="91"/>
      <c r="N2120" s="91"/>
    </row>
    <row r="2121" ht="15.75" hidden="1" customHeight="1">
      <c r="A2121" s="91"/>
      <c r="E2121" s="91"/>
      <c r="H2121" s="91"/>
      <c r="I2121" s="91"/>
      <c r="M2121" s="91"/>
      <c r="N2121" s="91"/>
    </row>
    <row r="2122" ht="15.75" hidden="1" customHeight="1">
      <c r="A2122" s="91"/>
      <c r="E2122" s="91"/>
      <c r="H2122" s="91"/>
      <c r="I2122" s="91"/>
      <c r="M2122" s="91"/>
      <c r="N2122" s="91"/>
    </row>
    <row r="2123" ht="15.75" hidden="1" customHeight="1">
      <c r="A2123" s="91"/>
      <c r="E2123" s="91"/>
      <c r="H2123" s="91"/>
      <c r="I2123" s="91"/>
      <c r="M2123" s="91"/>
      <c r="N2123" s="91"/>
    </row>
    <row r="2124" ht="15.75" hidden="1" customHeight="1">
      <c r="A2124" s="91"/>
      <c r="E2124" s="91"/>
      <c r="H2124" s="91"/>
      <c r="I2124" s="91"/>
      <c r="M2124" s="91"/>
      <c r="N2124" s="91"/>
    </row>
    <row r="2125" ht="15.75" hidden="1" customHeight="1">
      <c r="A2125" s="91"/>
      <c r="E2125" s="91"/>
      <c r="H2125" s="91"/>
      <c r="I2125" s="91"/>
      <c r="M2125" s="91"/>
      <c r="N2125" s="91"/>
    </row>
    <row r="2126" ht="15.75" hidden="1" customHeight="1">
      <c r="A2126" s="91"/>
      <c r="E2126" s="91"/>
      <c r="H2126" s="91"/>
      <c r="I2126" s="91"/>
      <c r="M2126" s="91"/>
      <c r="N2126" s="91"/>
    </row>
    <row r="2127" ht="15.75" hidden="1" customHeight="1">
      <c r="A2127" s="91"/>
      <c r="E2127" s="91"/>
      <c r="H2127" s="91"/>
      <c r="I2127" s="91"/>
      <c r="M2127" s="91"/>
      <c r="N2127" s="91"/>
    </row>
    <row r="2128" ht="15.75" hidden="1" customHeight="1">
      <c r="A2128" s="91"/>
      <c r="E2128" s="91"/>
      <c r="H2128" s="91"/>
      <c r="I2128" s="91"/>
      <c r="M2128" s="91"/>
      <c r="N2128" s="91"/>
    </row>
    <row r="2129" ht="15.75" hidden="1" customHeight="1">
      <c r="A2129" s="91"/>
      <c r="E2129" s="91"/>
      <c r="H2129" s="91"/>
      <c r="I2129" s="91"/>
      <c r="M2129" s="91"/>
      <c r="N2129" s="91"/>
    </row>
    <row r="2130" ht="15.75" hidden="1" customHeight="1">
      <c r="A2130" s="91"/>
      <c r="E2130" s="91"/>
      <c r="H2130" s="91"/>
      <c r="I2130" s="91"/>
      <c r="M2130" s="91"/>
      <c r="N2130" s="91"/>
    </row>
    <row r="2131" ht="15.75" hidden="1" customHeight="1">
      <c r="A2131" s="91"/>
      <c r="E2131" s="91"/>
      <c r="H2131" s="91"/>
      <c r="I2131" s="91"/>
      <c r="M2131" s="91"/>
      <c r="N2131" s="91"/>
    </row>
    <row r="2132" ht="15.75" hidden="1" customHeight="1">
      <c r="A2132" s="91"/>
      <c r="E2132" s="91"/>
      <c r="H2132" s="91"/>
      <c r="I2132" s="91"/>
      <c r="M2132" s="91"/>
      <c r="N2132" s="91"/>
    </row>
    <row r="2133" ht="15.75" hidden="1" customHeight="1">
      <c r="A2133" s="91"/>
      <c r="E2133" s="91"/>
      <c r="H2133" s="91"/>
      <c r="I2133" s="91"/>
      <c r="M2133" s="91"/>
      <c r="N2133" s="91"/>
    </row>
    <row r="2134" ht="15.75" hidden="1" customHeight="1">
      <c r="A2134" s="91"/>
      <c r="E2134" s="91"/>
      <c r="H2134" s="91"/>
      <c r="I2134" s="91"/>
      <c r="M2134" s="91"/>
      <c r="N2134" s="91"/>
    </row>
    <row r="2135" ht="15.75" hidden="1" customHeight="1">
      <c r="A2135" s="91"/>
      <c r="E2135" s="91"/>
      <c r="H2135" s="91"/>
      <c r="I2135" s="91"/>
      <c r="M2135" s="91"/>
      <c r="N2135" s="91"/>
    </row>
    <row r="2136" ht="15.75" hidden="1" customHeight="1">
      <c r="A2136" s="91"/>
      <c r="E2136" s="91"/>
      <c r="H2136" s="91"/>
      <c r="I2136" s="91"/>
      <c r="M2136" s="91"/>
      <c r="N2136" s="91"/>
    </row>
    <row r="2137" ht="15.75" hidden="1" customHeight="1">
      <c r="A2137" s="91"/>
      <c r="E2137" s="91"/>
      <c r="H2137" s="91"/>
      <c r="I2137" s="91"/>
      <c r="M2137" s="91"/>
      <c r="N2137" s="91"/>
    </row>
    <row r="2138" ht="15.75" hidden="1" customHeight="1">
      <c r="A2138" s="91"/>
      <c r="E2138" s="91"/>
      <c r="H2138" s="91"/>
      <c r="I2138" s="91"/>
      <c r="M2138" s="91"/>
      <c r="N2138" s="91"/>
    </row>
    <row r="2139" ht="15.75" hidden="1" customHeight="1">
      <c r="A2139" s="91"/>
      <c r="E2139" s="91"/>
      <c r="H2139" s="91"/>
      <c r="I2139" s="91"/>
      <c r="M2139" s="91"/>
      <c r="N2139" s="91"/>
    </row>
    <row r="2140" ht="15.75" hidden="1" customHeight="1">
      <c r="A2140" s="91"/>
      <c r="E2140" s="91"/>
      <c r="H2140" s="91"/>
      <c r="I2140" s="91"/>
      <c r="M2140" s="91"/>
      <c r="N2140" s="91"/>
    </row>
    <row r="2141" ht="15.75" hidden="1" customHeight="1">
      <c r="A2141" s="91"/>
      <c r="E2141" s="91"/>
      <c r="H2141" s="91"/>
      <c r="I2141" s="91"/>
      <c r="M2141" s="91"/>
      <c r="N2141" s="91"/>
    </row>
    <row r="2142" ht="15.75" hidden="1" customHeight="1">
      <c r="A2142" s="91"/>
      <c r="E2142" s="91"/>
      <c r="H2142" s="91"/>
      <c r="I2142" s="91"/>
      <c r="M2142" s="91"/>
      <c r="N2142" s="91"/>
    </row>
    <row r="2143" ht="15.75" hidden="1" customHeight="1">
      <c r="A2143" s="91"/>
      <c r="E2143" s="91"/>
      <c r="H2143" s="91"/>
      <c r="I2143" s="91"/>
      <c r="M2143" s="91"/>
      <c r="N2143" s="91"/>
    </row>
    <row r="2144" ht="15.75" hidden="1" customHeight="1">
      <c r="A2144" s="91"/>
      <c r="E2144" s="91"/>
      <c r="H2144" s="91"/>
      <c r="I2144" s="91"/>
      <c r="M2144" s="91"/>
      <c r="N2144" s="91"/>
    </row>
    <row r="2145" ht="15.75" hidden="1" customHeight="1">
      <c r="A2145" s="91"/>
      <c r="E2145" s="91"/>
      <c r="H2145" s="91"/>
      <c r="I2145" s="91"/>
      <c r="M2145" s="91"/>
      <c r="N2145" s="91"/>
    </row>
    <row r="2146" ht="15.75" hidden="1" customHeight="1">
      <c r="A2146" s="91"/>
      <c r="E2146" s="91"/>
      <c r="H2146" s="91"/>
      <c r="I2146" s="91"/>
      <c r="M2146" s="91"/>
      <c r="N2146" s="91"/>
    </row>
    <row r="2147" ht="15.75" hidden="1" customHeight="1">
      <c r="A2147" s="91"/>
      <c r="E2147" s="91"/>
      <c r="H2147" s="91"/>
      <c r="I2147" s="91"/>
      <c r="M2147" s="91"/>
      <c r="N2147" s="91"/>
    </row>
    <row r="2148" ht="15.75" hidden="1" customHeight="1">
      <c r="A2148" s="91"/>
      <c r="E2148" s="91"/>
      <c r="H2148" s="91"/>
      <c r="I2148" s="91"/>
      <c r="M2148" s="91"/>
      <c r="N2148" s="91"/>
    </row>
    <row r="2149" ht="15.75" hidden="1" customHeight="1">
      <c r="A2149" s="91"/>
      <c r="E2149" s="91"/>
      <c r="H2149" s="91"/>
      <c r="I2149" s="91"/>
      <c r="M2149" s="91"/>
      <c r="N2149" s="91"/>
    </row>
    <row r="2150" ht="15.75" hidden="1" customHeight="1">
      <c r="A2150" s="91"/>
      <c r="E2150" s="91"/>
      <c r="H2150" s="91"/>
      <c r="I2150" s="91"/>
      <c r="M2150" s="91"/>
      <c r="N2150" s="91"/>
    </row>
    <row r="2151" ht="15.75" hidden="1" customHeight="1">
      <c r="A2151" s="91"/>
      <c r="E2151" s="91"/>
      <c r="H2151" s="91"/>
      <c r="I2151" s="91"/>
      <c r="M2151" s="91"/>
      <c r="N2151" s="91"/>
    </row>
    <row r="2152" ht="15.75" hidden="1" customHeight="1">
      <c r="A2152" s="91"/>
      <c r="E2152" s="91"/>
      <c r="H2152" s="91"/>
      <c r="I2152" s="91"/>
      <c r="M2152" s="91"/>
      <c r="N2152" s="91"/>
    </row>
    <row r="2153" ht="15.75" hidden="1" customHeight="1">
      <c r="A2153" s="91"/>
      <c r="E2153" s="91"/>
      <c r="H2153" s="91"/>
      <c r="I2153" s="91"/>
      <c r="M2153" s="91"/>
      <c r="N2153" s="91"/>
    </row>
    <row r="2154" ht="15.75" hidden="1" customHeight="1">
      <c r="A2154" s="91"/>
      <c r="E2154" s="91"/>
      <c r="H2154" s="91"/>
      <c r="I2154" s="91"/>
      <c r="M2154" s="91"/>
      <c r="N2154" s="91"/>
    </row>
    <row r="2155" ht="15.75" hidden="1" customHeight="1">
      <c r="A2155" s="91"/>
      <c r="E2155" s="91"/>
      <c r="H2155" s="91"/>
      <c r="I2155" s="91"/>
      <c r="M2155" s="91"/>
      <c r="N2155" s="91"/>
    </row>
    <row r="2156" ht="15.75" hidden="1" customHeight="1">
      <c r="A2156" s="91"/>
      <c r="E2156" s="91"/>
      <c r="H2156" s="91"/>
      <c r="I2156" s="91"/>
      <c r="M2156" s="91"/>
      <c r="N2156" s="91"/>
    </row>
    <row r="2157" ht="15.75" hidden="1" customHeight="1">
      <c r="A2157" s="91"/>
      <c r="E2157" s="91"/>
      <c r="H2157" s="91"/>
      <c r="I2157" s="91"/>
      <c r="M2157" s="91"/>
      <c r="N2157" s="91"/>
    </row>
    <row r="2158" ht="15.75" hidden="1" customHeight="1">
      <c r="A2158" s="91"/>
      <c r="E2158" s="91"/>
      <c r="H2158" s="91"/>
      <c r="I2158" s="91"/>
      <c r="M2158" s="91"/>
      <c r="N2158" s="91"/>
    </row>
    <row r="2159" ht="15.75" hidden="1" customHeight="1">
      <c r="A2159" s="91"/>
      <c r="E2159" s="91"/>
      <c r="H2159" s="91"/>
      <c r="I2159" s="91"/>
      <c r="M2159" s="91"/>
      <c r="N2159" s="91"/>
    </row>
    <row r="2160" ht="15.75" hidden="1" customHeight="1">
      <c r="A2160" s="91"/>
      <c r="E2160" s="91"/>
      <c r="H2160" s="91"/>
      <c r="I2160" s="91"/>
      <c r="M2160" s="91"/>
      <c r="N2160" s="91"/>
    </row>
    <row r="2161" ht="15.75" hidden="1" customHeight="1">
      <c r="A2161" s="91"/>
      <c r="E2161" s="91"/>
      <c r="H2161" s="91"/>
      <c r="I2161" s="91"/>
      <c r="M2161" s="91"/>
      <c r="N2161" s="91"/>
    </row>
    <row r="2162" ht="15.75" hidden="1" customHeight="1">
      <c r="A2162" s="91"/>
      <c r="E2162" s="91"/>
      <c r="H2162" s="91"/>
      <c r="I2162" s="91"/>
      <c r="M2162" s="91"/>
      <c r="N2162" s="91"/>
    </row>
    <row r="2163" ht="15.75" hidden="1" customHeight="1">
      <c r="A2163" s="91"/>
      <c r="E2163" s="91"/>
      <c r="H2163" s="91"/>
      <c r="I2163" s="91"/>
      <c r="M2163" s="91"/>
      <c r="N2163" s="91"/>
    </row>
    <row r="2164" ht="15.75" hidden="1" customHeight="1">
      <c r="A2164" s="91"/>
      <c r="E2164" s="91"/>
      <c r="H2164" s="91"/>
      <c r="I2164" s="91"/>
      <c r="M2164" s="91"/>
      <c r="N2164" s="91"/>
    </row>
    <row r="2165" ht="15.75" hidden="1" customHeight="1">
      <c r="A2165" s="91"/>
      <c r="E2165" s="91"/>
      <c r="H2165" s="91"/>
      <c r="I2165" s="91"/>
      <c r="M2165" s="91"/>
      <c r="N2165" s="91"/>
    </row>
    <row r="2166" ht="15.75" hidden="1" customHeight="1">
      <c r="A2166" s="91"/>
      <c r="E2166" s="91"/>
      <c r="H2166" s="91"/>
      <c r="I2166" s="91"/>
      <c r="M2166" s="91"/>
      <c r="N2166" s="91"/>
    </row>
    <row r="2167" ht="15.75" hidden="1" customHeight="1">
      <c r="A2167" s="91"/>
      <c r="E2167" s="91"/>
      <c r="H2167" s="91"/>
      <c r="I2167" s="91"/>
      <c r="M2167" s="91"/>
      <c r="N2167" s="91"/>
    </row>
    <row r="2168" ht="15.75" hidden="1" customHeight="1">
      <c r="A2168" s="91"/>
      <c r="E2168" s="91"/>
      <c r="H2168" s="91"/>
      <c r="I2168" s="91"/>
      <c r="M2168" s="91"/>
      <c r="N2168" s="91"/>
    </row>
    <row r="2169" ht="15.75" hidden="1" customHeight="1">
      <c r="A2169" s="91"/>
      <c r="E2169" s="91"/>
      <c r="H2169" s="91"/>
      <c r="I2169" s="91"/>
      <c r="M2169" s="91"/>
      <c r="N2169" s="91"/>
    </row>
    <row r="2170" ht="15.75" hidden="1" customHeight="1">
      <c r="A2170" s="91"/>
      <c r="E2170" s="91"/>
      <c r="H2170" s="91"/>
      <c r="I2170" s="91"/>
      <c r="M2170" s="91"/>
      <c r="N2170" s="91"/>
    </row>
    <row r="2171" ht="15.75" hidden="1" customHeight="1">
      <c r="A2171" s="91"/>
      <c r="E2171" s="91"/>
      <c r="H2171" s="91"/>
      <c r="I2171" s="91"/>
      <c r="M2171" s="91"/>
      <c r="N2171" s="91"/>
    </row>
    <row r="2172" ht="15.75" hidden="1" customHeight="1">
      <c r="A2172" s="91"/>
      <c r="E2172" s="91"/>
      <c r="H2172" s="91"/>
      <c r="I2172" s="91"/>
      <c r="M2172" s="91"/>
      <c r="N2172" s="91"/>
    </row>
    <row r="2173" ht="15.75" hidden="1" customHeight="1">
      <c r="A2173" s="91"/>
      <c r="E2173" s="91"/>
      <c r="H2173" s="91"/>
      <c r="I2173" s="91"/>
      <c r="M2173" s="91"/>
      <c r="N2173" s="91"/>
    </row>
    <row r="2174" ht="15.75" hidden="1" customHeight="1">
      <c r="A2174" s="91"/>
      <c r="E2174" s="91"/>
      <c r="H2174" s="91"/>
      <c r="I2174" s="91"/>
      <c r="M2174" s="91"/>
      <c r="N2174" s="91"/>
    </row>
    <row r="2175" ht="15.75" hidden="1" customHeight="1">
      <c r="A2175" s="91"/>
      <c r="E2175" s="91"/>
      <c r="H2175" s="91"/>
      <c r="I2175" s="91"/>
      <c r="M2175" s="91"/>
      <c r="N2175" s="91"/>
    </row>
    <row r="2176" ht="15.75" hidden="1" customHeight="1">
      <c r="A2176" s="91"/>
      <c r="E2176" s="91"/>
      <c r="H2176" s="91"/>
      <c r="I2176" s="91"/>
      <c r="M2176" s="91"/>
      <c r="N2176" s="91"/>
    </row>
    <row r="2177" ht="15.75" hidden="1" customHeight="1">
      <c r="A2177" s="91"/>
      <c r="E2177" s="91"/>
      <c r="H2177" s="91"/>
      <c r="I2177" s="91"/>
      <c r="M2177" s="91"/>
      <c r="N2177" s="91"/>
    </row>
    <row r="2178" ht="15.75" hidden="1" customHeight="1">
      <c r="A2178" s="91"/>
      <c r="E2178" s="91"/>
      <c r="H2178" s="91"/>
      <c r="I2178" s="91"/>
      <c r="M2178" s="91"/>
      <c r="N2178" s="91"/>
    </row>
    <row r="2179" ht="15.75" hidden="1" customHeight="1">
      <c r="A2179" s="91"/>
      <c r="E2179" s="91"/>
      <c r="H2179" s="91"/>
      <c r="I2179" s="91"/>
      <c r="M2179" s="91"/>
      <c r="N2179" s="91"/>
    </row>
    <row r="2180" ht="15.75" hidden="1" customHeight="1">
      <c r="A2180" s="91"/>
      <c r="E2180" s="91"/>
      <c r="H2180" s="91"/>
      <c r="I2180" s="91"/>
      <c r="M2180" s="91"/>
      <c r="N2180" s="91"/>
    </row>
    <row r="2181" ht="15.75" hidden="1" customHeight="1">
      <c r="A2181" s="91"/>
      <c r="E2181" s="91"/>
      <c r="H2181" s="91"/>
      <c r="I2181" s="91"/>
      <c r="M2181" s="91"/>
      <c r="N2181" s="91"/>
    </row>
    <row r="2182" ht="15.75" hidden="1" customHeight="1">
      <c r="A2182" s="91"/>
      <c r="E2182" s="91"/>
      <c r="H2182" s="91"/>
      <c r="I2182" s="91"/>
      <c r="M2182" s="91"/>
      <c r="N2182" s="91"/>
    </row>
    <row r="2183" ht="15.75" hidden="1" customHeight="1">
      <c r="A2183" s="91"/>
      <c r="E2183" s="91"/>
      <c r="H2183" s="91"/>
      <c r="I2183" s="91"/>
      <c r="M2183" s="91"/>
      <c r="N2183" s="91"/>
    </row>
    <row r="2184" ht="15.75" hidden="1" customHeight="1">
      <c r="A2184" s="91"/>
      <c r="E2184" s="91"/>
      <c r="H2184" s="91"/>
      <c r="I2184" s="91"/>
      <c r="M2184" s="91"/>
      <c r="N2184" s="91"/>
    </row>
    <row r="2185" ht="15.75" hidden="1" customHeight="1">
      <c r="A2185" s="91"/>
      <c r="E2185" s="91"/>
      <c r="H2185" s="91"/>
      <c r="I2185" s="91"/>
      <c r="M2185" s="91"/>
      <c r="N2185" s="91"/>
    </row>
    <row r="2186" ht="15.75" hidden="1" customHeight="1">
      <c r="A2186" s="91"/>
      <c r="E2186" s="91"/>
      <c r="H2186" s="91"/>
      <c r="I2186" s="91"/>
      <c r="M2186" s="91"/>
      <c r="N2186" s="91"/>
    </row>
    <row r="2187" ht="15.75" hidden="1" customHeight="1">
      <c r="A2187" s="91"/>
      <c r="E2187" s="91"/>
      <c r="H2187" s="91"/>
      <c r="I2187" s="91"/>
      <c r="M2187" s="91"/>
      <c r="N2187" s="91"/>
    </row>
    <row r="2188" ht="15.75" hidden="1" customHeight="1">
      <c r="A2188" s="91"/>
      <c r="E2188" s="91"/>
      <c r="H2188" s="91"/>
      <c r="I2188" s="91"/>
      <c r="M2188" s="91"/>
      <c r="N2188" s="91"/>
    </row>
    <row r="2189" ht="15.75" hidden="1" customHeight="1">
      <c r="A2189" s="91"/>
      <c r="E2189" s="91"/>
      <c r="H2189" s="91"/>
      <c r="I2189" s="91"/>
      <c r="M2189" s="91"/>
      <c r="N2189" s="91"/>
    </row>
    <row r="2190" ht="15.75" hidden="1" customHeight="1">
      <c r="A2190" s="91"/>
      <c r="E2190" s="91"/>
      <c r="H2190" s="91"/>
      <c r="I2190" s="91"/>
      <c r="M2190" s="91"/>
      <c r="N2190" s="91"/>
    </row>
    <row r="2191" ht="15.75" hidden="1" customHeight="1">
      <c r="A2191" s="91"/>
      <c r="E2191" s="91"/>
      <c r="H2191" s="91"/>
      <c r="I2191" s="91"/>
      <c r="M2191" s="91"/>
      <c r="N2191" s="91"/>
    </row>
    <row r="2192" ht="15.75" hidden="1" customHeight="1">
      <c r="A2192" s="91"/>
      <c r="E2192" s="91"/>
      <c r="H2192" s="91"/>
      <c r="I2192" s="91"/>
      <c r="M2192" s="91"/>
      <c r="N2192" s="91"/>
    </row>
    <row r="2193" ht="15.75" hidden="1" customHeight="1">
      <c r="A2193" s="91"/>
      <c r="E2193" s="91"/>
      <c r="H2193" s="91"/>
      <c r="I2193" s="91"/>
      <c r="M2193" s="91"/>
      <c r="N2193" s="91"/>
    </row>
    <row r="2194" ht="15.75" hidden="1" customHeight="1">
      <c r="A2194" s="91"/>
      <c r="E2194" s="91"/>
      <c r="H2194" s="91"/>
      <c r="I2194" s="91"/>
      <c r="M2194" s="91"/>
      <c r="N2194" s="91"/>
    </row>
    <row r="2195" ht="15.75" hidden="1" customHeight="1">
      <c r="A2195" s="91"/>
      <c r="E2195" s="91"/>
      <c r="H2195" s="91"/>
      <c r="I2195" s="91"/>
      <c r="M2195" s="91"/>
      <c r="N2195" s="91"/>
    </row>
    <row r="2196" ht="15.75" hidden="1" customHeight="1">
      <c r="A2196" s="91"/>
      <c r="E2196" s="91"/>
      <c r="H2196" s="91"/>
      <c r="I2196" s="91"/>
      <c r="M2196" s="91"/>
      <c r="N2196" s="91"/>
    </row>
    <row r="2197" ht="15.75" hidden="1" customHeight="1">
      <c r="A2197" s="91"/>
      <c r="E2197" s="91"/>
      <c r="H2197" s="91"/>
      <c r="I2197" s="91"/>
      <c r="M2197" s="91"/>
      <c r="N2197" s="91"/>
    </row>
    <row r="2198" ht="15.75" hidden="1" customHeight="1">
      <c r="A2198" s="91"/>
      <c r="E2198" s="91"/>
      <c r="H2198" s="91"/>
      <c r="I2198" s="91"/>
      <c r="M2198" s="91"/>
      <c r="N2198" s="91"/>
    </row>
    <row r="2199" ht="15.75" hidden="1" customHeight="1">
      <c r="A2199" s="91"/>
      <c r="E2199" s="91"/>
      <c r="H2199" s="91"/>
      <c r="I2199" s="91"/>
      <c r="M2199" s="91"/>
      <c r="N2199" s="91"/>
    </row>
    <row r="2200" ht="15.75" hidden="1" customHeight="1">
      <c r="A2200" s="91"/>
      <c r="E2200" s="91"/>
      <c r="H2200" s="91"/>
      <c r="I2200" s="91"/>
      <c r="M2200" s="91"/>
      <c r="N2200" s="91"/>
    </row>
    <row r="2201" ht="15.75" hidden="1" customHeight="1">
      <c r="A2201" s="91"/>
      <c r="E2201" s="91"/>
      <c r="H2201" s="91"/>
      <c r="I2201" s="91"/>
      <c r="M2201" s="91"/>
      <c r="N2201" s="91"/>
    </row>
    <row r="2202" ht="15.75" hidden="1" customHeight="1">
      <c r="A2202" s="91"/>
      <c r="E2202" s="91"/>
      <c r="H2202" s="91"/>
      <c r="I2202" s="91"/>
      <c r="M2202" s="91"/>
      <c r="N2202" s="91"/>
    </row>
    <row r="2203" ht="15.75" hidden="1" customHeight="1">
      <c r="A2203" s="91"/>
      <c r="E2203" s="91"/>
      <c r="H2203" s="91"/>
      <c r="I2203" s="91"/>
      <c r="M2203" s="91"/>
      <c r="N2203" s="91"/>
    </row>
    <row r="2204" ht="15.75" hidden="1" customHeight="1">
      <c r="A2204" s="91"/>
      <c r="E2204" s="91"/>
      <c r="H2204" s="91"/>
      <c r="I2204" s="91"/>
      <c r="M2204" s="91"/>
      <c r="N2204" s="91"/>
    </row>
    <row r="2205" ht="15.75" hidden="1" customHeight="1">
      <c r="A2205" s="91"/>
      <c r="E2205" s="91"/>
      <c r="H2205" s="91"/>
      <c r="I2205" s="91"/>
      <c r="M2205" s="91"/>
      <c r="N2205" s="91"/>
    </row>
  </sheetData>
  <autoFilter ref="$A$1:$AJ$2205">
    <filterColumn colId="6">
      <filters>
        <filter val="Laurent BOREL"/>
        <filter val="Anna Ziane"/>
        <filter val="Benjamin MEGIE"/>
        <filter val="Olivier Buchy"/>
        <filter val="Insung KWON"/>
        <filter val="Pierre Palisson"/>
        <filter val="Emmanuelle/Ksenia/Jean Paul"/>
        <filter val="Stanislas Gourévitch"/>
        <filter val="Charlotte ASTRE"/>
        <filter val="Laurent Borel"/>
        <filter val="Sonia ABBOU"/>
        <filter val="Mathilde Morel"/>
        <filter val="Ibrahim illiassou"/>
        <filter val="Yohan KOEHLER"/>
        <filter val="Kevin choinet"/>
        <filter val="Davide Duina"/>
        <filter val="Adil GHAZAOUI DIDI"/>
        <filter val="Thibaud HERGOT"/>
        <filter val="Antoine Delpech"/>
        <filter val="Melanie Meng Eliott Lujan Abderrahmane Abdallahoum"/>
        <filter val="Pauline MINARY"/>
        <filter val="Kelly Chomeau / Molka Saibi"/>
        <filter val="Florian Girard"/>
        <filter val="Nicolas Doré"/>
        <filter val="Théo Caviale"/>
        <filter val="Eva Corba / Lucien Mouret"/>
        <filter val="Patrice Chaperon"/>
        <filter val="Ludovic Hazart"/>
        <filter val="Nicolas geiger"/>
        <filter val="Imene SEDIRI"/>
        <filter val="Priscilla MORIENNE"/>
        <filter val="Junjie YOU"/>
        <filter val="Laurent Dimatera"/>
        <filter val="Gilles Lalyre / Johana PAZ / Margaux Chenard"/>
        <filter val="Mehdi Oueslati"/>
        <filter val="Abderrahmane Abdallahoum"/>
        <filter val="Caroline Laurencin"/>
        <filter val="Laetitia Sebaoun"/>
        <filter val="Andy Ladjadj"/>
        <filter val="Daria Starodubova"/>
        <filter val="Aline NOYELLE BECERRA"/>
        <filter val="Clement Delpech"/>
        <filter val="Priscilla Morienne"/>
        <filter val="Paul Etienne"/>
        <filter val="Gilles Lalyre"/>
        <filter val="Jérémy Le Bris"/>
        <filter val="Mohammed Laguel"/>
        <filter val="Zineb Clauzel"/>
        <filter val="Jean Paul/Cléo"/>
        <filter val="Youness Nadir"/>
        <filter val="Wilfrid LANCELLE"/>
        <filter val="Lydie LEVENT"/>
        <filter val="Alix BERLOTY"/>
        <filter val="Stéphane Boucher"/>
        <filter val="Cecile Polard"/>
        <filter val="Feycal Bengana"/>
        <filter val="Julien Rongione"/>
        <filter val="Anaïse Blanchet"/>
        <filter val="Abderrahmane Abdallahoum Gilles Lalyre"/>
        <filter val="Anais Langlet"/>
        <filter val="Frédéric Prost"/>
        <filter val="Chloé Lasserre"/>
        <filter val="Jonathan Lubin"/>
        <filter val="Yohan Koehler"/>
        <filter val="Caroline Lor/Romain Murail"/>
        <filter val="Ludovic Vielle"/>
        <filter val="Julia LANGLOIS"/>
        <filter val="Brahim Boukhriss"/>
        <filter val="Alicia"/>
        <filter val="Yohan/Jérémy"/>
        <filter val="Lydie Levent"/>
        <filter val="Florine Moutoussamy"/>
        <filter val="Cléo Ngokoudi"/>
        <filter val="Mélanie Armand Madec/Meriem"/>
        <filter val="Paul Etienne/Jérémy SMADJA"/>
        <filter val="All"/>
        <filter val="Paul Etienne/&#10;Jérémy SMADJA"/>
        <filter val="Carine Rinaldi"/>
        <filter val="Georges Antoine SALAS"/>
        <filter val="Jérémy Smadja"/>
        <filter val="Léo Babut"/>
        <filter val="Anaïs Langlet"/>
        <filter val="Alicia Cosme"/>
        <filter val="Romain Saillant / Axel Goncalves / Whitney Nerestan / Gildas Salün"/>
        <filter val="Anaise Blanchet"/>
        <filter val="Maximilian KESSELRING"/>
        <filter val="Lisa TRONCIN"/>
        <filter val="Swann  Benauw"/>
        <filter val="Elisa"/>
        <filter val="franck pantel"/>
        <filter val="Fiona VASSAUX-BOURGES Sophie GOHIER"/>
        <filter val="Juliette Patry"/>
        <filter val="Paul Dennetiere"/>
        <filter val="Lisa ASSANTO"/>
        <filter val="Youness NADIR Pauline MINARY"/>
        <filter val="Pauline Minary"/>
        <filter val="Caroline Laurencin &amp; Lucie Praver"/>
        <filter val="Clara"/>
        <filter val="Elodie Dixmier"/>
        <filter val="Vincent Demeules"/>
        <filter val="Juliette PATRY"/>
        <filter val="Florent Jouanneau"/>
        <filter val="Sara Tabi"/>
        <filter val="Fabrice Barbé"/>
        <filter val="Céline To Jean-Eudes Peloye"/>
        <filter val="Sarah awadi / Elodie anne duc"/>
        <filter val="Paul Drappier / Alexis Destrez"/>
        <filter val="Romain Saillant"/>
        <filter val="Pierre Abi-Aad Andy Ladjadj"/>
        <filter val="Molka Saibi"/>
        <filter val="Jean Ricardo Aurore CUEFF(Jérémy Smadja)"/>
        <filter val="A déterminer côté Trade"/>
        <filter val="Caroline LAURENCIN"/>
        <filter val="Virginie RUDELLE"/>
        <filter val="Odile Perrin"/>
        <filter val="Céline To"/>
        <filter val="Quentin Michalik"/>
        <filter val="Patrice CHAPERON"/>
        <filter val="Caroline LAURENCIN &#10;(Jérémy Smadja)"/>
        <filter val="Franck Pantel / Nicolas Desplobins"/>
        <filter val="Jacky Thoumin"/>
        <filter val="Andreas Cayla"/>
        <filter val="Valentin Le Marec"/>
        <filter val="Aurore CUEFF"/>
        <filter val="France Lila &amp; Juliette (RS)"/>
        <filter val="Patrice Chaperon/ Saadi Kaci"/>
        <filter val="Carine RINALDI"/>
        <filter val="Elodie BAUDIN"/>
        <filter val="Lucie Praver"/>
      </filters>
    </filterColumn>
    <filterColumn colId="0">
      <filters blank="1">
        <filter val="Immobilier"/>
      </filters>
    </filterColumn>
  </autoFilter>
  <customSheetViews>
    <customSheetView guid="{E458BEEB-4898-4FC3-AD91-A259015CC21E}" filter="1" showAutoFilter="1">
      <autoFilter ref="$A$1:$AI$574">
        <filterColumn colId="0">
          <filters>
            <filter val="Pro BDC"/>
            <filter val="DDO"/>
          </filters>
        </filterColumn>
        <filterColumn colId="4">
          <filters blank="1">
            <filter val="Non commencé"/>
            <filter val="En cours"/>
            <filter val="Terminé - Live"/>
          </filters>
        </filterColumn>
        <sortState ref="A1:AI574">
          <sortCondition ref="E1:E574"/>
        </sortState>
      </autoFilter>
    </customSheetView>
    <customSheetView guid="{571A195B-F106-42FB-8D79-35C47D6A576A}" filter="1" showAutoFilter="1">
      <autoFilter ref="$A$1:$R$233">
        <filterColumn colId="4">
          <filters>
            <filter val="Non commencé"/>
            <filter val="En cours"/>
          </filters>
        </filterColumn>
        <filterColumn colId="0">
          <filters>
            <filter val="Automobile"/>
            <filter val="Publicité"/>
            <filter val="Finance"/>
            <filter val="Marketing/Com"/>
            <filter val="Immobilier"/>
            <filter val="DDO"/>
          </filters>
        </filterColumn>
        <filterColumn colId="8">
          <filters blank="1">
            <filter val="Moyenne"/>
          </filters>
        </filterColumn>
        <filterColumn colId="16">
          <filters>
            <filter val="Gemini ? n8n ?"/>
            <filter val="n8n ou expertise excel ?"/>
            <filter val="Snapcall"/>
            <filter val="Gemini + GPT"/>
            <filter val="Vibecoded Webapp hosted on github pages https://github.mpi-internal.com/leboncoin/ddo-call-script-generator"/>
            <filter val="Cx team"/>
            <filter val="GPT"/>
            <filter val="Custom GPT"/>
            <filter val="Rapport -&gt; non IA&#10;Aide à la rédaction des articles -&gt; ChatGPT"/>
            <filter val="Gilles"/>
            <filter val="connecteur confluence, google drive..."/>
            <filter val="ChatGPT + solution de veille ?"/>
            <filter val="Intégration Chatgpt dans Slack ?"/>
            <filter val="Data catalogue + n8n"/>
            <filter val="image"/>
            <filter val="ChatGPT/NotebookLLM"/>
            <filter val="GPT custom"/>
            <filter val="Marketing Radar"/>
            <filter val="produit spécifique ?"/>
            <filter val="Custom GPT: leboncoin spec scribe"/>
            <filter val="The Profiler"/>
            <filter val="n8n sap salesforces"/>
            <filter val="To refine"/>
            <filter val="GPT / Gemini"/>
            <filter val="callDesk"/>
            <filter val="n8n salesforce, sap..."/>
            <filter val="chatGPT"/>
            <filter val="n8n (connection bases sales force)"/>
            <filter val="notebookLM"/>
            <filter val="customGPT &quot;Marketing Radar&quot; et/ou planification tâche GPT   https://chatgpt.com/g/g-693036e29d4481a49a74953b20c6f5b7-marketing-radar"/>
            <filter val="salesforce, dev backend ?"/>
            <filter val="customgpt Marketing Radar + scheduled task&#10;https://chatgpt.com/g/g-693036e29d4481a49a74953b20c6f5b7-marketing-radar"/>
            <filter val="customgpt ou notebookLM"/>
            <filter val="ChatGPT"/>
            <filter val="https://notebooklm.google.com/notebook/2a9af11d-b4a7-4dfa-99c0-148d597c9a0b"/>
            <filter val="CustomGPT"/>
            <filter val="chatgpt"/>
            <filter val="google meet"/>
            <filter val="Prompt ds Chatgpt"/>
            <filter val="To refine et connextion avec les CRM"/>
            <filter val="Cobbaï"/>
            <filter val="gamma ? n8n ? salesforces ?"/>
            <filter val="n8n ou autre produit"/>
            <filter val="Accompagnement sur l'utilisation de NotebookLM et Nano Banana/Gemini"/>
            <filter val="n8n ou Gemini ?"/>
            <filter val="produit dédié"/>
            <filter val="Jérémy/Gilles Lalyre"/>
            <filter val="data catalogue + n8n"/>
            <filter val="customGPT"/>
            <filter val="Zendesk QA"/>
            <filter val="Chatgpt"/>
            <filter val="ChatGPT / Gemini"/>
            <filter val="Databricks"/>
            <filter val="Zendesk IA"/>
            <filter val="Notebook LM"/>
          </filters>
        </filterColumn>
      </autoFilter>
    </customSheetView>
    <customSheetView guid="{CB24BAE5-B84B-47C5-8C25-7348C2BC4F5A}" filter="1" showAutoFilter="1">
      <autoFilter ref="$A$1:$T$374">
        <filterColumn colId="0">
          <filters blank="1">
            <filter val="Pro BDC"/>
            <filter val="Immobilier"/>
          </filters>
        </filterColumn>
      </autoFilter>
    </customSheetView>
    <customSheetView guid="{E82B783D-A69D-4E46-8311-0ED1B74BD96E}" filter="1" showAutoFilter="1">
      <autoFilter ref="$A$1:$AI$233">
        <filterColumn colId="0">
          <filters>
            <filter val="RH"/>
          </filters>
        </filterColumn>
      </autoFilter>
    </customSheetView>
    <customSheetView guid="{31C5C76E-2BC3-4A33-A1BB-57B93A0FECAF}" filter="1" showAutoFilter="1">
      <autoFilter ref="$A$1:$R$233">
        <filterColumn colId="0">
          <filters>
            <filter val="Produit"/>
          </filters>
        </filterColumn>
      </autoFilter>
    </customSheetView>
    <customSheetView guid="{45CD8B79-EFE4-4A30-B4C0-3F0F68ADB52E}" filter="1" showAutoFilter="1">
      <autoFilter ref="$A$1:$AI$574"/>
    </customSheetView>
    <customSheetView guid="{4E79925A-6E25-4652-8DE7-48900B6BEFC9}" filter="1" showAutoFilter="1">
      <autoFilter ref="$A$1:$AJ$374">
        <filterColumn colId="0">
          <filters blank="1">
            <filter val="Pro BDC"/>
            <filter val="Relations clients"/>
          </filters>
        </filterColumn>
        <filterColumn colId="1">
          <filters>
            <filter val="All"/>
            <filter val="Réseaux Sociaux"/>
            <filter val="Formation x Tools"/>
            <filter val="FP&amp;A"/>
            <filter val="Biz Dev"/>
            <filter val="Mkg Trade"/>
            <filter val="Infra"/>
            <filter val="Privacy"/>
            <filter val="Trade"/>
            <filter val="Mat Pro"/>
            <filter val="Etudes"/>
            <filter val="Partenaires"/>
            <filter val="Operations"/>
            <filter val="PerfCo"/>
            <filter val="UX"/>
            <filter val="Auto et Mat pro"/>
            <filter val="Product/UX"/>
            <filter val="Guilde DS"/>
            <filter val="Payment"/>
            <filter val="Guilde QA"/>
            <filter val="RH"/>
            <filter val="Tooling and prject / Scaled Ops"/>
            <filter val="Marketing opérationel"/>
            <filter val="Mediatrading"/>
            <filter val="T&amp;T"/>
            <filter val="LBC employees"/>
            <filter val="Paie"/>
            <filter val="Produit/UX"/>
            <filter val="Strat"/>
            <filter val="DDO"/>
            <filter val="Produit"/>
            <filter val="Auto"/>
            <filter val="Sales"/>
            <filter val="Trade Marketing"/>
            <filter val="Tooling and project"/>
            <filter val="Tools"/>
            <filter val="PerfCo x Tools"/>
            <filter val="HR Admin"/>
            <filter val="Data"/>
            <filter val="TA"/>
            <filter val="Marketing / Bizdev"/>
            <filter val="New biz"/>
            <filter val="HRBP"/>
            <filter val="Formation"/>
            <filter val="Strat Produit"/>
          </filters>
        </filterColumn>
        <filterColumn colId="4">
          <filters blank="1">
            <filter val="Non commencé"/>
            <filter val="En cours"/>
          </filters>
        </filterColumn>
        <sortState ref="A1:AJ374">
          <sortCondition ref="E1:E374"/>
        </sortState>
      </autoFilter>
    </customSheetView>
    <customSheetView guid="{76305EC1-86FD-4B64-9286-BEBC70394257}" filter="1" showAutoFilter="1">
      <autoFilter ref="$A$1:$T$329">
        <filterColumn colId="6">
          <filters>
            <filter val="Laurent BOREL"/>
            <filter val="Anna Ziane"/>
            <filter val="Lisa Assanto"/>
            <filter val="Emmanuelle/Ksenia/Jean Paul"/>
            <filter val="Virginie Rudelle Baudouin Masse-Baudet"/>
            <filter val="Stanislas Gourévitch"/>
            <filter val="Baudouin"/>
            <filter val="Yohan KOEHLER"/>
            <filter val="Antoine Delpech"/>
            <filter val="Pauline MINARY"/>
            <filter val="Kelly Chomeau / Molka Saibi"/>
            <filter val="Patrice Chaperon"/>
            <filter val="Nicolas geiger"/>
            <filter val="Aline NOYELLE BECERRA"/>
            <filter val="Priscilla Morienne"/>
            <filter val="Jérémy Le Bris"/>
            <filter val="Anaïse Blanchet"/>
            <filter val="Frédéric Prost"/>
            <filter val="Jonathan Lubin"/>
            <filter val="Alicia"/>
            <filter val="Arnaud Kaimakan"/>
            <filter val="Lydie Levent"/>
            <filter val="All"/>
            <filter val="Damien manager FS"/>
            <filter val="Paul Etienne/&#10;Jérémy SMADJA"/>
            <filter val="Jeremy churchill"/>
            <filter val="Equipes Salesforce"/>
            <filter val="Virginie Rudelle / Océane Letrichez"/>
            <filter val="Anna Roche"/>
            <filter val="Baudouin Masse Baudet"/>
            <filter val="Virginie Rudelle&#10;Benjamin Santos"/>
            <filter val="Edward Foxon&#10;Baudouin Masse-Baudet&#10;Maxime Viniane"/>
            <filter val="Swann  Benauw"/>
            <filter val="Océane Letrichez"/>
            <filter val="Irice Lantheaume"/>
            <filter val="Caroline Laurencin &amp; Lucie Praver"/>
            <filter val="Benjamin Santos Rizwan Asif"/>
            <filter val="Clara"/>
            <filter val="Mathieu Paquier / Pierre Henry"/>
            <filter val="Benjamin Santos et Rizwan"/>
            <filter val="Juliette PATRY"/>
            <filter val="Florent Jouanneau"/>
            <filter val="Sara Tabi"/>
            <filter val="Sarah awadi / Elodie anne duc"/>
            <filter val="A déterminer côté Trade"/>
            <filter val="Constanza CARRILLO ROJAS"/>
            <filter val="Caroline LAURENCIN"/>
            <filter val="Virginie RUDELLE"/>
            <filter val="Odile Perrin"/>
            <filter val="Jacky Thoumin"/>
            <filter val="Andreas Cayla"/>
            <filter val="France Lila &amp; Juliette (RS)"/>
            <filter val="Carine RINALDI"/>
          </filters>
        </filterColumn>
      </autoFilter>
    </customSheetView>
    <customSheetView guid="{87EEF50E-472E-4BE6-AAA2-A8C4041273B5}" filter="1" showAutoFilter="1">
      <autoFilter ref="$A$1:$T$267">
        <filterColumn colId="6">
          <filters>
            <filter val="Laurent BOREL"/>
            <filter val="Anna Ziane"/>
            <filter val="Lisa Assanto"/>
            <filter val="Pierre Palisson"/>
            <filter val="Emmanuelle/Ksenia/Jean Paul"/>
            <filter val="Virginie Rudelle Baudouin Masse-Baudet"/>
            <filter val="Ibrahim illiassou"/>
            <filter val="Baudouin"/>
            <filter val="Kevin choinet"/>
            <filter val="Davide Duina"/>
            <filter val="Adil GHAZAOUI DIDI"/>
            <filter val="Antoine Delpech"/>
            <filter val="Melanie Meng Eliott Lujan Abderrahmane Abdallahoum"/>
            <filter val="Kelly Chomeau / Molka Saibi"/>
            <filter val="Nicolas Doré"/>
            <filter val="Théo Caviale"/>
            <filter val="Nicolas geiger"/>
            <filter val="Priscilla MORIENNE"/>
            <filter val="Laurent Dimatera"/>
            <filter val="Mehdi Oueslati"/>
            <filter val="Caroline Laurencin"/>
            <filter val="Daria Starodubova"/>
            <filter val="Aline NOYELLE BECERRA"/>
            <filter val="Priscilla Morienne"/>
            <filter val="Paul Etienne"/>
            <filter val="Jérémy Le Bris"/>
            <filter val="Mohammed Laguel"/>
            <filter val="Zineb Clauzel"/>
            <filter val="Stéphane Boucher"/>
            <filter val="Feycal Bengana"/>
            <filter val="Anaïse Blanchet"/>
            <filter val="Chloé Lasserre"/>
            <filter val="Julia LANGLOIS"/>
            <filter val="Alicia"/>
            <filter val="Arnaud Kaimakan"/>
            <filter val="Lydie Levent"/>
            <filter val="Cléo Ngokoudi"/>
            <filter val="Mélanie Armand Madec/Meriem"/>
            <filter val="Paul Etienne/Jérémy SMADJA"/>
            <filter val="Thibaut&#10;Touf Itri &#10;Charles Eric&#10;Jean Charles"/>
            <filter val="All"/>
            <filter val="Damien manager FS"/>
            <filter val="Paul Etienne/&#10;Jérémy SMADJA"/>
            <filter val="Carine Rinaldi"/>
            <filter val="Jeremy churchill"/>
            <filter val="Equipes Salesforce"/>
            <filter val="Anaïs Langlet"/>
            <filter val="Virginie Rudelle / Océane Letrichez"/>
            <filter val="Anna Roche"/>
            <filter val="Baudouin Masse Baudet"/>
            <filter val="Virginie Rudelle&#10;Benjamin Santos"/>
            <filter val="Edward Foxon&#10;Baudouin Masse-Baudet&#10;Maxime Viniane"/>
            <filter val="Swann  Benauw"/>
            <filter val="Elisa"/>
            <filter val="Juliette Patry"/>
            <filter val="Lisa ASSANTO"/>
            <filter val="Océane Letrichez"/>
            <filter val="Pauline Minary"/>
            <filter val="Irice Lantheaume"/>
            <filter val="Caroline Laurencin &amp; Lucie Praver"/>
            <filter val="Benjamin Santos Rizwan Asif"/>
            <filter val="Clara"/>
            <filter val="Mathieu Paquier / Pierre Henry"/>
            <filter val="Benjamin Santos et Rizwan"/>
            <filter val="Florent Jouanneau"/>
            <filter val="Sara Tabi"/>
            <filter val="Sarah awadi / Elodie anne duc"/>
            <filter val="Rizwan Asif"/>
            <filter val="Molka Saibi"/>
            <filter val="Jean Ricardo Aurore CUEFF(Jérémy Smadja)"/>
            <filter val="A déterminer côté Trade"/>
            <filter val="Thibaut Prat&#10;Touf Itri &#10;Charles Eric&#10;Jean Charles"/>
            <filter val="Constanza CARRILLO ROJAS"/>
            <filter val="Virginie RUDELLE"/>
            <filter val="Erwan BROUTTIER"/>
            <filter val="Odile Perrin"/>
            <filter val="Patrice CHAPERON"/>
            <filter val="Caroline LAURENCIN &#10;(Jérémy Smadja)"/>
            <filter val="Jacky Thoumin"/>
            <filter val="Andreas Cayla"/>
            <filter val="France Lila &amp; Juliette (RS)"/>
            <filter val="Patrice Chaperon/ Saadi Kaci"/>
            <filter val="Carine RINALDI"/>
          </filters>
        </filterColumn>
      </autoFilter>
    </customSheetView>
    <customSheetView guid="{FD29778D-D718-4863-ADC0-4BF7EF2A3280}" filter="1" showAutoFilter="1">
      <autoFilter ref="$A$1:$AI$233">
        <sortState ref="A1:AI233">
          <sortCondition ref="A1:A233"/>
        </sortState>
      </autoFilter>
    </customSheetView>
    <customSheetView guid="{F987C906-14BD-4072-A9D9-C37AE3079634}" filter="1" showAutoFilter="1">
      <autoFilter ref="$A$1:$S$574">
        <filterColumn colId="4">
          <filters>
            <filter val="Non commencé"/>
            <filter val="En cours"/>
          </filters>
        </filterColumn>
        <filterColumn colId="15">
          <filters blank="1">
            <filter val="Snapcall"/>
            <filter val="https://getmint.ai/&#10;pour évaluer trafic GEO et identifier requêtes"/>
            <filter val="https://chatgpt.com/g/g-69e5d8e23e0481a4bb399e47ff57baec-le-bon-presentateur"/>
            <filter val="Démo en cours (callDesk / Yelda)"/>
            <filter val="chat gpt + connecteurs à des sites externes (legifrance, sites législatifs) + drive avec documentation RH spécifique"/>
            <filter val="N8N, zendesk, open AI"/>
            <filter val="n8n / OpenAI API"/>
            <filter val="Chat gpt + templates courrier"/>
            <filter val="Claude Code / ChatGPt"/>
            <filter val="chat gpt + documentation RH associée (drive spécifique)"/>
            <filter val="En test : &#10;Notebook LM mais permet pas de modifier&#10;Gemini mais moins beau&#10;Notre outil Prezi permet aussi de l'IA"/>
            <filter val="chat gpt + Drive RH"/>
            <filter val="N8N + Chatgpt + gmail + Gsheet"/>
            <filter val="Chatgpt + plannifier une action"/>
            <filter val="n8n"/>
            <filter val="chat gpt + sales force"/>
            <filter val="Chatbot IA Zendesk"/>
            <filter val="Zendesk Quality Analytics"/>
            <filter val="Zendesk IA / Cobbai"/>
            <filter val="Notebook LM - création version vidéo / podcast !"/>
            <filter val="Chat gpt + kick off meeting"/>
            <filter val="chatGPT"/>
            <filter val="Gemini"/>
            <filter val="Mayday"/>
            <filter val="Chat gpt + drive avec ancienne JD"/>
            <filter val="claude code"/>
            <filter val="n8n / zendesk / cobbai"/>
            <filter val="ChatGPT + autre outil à définir"/>
            <filter val="Exploration à prévoir"/>
            <filter val="contractualisation en cours avec Calldesk"/>
            <filter val="N8N, Googlesheet API, (LLM model) Claude API, APIFY (web scrapping)"/>
            <filter val="Bedrock - n8n"/>
            <filter val="n8n, liteLLM, Bedrock, Slack"/>
            <filter val="Chat gpt + scorecard HM interviews"/>
            <filter val="Cobbaï"/>
            <filter val="Data BI / ChatGpt / Dev compte pour Têtes de réseau"/>
            <filter val="N8N ?"/>
            <filter val="bigQuery.&#10;chatGpt api&#10;n8n"/>
            <filter val="Chatgpt prompt"/>
            <filter val="ChatGPT 5 + N8N"/>
            <filter val="Gemini + GPT pour le CR"/>
            <filter val="- n8n (créer les scénarios et gérer les requêtes)&#10;- chatgpt en api"/>
            <filter val="Gemini 3 !&#10;(3 prompts vidéos / jour)"/>
            <filter val="Zendesk QA"/>
            <filter val="Chatgpt"/>
            <filter val="Claude Code"/>
            <filter val="Exploration à prévoir en attente de la priorisation Serenity"/>
            <filter val="Gemini ou Chatgpt"/>
            <filter val="Zendesk IA"/>
            <filter val="GPT custom Raymondo fai par Arnaud K"/>
            <filter val="Notebook LM"/>
          </filters>
        </filterColumn>
        <filterColumn colId="0">
          <filters blank="1">
            <filter val="Tech"/>
          </filters>
        </filterColumn>
        <filterColumn colId="6">
          <filters>
            <filter val="Laurent BOREL"/>
            <filter val="Anna Ziane"/>
            <filter val="Lisa Assanto"/>
            <filter val="Benjamin MEGIE"/>
            <filter val="Olivier Buchy"/>
            <filter val="Insung KWON"/>
            <filter val="Pierre Palisson"/>
            <filter val="Emmanuelle/Ksenia/Jean Paul"/>
            <filter val="Virginie Rudelle Baudouin Masse-Baudet"/>
            <filter val="Stanislas Gourévitch"/>
            <filter val="Charlotte ASTRE"/>
            <filter val="Laurent Borel"/>
            <filter val="Sonia ABBOU"/>
            <filter val="Mathilde Morel"/>
            <filter val="Ibrahim illiassou"/>
            <filter val="Baudouin"/>
            <filter val="Sophie Bourg"/>
            <filter val="Yohan KOEHLER"/>
            <filter val="Kevin choinet"/>
            <filter val="Pierre Nordmann Erwan Brouttier"/>
            <filter val="Davide Duina"/>
            <filter val="Adil GHAZAOUI DIDI"/>
            <filter val="Thibaud HERGOT"/>
            <filter val="Benjamin Santos"/>
            <filter val="Antoine Delpech"/>
            <filter val="Melanie Meng Eliott Lujan Abderrahmane Abdallahoum"/>
            <filter val="Pauline MINARY"/>
            <filter val="Kelly Chomeau / Molka Saibi"/>
            <filter val="Florian Girard"/>
            <filter val="Nicolas Doré"/>
            <filter val="Théo Caviale"/>
            <filter val="Eva Corba / Lucien Mouret"/>
            <filter val="Patrice Chaperon"/>
            <filter val="Ludovic Hazart"/>
            <filter val="Nicolas geiger"/>
            <filter val="Marc Chaperon"/>
            <filter val="Imene SEDIRI"/>
            <filter val="Priscilla MORIENNE"/>
            <filter val="Junjie YOU"/>
            <filter val="Laurent Dimatera"/>
            <filter val="Gilles Lalyre / Johana PAZ / Margaux Chenard"/>
            <filter val="Mehdi Oueslati"/>
            <filter val="Abderrahmane Abdallahoum"/>
            <filter val="Caroline Laurencin"/>
            <filter val="Laetitia Sebaoun"/>
            <filter val="Daria Starodubova"/>
            <filter val="Aline NOYELLE BECERRA"/>
            <filter val="Priscilla Morienne"/>
            <filter val="Paul Etienne"/>
            <filter val="Gilles Lalyre"/>
            <filter val="Jérémy Le Bris"/>
            <filter val="Mohammed Laguel"/>
            <filter val="Zineb Clauzel"/>
            <filter val="Jean Paul/Cléo"/>
            <filter val="Youness Nadir"/>
            <filter val="Wilfrid LANCELLE"/>
            <filter val="Lydie LEVENT"/>
            <filter val="Alix BERLOTY"/>
            <filter val="Sophie"/>
            <filter val="Stéphane Boucher"/>
            <filter val="Cecile Polard"/>
            <filter val="Feycal Bengana"/>
            <filter val="Julien Rongione"/>
            <filter val="Anaïse Blanchet"/>
            <filter val="Abderrahmane Abdallahoum Gilles Lalyre"/>
            <filter val="Anais Langlet"/>
            <filter val="Frédéric Prost"/>
            <filter val="Jonathan Lubin"/>
            <filter val="Yohan Koehler"/>
            <filter val="Caroline Lor/Romain Murail"/>
            <filter val="Julia LANGLOIS"/>
            <filter val="Brahim Boukhriss"/>
            <filter val="Alicia"/>
            <filter val="Yohan/Jérémy"/>
            <filter val="Arnaud Kaimakan"/>
            <filter val="Lydie Levent"/>
            <filter val="Florine Moutoussamy"/>
            <filter val="Cléo Ngokoudi"/>
            <filter val="Paul Etienne/Jérémy SMADJA"/>
            <filter val="Thibaut&#10;Touf Itri &#10;Charles Eric&#10;Jean Charles"/>
            <filter val="All"/>
            <filter val="Damien manager FS"/>
            <filter val="Paul Etienne/&#10;Jérémy SMADJA"/>
            <filter val="Carine Rinaldi"/>
            <filter val="Jeremy churchill"/>
            <filter val="Georges Antoine SALAS"/>
            <filter val="Equipes Salesforce"/>
            <filter val="Léo Babut"/>
            <filter val="Anaïs Langlet"/>
            <filter val="Alicia Cosme"/>
            <filter val="Virginie Rudelle / Océane Letrichez"/>
            <filter val="Virginie Rudelle"/>
            <filter val="Romain Saillant / Axel Goncalves / Whitney Nerestan / Gildas Salün"/>
            <filter val="Anna Roche"/>
            <filter val="Anaise Blanchet"/>
            <filter val="Maximilian KESSELRING"/>
            <filter val="Lisa TRONCIN"/>
            <filter val="Baudouin Masse Baudet"/>
            <filter val="Virginie Rudelle&#10;Benjamin Santos"/>
            <filter val="Edward Foxon&#10;Baudouin Masse-Baudet&#10;Maxime Viniane"/>
            <filter val="Swann  Benauw"/>
            <filter val="Elisa"/>
            <filter val="franck pantel"/>
            <filter val="Fiona VASSAUX-BOURGES Sophie GOHIER"/>
            <filter val="Juliette Patry"/>
            <filter val="Paul Dennetiere"/>
            <filter val="Lisa ASSANTO"/>
            <filter val="Youness NADIR Pauline MINARY"/>
            <filter val="Océane Letrichez"/>
            <filter val="Pauline Minary"/>
            <filter val="Irice Lantheaume"/>
            <filter val="Caroline Laurencin &amp; Lucie Praver"/>
            <filter val="Benjamin Santos Rizwan Asif"/>
            <filter val="Clara"/>
            <filter val="Elodie Dixmier"/>
            <filter val="Vincent Demeules"/>
            <filter val="Mathieu Paquier / Pierre Henry"/>
            <filter val="Benjamin Santos et Rizwan"/>
            <filter val="Juliette PATRY"/>
            <filter val="Florent Jouanneau"/>
            <filter val="Sara Tabi"/>
            <filter val="Fabrice Barbé"/>
            <filter val="Céline To Jean-Eudes Peloye"/>
            <filter val="Sarah awadi / Elodie anne duc"/>
            <filter val="Rizwan Asif"/>
            <filter val="Romain Saillant"/>
            <filter val="Pierre Abi-Aad Andy Ladjadj"/>
            <filter val="Molka Saibi"/>
            <filter val="Jean Ricardo Aurore CUEFF(Jérémy Smadja)"/>
            <filter val="A déterminer côté Trade"/>
            <filter val="Thibaut Prat&#10;Touf Itri &#10;Charles Eric&#10;Jean Charles"/>
            <filter val="Constanza CARRILLO ROJAS"/>
            <filter val="Caroline LAURENCIN"/>
            <filter val="Virginie RUDELLE"/>
            <filter val="Erwan BROUTTIER"/>
            <filter val="Odile Perrin"/>
            <filter val="Céline To"/>
            <filter val="Quentin Michalik"/>
            <filter val="Patrice CHAPERON"/>
            <filter val="Caroline LAURENCIN &#10;(Jérémy Smadja)"/>
            <filter val="Franck Pantel / Nicolas Desplobins"/>
            <filter val="Pierre Henry"/>
            <filter val="Jacky Thoumin"/>
            <filter val="Fanny"/>
            <filter val="Andreas Cayla"/>
            <filter val="Valentin Le Marec"/>
            <filter val="Aurore CUEFF"/>
            <filter val="Anne-Marie Le Goaster"/>
            <filter val="France Lila &amp; Juliette (RS)"/>
            <filter val="Patrice Chaperon/ Saadi Kaci"/>
            <filter val="Carine RINALDI"/>
            <filter val="Julie Letierce"/>
            <filter val="Elodie BAUDIN"/>
            <filter val="Mathieu Paquier"/>
            <filter val="Lucie Praver"/>
          </filters>
        </filterColumn>
      </autoFilter>
    </customSheetView>
    <customSheetView guid="{C49F5C4C-085A-4B9F-9A28-0981896F91BA}" filter="1" showAutoFilter="1">
      <autoFilter ref="$A$1:$R$233">
        <filterColumn colId="4">
          <filters>
            <filter val="Non commencé"/>
            <filter val="En cours"/>
          </filters>
        </filterColumn>
      </autoFilter>
    </customSheetView>
    <customSheetView guid="{74CDA689-A193-475C-A2D1-E9D8AD60117A}" filter="1" showAutoFilter="1">
      <autoFilter ref="$A$1:$T$415">
        <filterColumn colId="0">
          <filters>
            <filter val="RH"/>
          </filters>
        </filterColumn>
        <filterColumn colId="4">
          <filters blank="1">
            <filter val="Non commencé"/>
            <filter val="En cours"/>
          </filters>
        </filterColumn>
      </autoFilter>
    </customSheetView>
    <customSheetView guid="{B5740A73-6718-4982-BAB8-0A4FE25E2CEF}" filter="1" showAutoFilter="1">
      <autoFilter ref="$A$1:$R$233">
        <filterColumn colId="8">
          <filters blank="1"/>
        </filterColumn>
      </autoFilter>
    </customSheetView>
    <customSheetView guid="{DE6DDB10-B168-486E-B31D-0BA58CDD7742}" filter="1" showAutoFilter="1">
      <autoFilter ref="$A$1:$T$319">
        <filterColumn colId="4">
          <filters>
            <filter val="Non commencé"/>
            <filter val="En cours"/>
          </filters>
        </filterColumn>
        <filterColumn colId="16">
          <filters>
            <filter val="Gemini ? n8n ?"/>
            <filter val="to refine"/>
            <filter val="n8n ou expertise excel ?"/>
            <filter val="n8n (GDrive/MIM?)"/>
            <filter val="Vibecoded Webapp hosted on github pages https://github.mpi-internal.com/leboncoin/ddo-call-script-generator"/>
            <filter val="n8n (code) / produit ?"/>
            <filter val="Cx team"/>
            <filter val="Data catalogue + n8n"/>
            <filter val="n8n (bdd + mail)"/>
            <filter val="n8n (Gherkix access)"/>
            <filter val="n8n"/>
            <filter val="Marketing Radar"/>
            <filter val="The Profiler"/>
            <filter val="n8n (vulcan)"/>
            <filter val="n8n sap salesforces"/>
            <filter val="n8n (GDrive + Monday access)"/>
            <filter val="n8n (Slack + Gerrit + Jira + Confluence access)"/>
            <filter val="callDesk"/>
            <filter val="n8n + connecteur zendesk"/>
            <filter val="n8n salesforce, sap..."/>
            <filter val="chatGPT"/>
            <filter val="n8n (connection bases sales force)"/>
            <filter val="n8n (Gerrit access) IA vraiment necessaire ? ça ressemble à du scaffolding"/>
            <filter val="chatGPT/n8n (Confluence + Lumapp)"/>
            <filter val="customGPT &quot;Marketing Radar&quot; et/ou planification tâche GPT   https://chatgpt.com/g/g-693036e29d4481a49a74953b20c6f5b7-marketing-radar"/>
            <filter val="customgpt Marketing Radar + scheduled task&#10;https://chatgpt.com/g/g-693036e29d4481a49a74953b20c6f5b7-marketing-radar"/>
            <filter val="Google App Script"/>
            <filter val="n8n (Slack access)"/>
            <filter val="n8n, liteLLM, Bedrock, Slack (plus nécessaire quand on aura un connecteur slack dans chatGPT)"/>
            <filter val="chatGPT / Gemini"/>
            <filter val="https://notebooklm.google.com/notebook/2a9af11d-b4a7-4dfa-99c0-148d597c9a0b"/>
            <filter val="CustomGPT"/>
            <filter val="chatgpt"/>
            <filter val="n8n, liteLLM, Bedrock, Slack"/>
            <filter val="n8n (Zuul + Gerrit access)"/>
            <filter val="gamma ? n8n ? salesforces ?"/>
            <filter val="n8n (Gerrit access)"/>
            <filter val="n8n ou autre produit"/>
            <filter val="chatGPT &quot;RH Job Checker&quot;"/>
            <filter val="n8n (Slack + Backstage access)"/>
            <filter val="bigQuery.&#10;chatGpt api&#10;n8n"/>
            <filter val="n8n (Backstage + code access)"/>
            <filter val="Accompagnement sur l'utilisation de NotebookLM et Nano Banana/Gemini"/>
            <filter val="n8n ou Gemini ?"/>
            <filter val="n8n (Slack + code + infra access)"/>
            <filter val="n8n (Slack + Confluence + code/infra access)"/>
            <filter val="data catalogue + n8n"/>
            <filter val="customGPT"/>
            <filter val="Chatgpt"/>
            <filter val="Databricks"/>
            <filter val="GPT / n8n"/>
          </filters>
        </filterColumn>
      </autoFilter>
    </customSheetView>
    <customSheetView guid="{2E8EFA90-7E7B-4C69-B61B-88B01EA04FF2}" filter="1" showAutoFilter="1">
      <autoFilter ref="$A$1:$T$374">
        <filterColumn colId="0">
          <filters blank="1">
            <filter val="Pro BDC"/>
            <filter val="Marketing/Com"/>
          </filters>
        </filterColumn>
        <filterColumn colId="4">
          <filters blank="1">
            <filter val="Non commencé"/>
            <filter val="En cours"/>
          </filters>
        </filterColumn>
      </autoFilter>
    </customSheetView>
    <customSheetView guid="{18801E70-E16B-4F14-8177-02F8E0372331}" filter="1" showAutoFilter="1">
      <autoFilter ref="$A$1:$T$374"/>
    </customSheetView>
  </customSheetViews>
  <dataValidations>
    <dataValidation type="list" allowBlank="1" showErrorMessage="1" sqref="M47:N47 M52:N53 M69:M71 M72:N72 M74:N74 M75:M77 M80:M84 M145 M161:N161 M166 M187:N187 M201:N201 M238:N239 M269:N269 M321 M324:N336 M339:N340 E2:E2205 M345:N2205">
      <formula1>"Non commencé,En cours,Terminé - Live,Abandonné"</formula1>
    </dataValidation>
    <dataValidation type="list" allowBlank="1" showErrorMessage="1" sqref="Q43 H2:H132 H134:H2205">
      <formula1>"Haute,Moyenne,Basse"</formula1>
    </dataValidation>
    <dataValidation type="list" allowBlank="1" showErrorMessage="1" sqref="I2:I149 I151:I2205">
      <formula1>"Simple,Moyenne,Avancée"</formula1>
    </dataValidation>
    <dataValidation type="list" allowBlank="1" showErrorMessage="1" sqref="A2:A2205">
      <formula1>"Immobilier,Automobile,Publicité,Relations clients,Produit,Tech,Juridique,RH,Finance,Stratégie,Marketing/Com,DDO,Tous,UX,Pro BDC"</formula1>
    </dataValidation>
  </dataValidations>
  <hyperlinks>
    <hyperlink r:id="rId4" ref="G8"/>
    <hyperlink r:id="rId5" ref="G9"/>
    <hyperlink r:id="rId6" ref="G10"/>
    <hyperlink r:id="rId7" ref="G11"/>
    <hyperlink r:id="rId8" ref="G14"/>
    <hyperlink r:id="rId9" ref="G15"/>
    <hyperlink r:id="rId10" ref="G16"/>
    <hyperlink r:id="rId11" ref="G17"/>
    <hyperlink r:id="rId12" ref="O24"/>
    <hyperlink r:id="rId13" ref="O26"/>
    <hyperlink r:id="rId14" ref="G32"/>
    <hyperlink r:id="rId15" ref="G33"/>
    <hyperlink r:id="rId16" ref="G34"/>
    <hyperlink r:id="rId17" ref="G35"/>
    <hyperlink r:id="rId18" ref="G36"/>
    <hyperlink r:id="rId19" ref="G37"/>
    <hyperlink r:id="rId20" ref="G38"/>
    <hyperlink r:id="rId21" ref="G39"/>
    <hyperlink r:id="rId22" ref="G40"/>
    <hyperlink r:id="rId23" ref="G41"/>
    <hyperlink r:id="rId24" ref="G42"/>
    <hyperlink r:id="rId25" ref="F48"/>
    <hyperlink r:id="rId26" ref="G48"/>
    <hyperlink r:id="rId27" ref="G50"/>
    <hyperlink r:id="rId28" ref="G54"/>
    <hyperlink r:id="rId29" ref="G55"/>
    <hyperlink r:id="rId30" ref="G56"/>
    <hyperlink r:id="rId31" ref="G57"/>
    <hyperlink r:id="rId32" ref="G58"/>
    <hyperlink r:id="rId33" ref="G59"/>
    <hyperlink r:id="rId34" ref="G60"/>
    <hyperlink r:id="rId35" ref="G61"/>
    <hyperlink r:id="rId36" ref="G62"/>
    <hyperlink r:id="rId37" ref="G63"/>
    <hyperlink r:id="rId38" ref="G64"/>
    <hyperlink r:id="rId39" ref="F66"/>
    <hyperlink r:id="rId40" ref="G66"/>
    <hyperlink r:id="rId41" ref="Q66"/>
    <hyperlink r:id="rId42" ref="F67"/>
    <hyperlink r:id="rId43" ref="G67"/>
    <hyperlink r:id="rId44" location="heading=h.ki1xx7vlcbw" ref="L73"/>
    <hyperlink r:id="rId45" ref="F83"/>
    <hyperlink r:id="rId46" ref="F84"/>
    <hyperlink r:id="rId47" ref="F85"/>
    <hyperlink r:id="rId48" ref="G85"/>
    <hyperlink r:id="rId49" ref="F87"/>
    <hyperlink r:id="rId50" ref="F88"/>
    <hyperlink r:id="rId51" ref="R90"/>
    <hyperlink r:id="rId52" ref="Q94"/>
    <hyperlink r:id="rId53" ref="F97"/>
    <hyperlink r:id="rId54" ref="F98"/>
    <hyperlink r:id="rId55" ref="P100"/>
    <hyperlink r:id="rId56" ref="F104"/>
    <hyperlink r:id="rId57" ref="P105"/>
    <hyperlink r:id="rId58" ref="G108"/>
    <hyperlink r:id="rId59" ref="G111"/>
    <hyperlink r:id="rId60" ref="G112"/>
    <hyperlink r:id="rId61" ref="G113"/>
    <hyperlink r:id="rId62" ref="G114"/>
    <hyperlink r:id="rId63" ref="G115"/>
    <hyperlink r:id="rId64" ref="G116"/>
    <hyperlink r:id="rId65" ref="G117"/>
    <hyperlink r:id="rId66" ref="G118"/>
    <hyperlink r:id="rId67" ref="G123"/>
    <hyperlink r:id="rId68" ref="Q123"/>
    <hyperlink r:id="rId69" ref="G124"/>
    <hyperlink r:id="rId70" ref="F125"/>
    <hyperlink r:id="rId71" ref="F126"/>
    <hyperlink r:id="rId72" location="slide=id.g39f783d3921_0_0" ref="F127"/>
    <hyperlink r:id="rId73" ref="G128"/>
    <hyperlink r:id="rId74" ref="F129"/>
    <hyperlink r:id="rId75" ref="F131"/>
    <hyperlink r:id="rId76" ref="Q131"/>
    <hyperlink r:id="rId77" location="gid=487742801" ref="O133"/>
    <hyperlink r:id="rId78" ref="F134"/>
    <hyperlink r:id="rId79" ref="F135"/>
    <hyperlink r:id="rId80" ref="F136"/>
    <hyperlink r:id="rId81" ref="F137"/>
    <hyperlink r:id="rId82" ref="F138"/>
    <hyperlink r:id="rId83" ref="G138"/>
    <hyperlink r:id="rId84" ref="F139"/>
    <hyperlink r:id="rId85" ref="F140"/>
    <hyperlink r:id="rId86" ref="F149"/>
    <hyperlink r:id="rId87" ref="G163"/>
    <hyperlink r:id="rId88" ref="G165"/>
    <hyperlink r:id="rId89" ref="G166"/>
    <hyperlink r:id="rId90" ref="O166"/>
    <hyperlink r:id="rId91" ref="G168"/>
    <hyperlink r:id="rId92" ref="G171"/>
    <hyperlink r:id="rId93" ref="G174"/>
    <hyperlink r:id="rId94" ref="G175"/>
    <hyperlink r:id="rId95" ref="G177"/>
    <hyperlink r:id="rId96" ref="G179"/>
    <hyperlink r:id="rId97" ref="G181"/>
    <hyperlink r:id="rId98" ref="G182"/>
    <hyperlink r:id="rId99" ref="G184"/>
    <hyperlink r:id="rId100" ref="G185"/>
    <hyperlink r:id="rId101" ref="L185"/>
    <hyperlink r:id="rId102" ref="G186"/>
    <hyperlink r:id="rId103" ref="G187"/>
    <hyperlink r:id="rId104" ref="G188"/>
    <hyperlink r:id="rId105" ref="G190"/>
    <hyperlink r:id="rId106" ref="O190"/>
    <hyperlink r:id="rId107" ref="G191"/>
    <hyperlink r:id="rId108" ref="G192"/>
    <hyperlink r:id="rId109" ref="G193"/>
    <hyperlink r:id="rId110" ref="G194"/>
    <hyperlink r:id="rId111" ref="G196"/>
    <hyperlink r:id="rId112" ref="G197"/>
    <hyperlink r:id="rId113" ref="G198"/>
    <hyperlink r:id="rId114" ref="O198"/>
    <hyperlink r:id="rId115" ref="O199"/>
    <hyperlink r:id="rId116" ref="F200"/>
    <hyperlink r:id="rId117" ref="G200"/>
    <hyperlink r:id="rId118" ref="G201"/>
    <hyperlink r:id="rId119" ref="G202"/>
    <hyperlink r:id="rId120" ref="G205"/>
    <hyperlink r:id="rId121" ref="G206"/>
    <hyperlink r:id="rId122" ref="F207"/>
    <hyperlink r:id="rId123" ref="G207"/>
    <hyperlink r:id="rId124" ref="G209"/>
    <hyperlink r:id="rId125" ref="F223"/>
    <hyperlink r:id="rId126" location="slide=id.g3d05b199339_0_3020" ref="O223"/>
    <hyperlink r:id="rId127" ref="F224"/>
    <hyperlink r:id="rId128" ref="F225"/>
    <hyperlink r:id="rId129" ref="F226"/>
    <hyperlink r:id="rId130" ref="F227"/>
    <hyperlink r:id="rId131" ref="F228"/>
    <hyperlink r:id="rId132" ref="G229"/>
    <hyperlink r:id="rId133" ref="F230"/>
    <hyperlink r:id="rId134" ref="G231"/>
    <hyperlink r:id="rId135" ref="G232"/>
    <hyperlink r:id="rId136" ref="L233"/>
    <hyperlink r:id="rId137" ref="G235"/>
    <hyperlink r:id="rId138" ref="G236"/>
    <hyperlink r:id="rId139" ref="G237"/>
    <hyperlink r:id="rId140" ref="L239"/>
    <hyperlink r:id="rId141" ref="G242"/>
    <hyperlink r:id="rId142" ref="G244"/>
    <hyperlink r:id="rId143" ref="G246"/>
    <hyperlink r:id="rId144" ref="L247"/>
    <hyperlink r:id="rId145" ref="G248"/>
    <hyperlink r:id="rId146" ref="G249"/>
    <hyperlink r:id="rId147" ref="G250"/>
    <hyperlink r:id="rId148" ref="G251"/>
    <hyperlink r:id="rId149" ref="K252"/>
    <hyperlink r:id="rId150" ref="K253"/>
    <hyperlink r:id="rId151" ref="K254"/>
    <hyperlink r:id="rId152" ref="K255"/>
    <hyperlink r:id="rId153" ref="O260"/>
    <hyperlink r:id="rId154" ref="Q261"/>
    <hyperlink r:id="rId155" ref="O262"/>
    <hyperlink r:id="rId156" ref="O263"/>
    <hyperlink r:id="rId157" ref="D270"/>
    <hyperlink r:id="rId158" ref="F275"/>
    <hyperlink r:id="rId159" ref="O275"/>
    <hyperlink r:id="rId160" ref="O286"/>
    <hyperlink r:id="rId161" ref="O287"/>
    <hyperlink r:id="rId162" ref="F295"/>
    <hyperlink r:id="rId163" ref="G295"/>
    <hyperlink r:id="rId164" ref="F299"/>
    <hyperlink r:id="rId165" ref="O305"/>
    <hyperlink r:id="rId166" ref="F318"/>
    <hyperlink r:id="rId167" ref="F319"/>
    <hyperlink r:id="rId168" ref="G321"/>
    <hyperlink r:id="rId169" ref="O321"/>
    <hyperlink r:id="rId170" ref="F325"/>
    <hyperlink r:id="rId171" ref="F326"/>
    <hyperlink r:id="rId172" ref="F327"/>
    <hyperlink r:id="rId173" ref="F328"/>
    <hyperlink r:id="rId174" ref="F329"/>
    <hyperlink r:id="rId175" ref="F330"/>
    <hyperlink r:id="rId176" ref="F331"/>
    <hyperlink r:id="rId177" ref="F332"/>
    <hyperlink r:id="rId178" ref="F333"/>
    <hyperlink r:id="rId179" ref="F334"/>
    <hyperlink r:id="rId180" ref="F335"/>
    <hyperlink r:id="rId181" ref="F336"/>
    <hyperlink r:id="rId182" ref="G337"/>
    <hyperlink r:id="rId183" ref="F338"/>
    <hyperlink r:id="rId184" ref="Q339"/>
    <hyperlink r:id="rId185" ref="Q340"/>
    <hyperlink r:id="rId186" ref="F341"/>
    <hyperlink r:id="rId187" ref="G341"/>
    <hyperlink r:id="rId188" ref="Q341"/>
    <hyperlink r:id="rId189" ref="F342"/>
    <hyperlink r:id="rId190" ref="G342"/>
    <hyperlink r:id="rId191" ref="D353"/>
    <hyperlink r:id="rId192" ref="G356"/>
    <hyperlink r:id="rId193" ref="G357"/>
    <hyperlink r:id="rId194" ref="G358"/>
    <hyperlink r:id="rId195" ref="G359"/>
    <hyperlink r:id="rId196" ref="G360"/>
    <hyperlink r:id="rId197" ref="G361"/>
    <hyperlink r:id="rId198" ref="G362"/>
    <hyperlink r:id="rId199" ref="G363"/>
    <hyperlink r:id="rId200" ref="G370"/>
    <hyperlink r:id="rId201" ref="F371"/>
    <hyperlink r:id="rId202" ref="G371"/>
    <hyperlink r:id="rId203" ref="G372"/>
    <hyperlink r:id="rId204" ref="G373"/>
    <hyperlink r:id="rId205" ref="F374"/>
    <hyperlink r:id="rId206" ref="G374"/>
    <hyperlink r:id="rId207" ref="O374"/>
  </hyperlinks>
  <printOptions gridLines="1" horizontalCentered="1"/>
  <pageMargins bottom="0.75" footer="0.0" header="0.0" left="0.7" right="0.7" top="0.75"/>
  <pageSetup fitToHeight="0" paperSize="9" cellComments="atEnd" orientation="landscape" pageOrder="overThenDown"/>
  <drawing r:id="rId208"/>
  <legacyDrawing r:id="rId20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3.88"/>
    <col customWidth="1" min="2" max="2" width="8.63"/>
    <col customWidth="1" min="3" max="3" width="9.88"/>
    <col customWidth="1" min="4" max="4" width="14.63"/>
    <col customWidth="1" min="5" max="5" width="14.38"/>
    <col customWidth="1" min="6" max="6" width="16.13"/>
    <col customWidth="1" min="7" max="7" width="18.0"/>
  </cols>
  <sheetData>
    <row r="1" ht="15.75" customHeight="1">
      <c r="G1" s="92"/>
    </row>
    <row r="2" ht="15.75" customHeight="1">
      <c r="G2" s="93" t="s">
        <v>1565</v>
      </c>
    </row>
    <row r="3" ht="15.75" customHeight="1">
      <c r="G3" s="92"/>
    </row>
    <row r="4" ht="15.75" customHeight="1">
      <c r="G4" s="94">
        <f t="shared" ref="G4:G15" si="1">E4/F4</f>
        <v>0.6304347826</v>
      </c>
    </row>
    <row r="5" ht="15.75" customHeight="1">
      <c r="G5" s="95">
        <f t="shared" si="1"/>
        <v>0.2272727273</v>
      </c>
    </row>
    <row r="6" ht="15.75" customHeight="1">
      <c r="G6" s="95">
        <f t="shared" si="1"/>
        <v>0.1875</v>
      </c>
    </row>
    <row r="7" ht="15.75" customHeight="1">
      <c r="G7" s="94">
        <f t="shared" si="1"/>
        <v>0.4571428571</v>
      </c>
    </row>
    <row r="8" ht="15.75" customHeight="1">
      <c r="G8" s="94">
        <f t="shared" si="1"/>
        <v>0.5</v>
      </c>
    </row>
    <row r="9" ht="15.75" customHeight="1">
      <c r="G9" s="94">
        <f t="shared" si="1"/>
        <v>0.3571428571</v>
      </c>
    </row>
    <row r="10" ht="15.75" customHeight="1">
      <c r="G10" s="94">
        <f t="shared" si="1"/>
        <v>0</v>
      </c>
    </row>
    <row r="11" ht="15.75" customHeight="1">
      <c r="G11" s="94">
        <f t="shared" si="1"/>
        <v>0.46</v>
      </c>
    </row>
    <row r="12" ht="15.75" customHeight="1">
      <c r="G12" s="94">
        <f t="shared" si="1"/>
        <v>0.3684210526</v>
      </c>
    </row>
    <row r="13" ht="15.75" customHeight="1">
      <c r="G13" s="94">
        <f t="shared" si="1"/>
        <v>0.6764705882</v>
      </c>
    </row>
    <row r="14" ht="15.75" customHeight="1">
      <c r="G14" s="94">
        <f t="shared" si="1"/>
        <v>0.3333333333</v>
      </c>
    </row>
    <row r="15" ht="15.75" customHeight="1">
      <c r="G15" s="94">
        <f t="shared" si="1"/>
        <v>0.4</v>
      </c>
    </row>
    <row r="16" ht="15.75" customHeight="1">
      <c r="G16" s="94">
        <f>AVERAGE(G4:G15)</f>
        <v>0.3831431832</v>
      </c>
    </row>
    <row r="17" ht="15.75" customHeight="1">
      <c r="G17" s="92"/>
    </row>
    <row r="18" ht="15.75" customHeight="1">
      <c r="A18" s="96"/>
      <c r="B18" s="97"/>
      <c r="C18" s="97"/>
      <c r="D18" s="98"/>
      <c r="E18" s="99"/>
      <c r="G18" s="92"/>
    </row>
    <row r="19" ht="15.75" customHeight="1">
      <c r="A19" s="100" t="s">
        <v>1566</v>
      </c>
      <c r="B19" s="101" t="s">
        <v>1567</v>
      </c>
      <c r="C19" s="102"/>
      <c r="D19" s="103" t="s">
        <v>1568</v>
      </c>
      <c r="E19" s="104">
        <v>361.0</v>
      </c>
      <c r="G19" s="92"/>
    </row>
    <row r="20" ht="15.75" customHeight="1">
      <c r="A20" s="105"/>
      <c r="B20" s="106" t="s">
        <v>1569</v>
      </c>
      <c r="C20" s="107" t="s">
        <v>1570</v>
      </c>
      <c r="D20" s="108" t="s">
        <v>1571</v>
      </c>
      <c r="E20" s="109">
        <v>45.0</v>
      </c>
      <c r="G20" s="92"/>
    </row>
    <row r="21" ht="15.75" customHeight="1">
      <c r="A21" s="105"/>
      <c r="B21" s="105"/>
      <c r="C21" s="110"/>
      <c r="D21" s="111" t="s">
        <v>1572</v>
      </c>
      <c r="E21" s="112">
        <f>(E20*E19)/100</f>
        <v>162.45</v>
      </c>
      <c r="G21" s="92"/>
    </row>
    <row r="22" ht="15.75" customHeight="1">
      <c r="A22" s="105"/>
      <c r="B22" s="105"/>
      <c r="C22" s="113" t="s">
        <v>1573</v>
      </c>
      <c r="D22" s="114" t="s">
        <v>1571</v>
      </c>
      <c r="E22" s="115">
        <v>60.0</v>
      </c>
      <c r="G22" s="92"/>
    </row>
    <row r="23" ht="15.75" customHeight="1">
      <c r="A23" s="105"/>
      <c r="B23" s="110"/>
      <c r="C23" s="110"/>
      <c r="D23" s="116" t="s">
        <v>1572</v>
      </c>
      <c r="E23" s="115">
        <f>(E22*E19)/100</f>
        <v>216.6</v>
      </c>
      <c r="G23" s="92"/>
    </row>
    <row r="24" ht="15.75" customHeight="1">
      <c r="A24" s="105"/>
      <c r="B24" s="117" t="s">
        <v>1574</v>
      </c>
      <c r="C24" s="107" t="s">
        <v>1570</v>
      </c>
      <c r="D24" s="118" t="s">
        <v>1575</v>
      </c>
      <c r="E24" s="119">
        <f>E21-E17</f>
        <v>-10.55</v>
      </c>
      <c r="G24" s="92"/>
    </row>
    <row r="25" ht="15.75" customHeight="1">
      <c r="A25" s="105"/>
      <c r="B25" s="105"/>
      <c r="C25" s="110"/>
      <c r="D25" s="120" t="s">
        <v>1576</v>
      </c>
      <c r="E25" s="121">
        <f>(E17*100)/E21</f>
        <v>106.4943059</v>
      </c>
      <c r="G25" s="92"/>
    </row>
    <row r="26" ht="15.75" customHeight="1">
      <c r="A26" s="105"/>
      <c r="B26" s="105"/>
      <c r="C26" s="113" t="s">
        <v>1573</v>
      </c>
      <c r="D26" s="122" t="s">
        <v>1575</v>
      </c>
      <c r="E26" s="123">
        <f>E23-E17</f>
        <v>43.6</v>
      </c>
      <c r="G26" s="92"/>
    </row>
    <row r="27" ht="15.75" customHeight="1">
      <c r="A27" s="110"/>
      <c r="B27" s="110"/>
      <c r="C27" s="110"/>
      <c r="D27" s="114" t="s">
        <v>1571</v>
      </c>
      <c r="E27" s="124">
        <f>(E17*100)/E23</f>
        <v>79.87072946</v>
      </c>
      <c r="G27" s="92"/>
    </row>
    <row r="28" ht="15.75" customHeight="1">
      <c r="B28" s="125"/>
      <c r="C28" s="126"/>
      <c r="G28" s="92"/>
    </row>
    <row r="29" ht="15.75" customHeight="1">
      <c r="C29" s="127"/>
      <c r="G29" s="92"/>
    </row>
    <row r="30" ht="15.75" customHeight="1">
      <c r="C30" s="127"/>
      <c r="G30" s="92"/>
    </row>
    <row r="31" ht="15.75" customHeight="1">
      <c r="A31" s="125" t="s">
        <v>1577</v>
      </c>
      <c r="B31" s="128">
        <f>F16</f>
        <v>18</v>
      </c>
      <c r="C31" s="127"/>
      <c r="G31" s="92"/>
    </row>
    <row r="32" ht="15.75" customHeight="1">
      <c r="A32" s="128" t="s">
        <v>1578</v>
      </c>
      <c r="B32" s="128">
        <v>60.0</v>
      </c>
      <c r="C32" s="129"/>
      <c r="G32" s="92"/>
    </row>
    <row r="33" ht="15.75" customHeight="1">
      <c r="A33" s="128"/>
      <c r="C33" s="129"/>
      <c r="G33" s="92"/>
    </row>
    <row r="34" ht="15.75" customHeight="1">
      <c r="A34" s="128"/>
      <c r="C34" s="129"/>
      <c r="G34" s="92"/>
    </row>
    <row r="35" ht="15.75" customHeight="1">
      <c r="A35" s="128" t="s">
        <v>1579</v>
      </c>
      <c r="B35" s="128">
        <f>(B32*B31)/100</f>
        <v>10.8</v>
      </c>
      <c r="C35" s="129"/>
      <c r="G35" s="92"/>
    </row>
    <row r="36" ht="15.75" customHeight="1">
      <c r="A36" s="125" t="s">
        <v>1575</v>
      </c>
      <c r="B36" s="130">
        <f>B35-E16</f>
        <v>-4.2</v>
      </c>
      <c r="C36" s="129"/>
      <c r="G36" s="92"/>
    </row>
    <row r="37" ht="15.75" customHeight="1">
      <c r="B37" s="130"/>
      <c r="C37" s="129"/>
      <c r="G37" s="92"/>
    </row>
    <row r="38" ht="15.75" customHeight="1">
      <c r="B38" s="130"/>
      <c r="C38" s="129"/>
      <c r="G38" s="92"/>
    </row>
    <row r="39" ht="15.75" customHeight="1">
      <c r="B39" s="130">
        <f>(F16*100)/B35</f>
        <v>166.6666667</v>
      </c>
      <c r="C39" s="129"/>
      <c r="G39" s="92"/>
    </row>
    <row r="40" ht="15.75" customHeight="1">
      <c r="C40" s="129"/>
      <c r="G40" s="92"/>
    </row>
    <row r="41" ht="15.75" customHeight="1">
      <c r="C41" s="129"/>
      <c r="G41" s="92"/>
    </row>
    <row r="42" ht="15.75" customHeight="1">
      <c r="C42" s="129"/>
      <c r="G42" s="92"/>
    </row>
    <row r="43" ht="15.75" customHeight="1">
      <c r="C43" s="129"/>
      <c r="G43" s="92"/>
    </row>
    <row r="44" ht="15.75" customHeight="1">
      <c r="C44" s="127"/>
      <c r="G44" s="92"/>
    </row>
    <row r="45" ht="15.75" customHeight="1">
      <c r="C45" s="127"/>
      <c r="G45" s="92"/>
    </row>
    <row r="46" ht="15.75" customHeight="1">
      <c r="C46" s="127"/>
      <c r="G46" s="92"/>
    </row>
    <row r="47" ht="15.75" customHeight="1">
      <c r="C47" s="127"/>
      <c r="G47" s="92"/>
    </row>
    <row r="48" ht="15.75" customHeight="1">
      <c r="C48" s="127"/>
      <c r="G48" s="92"/>
    </row>
    <row r="49" ht="15.75" customHeight="1">
      <c r="C49" s="127"/>
      <c r="G49" s="92"/>
    </row>
    <row r="50" ht="15.75" customHeight="1">
      <c r="C50" s="127"/>
      <c r="G50" s="92"/>
    </row>
    <row r="51" ht="15.75" customHeight="1">
      <c r="C51" s="127"/>
      <c r="G51" s="92"/>
    </row>
    <row r="52" ht="15.75" customHeight="1">
      <c r="C52" s="127"/>
      <c r="G52" s="92"/>
    </row>
    <row r="53" ht="15.75" customHeight="1">
      <c r="C53" s="127"/>
      <c r="G53" s="92"/>
    </row>
    <row r="54" ht="15.75" customHeight="1">
      <c r="C54" s="127"/>
      <c r="G54" s="92"/>
    </row>
    <row r="55" ht="15.75" customHeight="1">
      <c r="C55" s="127"/>
      <c r="G55" s="92"/>
    </row>
    <row r="56" ht="15.75" customHeight="1">
      <c r="C56" s="127"/>
      <c r="G56" s="92"/>
    </row>
    <row r="57" ht="15.75" customHeight="1">
      <c r="C57" s="127"/>
      <c r="G57" s="92"/>
    </row>
    <row r="58" ht="15.75" customHeight="1">
      <c r="C58" s="127"/>
      <c r="G58" s="92"/>
    </row>
    <row r="59" ht="15.75" customHeight="1">
      <c r="C59" s="127"/>
      <c r="G59" s="92"/>
    </row>
    <row r="60" ht="15.75" customHeight="1">
      <c r="C60" s="127"/>
      <c r="G60" s="92"/>
    </row>
    <row r="61" ht="15.75" customHeight="1">
      <c r="C61" s="127"/>
      <c r="G61" s="92"/>
    </row>
    <row r="62" ht="15.75" customHeight="1">
      <c r="C62" s="127"/>
      <c r="G62" s="92"/>
    </row>
    <row r="63" ht="15.75" customHeight="1">
      <c r="C63" s="127"/>
      <c r="G63" s="92"/>
    </row>
    <row r="64" ht="15.75" customHeight="1">
      <c r="C64" s="127"/>
      <c r="G64" s="92"/>
    </row>
    <row r="65" ht="15.75" customHeight="1">
      <c r="C65" s="127"/>
      <c r="G65" s="92"/>
    </row>
    <row r="66" ht="15.75" customHeight="1">
      <c r="C66" s="127"/>
      <c r="G66" s="92"/>
    </row>
    <row r="67" ht="15.75" customHeight="1">
      <c r="C67" s="127"/>
      <c r="G67" s="92"/>
    </row>
    <row r="68" ht="15.75" customHeight="1">
      <c r="C68" s="127"/>
      <c r="G68" s="92"/>
    </row>
    <row r="69" ht="15.75" customHeight="1">
      <c r="C69" s="127"/>
      <c r="G69" s="92"/>
    </row>
    <row r="70" ht="15.75" customHeight="1">
      <c r="C70" s="127"/>
      <c r="G70" s="92"/>
    </row>
    <row r="71" ht="15.75" customHeight="1">
      <c r="C71" s="127"/>
      <c r="G71" s="92"/>
    </row>
    <row r="72" ht="15.75" customHeight="1">
      <c r="C72" s="127"/>
      <c r="G72" s="92"/>
    </row>
    <row r="73" ht="15.75" customHeight="1">
      <c r="C73" s="127"/>
      <c r="G73" s="92"/>
    </row>
    <row r="74" ht="15.75" customHeight="1">
      <c r="C74" s="127"/>
      <c r="G74" s="92"/>
    </row>
    <row r="75" ht="15.75" customHeight="1">
      <c r="C75" s="127"/>
      <c r="G75" s="92"/>
    </row>
    <row r="76" ht="15.75" customHeight="1">
      <c r="C76" s="127"/>
      <c r="G76" s="92"/>
    </row>
    <row r="77" ht="15.75" customHeight="1">
      <c r="C77" s="127"/>
      <c r="G77" s="92"/>
    </row>
    <row r="78" ht="15.75" customHeight="1">
      <c r="C78" s="127"/>
      <c r="G78" s="92"/>
    </row>
    <row r="79" ht="15.75" customHeight="1">
      <c r="C79" s="127"/>
      <c r="G79" s="92"/>
    </row>
    <row r="80" ht="15.75" customHeight="1">
      <c r="C80" s="127"/>
      <c r="G80" s="92"/>
    </row>
    <row r="81" ht="15.75" customHeight="1">
      <c r="C81" s="127"/>
      <c r="G81" s="92"/>
    </row>
    <row r="82" ht="15.75" customHeight="1">
      <c r="C82" s="127"/>
      <c r="G82" s="92"/>
    </row>
    <row r="83" ht="15.75" customHeight="1">
      <c r="C83" s="127"/>
      <c r="G83" s="92"/>
    </row>
    <row r="84" ht="15.75" customHeight="1">
      <c r="C84" s="127"/>
      <c r="G84" s="92"/>
    </row>
    <row r="85" ht="15.75" customHeight="1">
      <c r="C85" s="127"/>
      <c r="G85" s="92"/>
    </row>
    <row r="86" ht="15.75" customHeight="1">
      <c r="C86" s="127"/>
      <c r="G86" s="92"/>
    </row>
    <row r="87" ht="15.75" customHeight="1">
      <c r="C87" s="127"/>
      <c r="G87" s="92"/>
    </row>
    <row r="88" ht="15.75" customHeight="1">
      <c r="C88" s="127"/>
      <c r="G88" s="92"/>
    </row>
    <row r="89" ht="15.75" customHeight="1">
      <c r="C89" s="127"/>
      <c r="G89" s="92"/>
    </row>
    <row r="90" ht="15.75" customHeight="1">
      <c r="C90" s="127"/>
      <c r="G90" s="92"/>
    </row>
    <row r="91" ht="15.75" customHeight="1">
      <c r="C91" s="127"/>
      <c r="G91" s="92"/>
    </row>
    <row r="92" ht="15.75" customHeight="1">
      <c r="C92" s="127"/>
      <c r="G92" s="92"/>
    </row>
    <row r="93" ht="15.75" customHeight="1">
      <c r="C93" s="127"/>
      <c r="G93" s="92"/>
    </row>
    <row r="94" ht="15.75" customHeight="1">
      <c r="C94" s="127"/>
      <c r="G94" s="92"/>
    </row>
    <row r="95" ht="15.75" customHeight="1">
      <c r="C95" s="127"/>
      <c r="G95" s="92"/>
    </row>
    <row r="96" ht="15.75" customHeight="1">
      <c r="C96" s="127"/>
      <c r="G96" s="92"/>
    </row>
    <row r="97" ht="15.75" customHeight="1">
      <c r="C97" s="127"/>
      <c r="G97" s="92"/>
    </row>
    <row r="98" ht="15.75" customHeight="1">
      <c r="C98" s="127"/>
      <c r="G98" s="92"/>
    </row>
    <row r="99" ht="15.75" customHeight="1">
      <c r="C99" s="127"/>
      <c r="G99" s="92"/>
    </row>
    <row r="100" ht="15.75" customHeight="1">
      <c r="C100" s="127"/>
      <c r="G100" s="92"/>
    </row>
    <row r="101" ht="15.75" customHeight="1">
      <c r="C101" s="127"/>
      <c r="G101" s="92"/>
    </row>
    <row r="102" ht="15.75" customHeight="1">
      <c r="C102" s="127"/>
      <c r="G102" s="92"/>
    </row>
    <row r="103" ht="15.75" customHeight="1">
      <c r="C103" s="127"/>
      <c r="G103" s="92"/>
    </row>
    <row r="104" ht="15.75" customHeight="1">
      <c r="C104" s="127"/>
      <c r="G104" s="92"/>
    </row>
    <row r="105" ht="15.75" customHeight="1">
      <c r="C105" s="127"/>
      <c r="G105" s="92"/>
    </row>
    <row r="106" ht="15.75" customHeight="1">
      <c r="C106" s="127"/>
      <c r="G106" s="92"/>
    </row>
    <row r="107" ht="15.75" customHeight="1">
      <c r="C107" s="127"/>
      <c r="G107" s="92"/>
    </row>
    <row r="108" ht="15.75" customHeight="1">
      <c r="C108" s="127"/>
      <c r="G108" s="92"/>
    </row>
    <row r="109" ht="15.75" customHeight="1">
      <c r="C109" s="127"/>
      <c r="G109" s="92"/>
    </row>
    <row r="110" ht="15.75" customHeight="1">
      <c r="C110" s="127"/>
      <c r="G110" s="92"/>
    </row>
    <row r="111" ht="15.75" customHeight="1">
      <c r="C111" s="127"/>
      <c r="G111" s="92"/>
    </row>
    <row r="112" ht="15.75" customHeight="1">
      <c r="C112" s="127"/>
      <c r="G112" s="92"/>
    </row>
    <row r="113" ht="15.75" customHeight="1">
      <c r="C113" s="127"/>
      <c r="G113" s="92"/>
    </row>
    <row r="114" ht="15.75" customHeight="1">
      <c r="C114" s="127"/>
      <c r="G114" s="92"/>
    </row>
    <row r="115" ht="15.75" customHeight="1">
      <c r="C115" s="127"/>
      <c r="G115" s="92"/>
    </row>
    <row r="116" ht="15.75" customHeight="1">
      <c r="C116" s="127"/>
      <c r="G116" s="92"/>
    </row>
    <row r="117" ht="15.75" customHeight="1">
      <c r="C117" s="127"/>
      <c r="G117" s="92"/>
    </row>
    <row r="118" ht="15.75" customHeight="1">
      <c r="C118" s="127"/>
      <c r="G118" s="92"/>
    </row>
    <row r="119" ht="15.75" customHeight="1">
      <c r="C119" s="127"/>
      <c r="G119" s="92"/>
    </row>
    <row r="120" ht="15.75" customHeight="1">
      <c r="C120" s="127"/>
      <c r="G120" s="92"/>
    </row>
    <row r="121" ht="15.75" customHeight="1">
      <c r="C121" s="127"/>
      <c r="G121" s="92"/>
    </row>
    <row r="122" ht="15.75" customHeight="1">
      <c r="C122" s="127"/>
      <c r="G122" s="92"/>
    </row>
    <row r="123" ht="15.75" customHeight="1">
      <c r="C123" s="127"/>
      <c r="G123" s="92"/>
    </row>
    <row r="124" ht="15.75" customHeight="1">
      <c r="C124" s="127"/>
      <c r="G124" s="92"/>
    </row>
    <row r="125" ht="15.75" customHeight="1">
      <c r="C125" s="127"/>
      <c r="G125" s="92"/>
    </row>
    <row r="126" ht="15.75" customHeight="1">
      <c r="C126" s="127"/>
      <c r="G126" s="92"/>
    </row>
    <row r="127" ht="15.75" customHeight="1">
      <c r="C127" s="127"/>
      <c r="G127" s="92"/>
    </row>
    <row r="128" ht="15.75" customHeight="1">
      <c r="C128" s="127"/>
      <c r="G128" s="92"/>
    </row>
    <row r="129" ht="15.75" customHeight="1">
      <c r="C129" s="127"/>
      <c r="G129" s="92"/>
    </row>
    <row r="130" ht="15.75" customHeight="1">
      <c r="C130" s="127"/>
      <c r="G130" s="92"/>
    </row>
    <row r="131" ht="15.75" customHeight="1">
      <c r="C131" s="127"/>
      <c r="G131" s="92"/>
    </row>
    <row r="132" ht="15.75" customHeight="1">
      <c r="C132" s="127"/>
      <c r="G132" s="92"/>
    </row>
    <row r="133" ht="15.75" customHeight="1">
      <c r="C133" s="127"/>
      <c r="G133" s="92"/>
    </row>
    <row r="134" ht="15.75" customHeight="1">
      <c r="C134" s="127"/>
      <c r="G134" s="92"/>
    </row>
    <row r="135" ht="15.75" customHeight="1">
      <c r="C135" s="127"/>
      <c r="G135" s="92"/>
    </row>
    <row r="136" ht="15.75" customHeight="1">
      <c r="C136" s="127"/>
      <c r="G136" s="92"/>
    </row>
    <row r="137" ht="15.75" customHeight="1">
      <c r="C137" s="127"/>
      <c r="G137" s="92"/>
    </row>
    <row r="138" ht="15.75" customHeight="1">
      <c r="C138" s="127"/>
      <c r="G138" s="92"/>
    </row>
    <row r="139" ht="15.75" customHeight="1">
      <c r="C139" s="127"/>
      <c r="G139" s="92"/>
    </row>
    <row r="140" ht="15.75" customHeight="1">
      <c r="C140" s="127"/>
      <c r="G140" s="92"/>
    </row>
    <row r="141" ht="15.75" customHeight="1">
      <c r="C141" s="127"/>
      <c r="G141" s="92"/>
    </row>
    <row r="142" ht="15.75" customHeight="1">
      <c r="C142" s="127"/>
      <c r="G142" s="92"/>
    </row>
    <row r="143" ht="15.75" customHeight="1">
      <c r="C143" s="127"/>
      <c r="G143" s="92"/>
    </row>
    <row r="144" ht="15.75" customHeight="1">
      <c r="C144" s="127"/>
      <c r="G144" s="92"/>
    </row>
    <row r="145" ht="15.75" customHeight="1">
      <c r="C145" s="127"/>
      <c r="G145" s="92"/>
    </row>
    <row r="146" ht="15.75" customHeight="1">
      <c r="C146" s="127"/>
      <c r="G146" s="92"/>
    </row>
    <row r="147" ht="15.75" customHeight="1">
      <c r="C147" s="127"/>
      <c r="G147" s="92"/>
    </row>
    <row r="148" ht="15.75" customHeight="1">
      <c r="C148" s="127"/>
      <c r="G148" s="92"/>
    </row>
    <row r="149" ht="15.75" customHeight="1">
      <c r="C149" s="127"/>
      <c r="G149" s="92"/>
    </row>
    <row r="150" ht="15.75" customHeight="1">
      <c r="C150" s="127"/>
      <c r="G150" s="92"/>
    </row>
    <row r="151" ht="15.75" customHeight="1">
      <c r="C151" s="127"/>
      <c r="G151" s="92"/>
    </row>
    <row r="152" ht="15.75" customHeight="1">
      <c r="C152" s="127"/>
      <c r="G152" s="92"/>
    </row>
    <row r="153" ht="15.75" customHeight="1">
      <c r="C153" s="127"/>
      <c r="G153" s="92"/>
    </row>
    <row r="154" ht="15.75" customHeight="1">
      <c r="C154" s="127"/>
      <c r="G154" s="92"/>
    </row>
    <row r="155" ht="15.75" customHeight="1">
      <c r="C155" s="127"/>
      <c r="G155" s="92"/>
    </row>
    <row r="156" ht="15.75" customHeight="1">
      <c r="C156" s="127"/>
      <c r="G156" s="92"/>
    </row>
    <row r="157" ht="15.75" customHeight="1">
      <c r="C157" s="127"/>
      <c r="G157" s="92"/>
    </row>
    <row r="158" ht="15.75" customHeight="1">
      <c r="C158" s="127"/>
      <c r="G158" s="92"/>
    </row>
    <row r="159" ht="15.75" customHeight="1">
      <c r="C159" s="127"/>
      <c r="G159" s="92"/>
    </row>
    <row r="160" ht="15.75" customHeight="1">
      <c r="C160" s="127"/>
      <c r="G160" s="92"/>
    </row>
    <row r="161" ht="15.75" customHeight="1">
      <c r="C161" s="127"/>
      <c r="G161" s="92"/>
    </row>
    <row r="162" ht="15.75" customHeight="1">
      <c r="C162" s="127"/>
      <c r="G162" s="92"/>
    </row>
    <row r="163" ht="15.75" customHeight="1">
      <c r="C163" s="127"/>
      <c r="G163" s="92"/>
    </row>
    <row r="164" ht="15.75" customHeight="1">
      <c r="C164" s="127"/>
      <c r="G164" s="92"/>
    </row>
    <row r="165" ht="15.75" customHeight="1">
      <c r="C165" s="127"/>
      <c r="G165" s="92"/>
    </row>
    <row r="166" ht="15.75" customHeight="1">
      <c r="C166" s="127"/>
      <c r="G166" s="92"/>
    </row>
    <row r="167" ht="15.75" customHeight="1">
      <c r="C167" s="127"/>
      <c r="G167" s="92"/>
    </row>
    <row r="168" ht="15.75" customHeight="1">
      <c r="C168" s="127"/>
      <c r="G168" s="92"/>
    </row>
    <row r="169" ht="15.75" customHeight="1">
      <c r="C169" s="127"/>
      <c r="G169" s="92"/>
    </row>
    <row r="170" ht="15.75" customHeight="1">
      <c r="C170" s="127"/>
      <c r="G170" s="92"/>
    </row>
    <row r="171" ht="15.75" customHeight="1">
      <c r="C171" s="127"/>
      <c r="G171" s="92"/>
    </row>
    <row r="172" ht="15.75" customHeight="1">
      <c r="C172" s="127"/>
      <c r="G172" s="92"/>
    </row>
    <row r="173" ht="15.75" customHeight="1">
      <c r="C173" s="127"/>
      <c r="G173" s="92"/>
    </row>
    <row r="174" ht="15.75" customHeight="1">
      <c r="C174" s="127"/>
      <c r="G174" s="92"/>
    </row>
    <row r="175" ht="15.75" customHeight="1">
      <c r="C175" s="127"/>
      <c r="G175" s="92"/>
    </row>
    <row r="176" ht="15.75" customHeight="1">
      <c r="C176" s="127"/>
      <c r="G176" s="92"/>
    </row>
    <row r="177" ht="15.75" customHeight="1">
      <c r="C177" s="127"/>
      <c r="G177" s="92"/>
    </row>
    <row r="178" ht="15.75" customHeight="1">
      <c r="C178" s="127"/>
      <c r="G178" s="92"/>
    </row>
    <row r="179" ht="15.75" customHeight="1">
      <c r="C179" s="127"/>
      <c r="G179" s="92"/>
    </row>
    <row r="180" ht="15.75" customHeight="1">
      <c r="C180" s="127"/>
      <c r="G180" s="92"/>
    </row>
    <row r="181" ht="15.75" customHeight="1">
      <c r="C181" s="127"/>
      <c r="G181" s="92"/>
    </row>
    <row r="182" ht="15.75" customHeight="1">
      <c r="C182" s="127"/>
      <c r="G182" s="92"/>
    </row>
    <row r="183" ht="15.75" customHeight="1">
      <c r="C183" s="127"/>
      <c r="G183" s="92"/>
    </row>
    <row r="184" ht="15.75" customHeight="1">
      <c r="C184" s="127"/>
      <c r="G184" s="92"/>
    </row>
    <row r="185" ht="15.75" customHeight="1">
      <c r="C185" s="127"/>
      <c r="G185" s="92"/>
    </row>
    <row r="186" ht="15.75" customHeight="1">
      <c r="C186" s="127"/>
      <c r="G186" s="92"/>
    </row>
    <row r="187" ht="15.75" customHeight="1">
      <c r="C187" s="127"/>
      <c r="G187" s="92"/>
    </row>
    <row r="188" ht="15.75" customHeight="1">
      <c r="C188" s="127"/>
      <c r="G188" s="92"/>
    </row>
    <row r="189" ht="15.75" customHeight="1">
      <c r="C189" s="127"/>
      <c r="G189" s="92"/>
    </row>
    <row r="190" ht="15.75" customHeight="1">
      <c r="C190" s="127"/>
      <c r="G190" s="92"/>
    </row>
    <row r="191" ht="15.75" customHeight="1">
      <c r="C191" s="127"/>
      <c r="G191" s="92"/>
    </row>
    <row r="192" ht="15.75" customHeight="1">
      <c r="C192" s="127"/>
      <c r="G192" s="92"/>
    </row>
    <row r="193" ht="15.75" customHeight="1">
      <c r="C193" s="127"/>
      <c r="G193" s="92"/>
    </row>
    <row r="194" ht="15.75" customHeight="1">
      <c r="C194" s="127"/>
      <c r="G194" s="92"/>
    </row>
    <row r="195" ht="15.75" customHeight="1">
      <c r="C195" s="127"/>
      <c r="G195" s="92"/>
    </row>
    <row r="196" ht="15.75" customHeight="1">
      <c r="C196" s="127"/>
      <c r="G196" s="92"/>
    </row>
    <row r="197" ht="15.75" customHeight="1">
      <c r="C197" s="127"/>
      <c r="G197" s="92"/>
    </row>
    <row r="198" ht="15.75" customHeight="1">
      <c r="C198" s="127"/>
      <c r="G198" s="92"/>
    </row>
    <row r="199" ht="15.75" customHeight="1">
      <c r="C199" s="127"/>
      <c r="G199" s="92"/>
    </row>
    <row r="200" ht="15.75" customHeight="1">
      <c r="C200" s="127"/>
      <c r="G200" s="92"/>
    </row>
    <row r="201" ht="15.75" customHeight="1">
      <c r="C201" s="127"/>
      <c r="G201" s="92"/>
    </row>
    <row r="202" ht="15.75" customHeight="1">
      <c r="C202" s="127"/>
      <c r="G202" s="92"/>
    </row>
    <row r="203" ht="15.75" customHeight="1">
      <c r="C203" s="127"/>
      <c r="G203" s="92"/>
    </row>
    <row r="204" ht="15.75" customHeight="1">
      <c r="C204" s="127"/>
      <c r="G204" s="92"/>
    </row>
    <row r="205" ht="15.75" customHeight="1">
      <c r="C205" s="127"/>
      <c r="G205" s="92"/>
    </row>
    <row r="206" ht="15.75" customHeight="1">
      <c r="C206" s="127"/>
      <c r="G206" s="92"/>
    </row>
    <row r="207" ht="15.75" customHeight="1">
      <c r="C207" s="127"/>
      <c r="G207" s="92"/>
    </row>
    <row r="208" ht="15.75" customHeight="1">
      <c r="C208" s="127"/>
      <c r="G208" s="92"/>
    </row>
    <row r="209" ht="15.75" customHeight="1">
      <c r="C209" s="127"/>
      <c r="G209" s="92"/>
    </row>
    <row r="210" ht="15.75" customHeight="1">
      <c r="C210" s="127"/>
      <c r="G210" s="92"/>
    </row>
    <row r="211" ht="15.75" customHeight="1">
      <c r="C211" s="127"/>
      <c r="G211" s="92"/>
    </row>
    <row r="212" ht="15.75" customHeight="1">
      <c r="C212" s="127"/>
      <c r="G212" s="92"/>
    </row>
    <row r="213" ht="15.75" customHeight="1">
      <c r="C213" s="127"/>
      <c r="G213" s="92"/>
    </row>
    <row r="214" ht="15.75" customHeight="1">
      <c r="C214" s="127"/>
      <c r="G214" s="92"/>
    </row>
    <row r="215" ht="15.75" customHeight="1">
      <c r="C215" s="127"/>
      <c r="G215" s="92"/>
    </row>
    <row r="216" ht="15.75" customHeight="1">
      <c r="C216" s="127"/>
      <c r="G216" s="92"/>
    </row>
    <row r="217" ht="15.75" customHeight="1">
      <c r="C217" s="127"/>
      <c r="G217" s="92"/>
    </row>
    <row r="218" ht="15.75" customHeight="1">
      <c r="C218" s="127"/>
      <c r="G218" s="92"/>
    </row>
    <row r="219" ht="15.75" customHeight="1">
      <c r="C219" s="127"/>
      <c r="G219" s="92"/>
    </row>
    <row r="220" ht="15.75" customHeight="1">
      <c r="C220" s="127"/>
      <c r="G220" s="92"/>
    </row>
    <row r="221" ht="15.75" customHeight="1">
      <c r="C221" s="127"/>
      <c r="G221" s="92"/>
    </row>
    <row r="222" ht="15.75" customHeight="1">
      <c r="C222" s="127"/>
      <c r="G222" s="92"/>
    </row>
    <row r="223" ht="15.75" customHeight="1">
      <c r="C223" s="127"/>
      <c r="G223" s="92"/>
    </row>
    <row r="224" ht="15.75" customHeight="1">
      <c r="C224" s="127"/>
      <c r="G224" s="92"/>
    </row>
    <row r="225" ht="15.75" customHeight="1">
      <c r="C225" s="127"/>
      <c r="G225" s="92"/>
    </row>
    <row r="226" ht="15.75" customHeight="1">
      <c r="C226" s="127"/>
      <c r="G226" s="92"/>
    </row>
    <row r="227" ht="15.75" customHeight="1">
      <c r="C227" s="127"/>
      <c r="G227" s="92"/>
    </row>
    <row r="228" ht="15.75" customHeight="1">
      <c r="C228" s="127"/>
      <c r="G228" s="92"/>
    </row>
    <row r="229" ht="15.75" customHeight="1">
      <c r="C229" s="127"/>
      <c r="G229" s="92"/>
    </row>
    <row r="230" ht="15.75" customHeight="1">
      <c r="C230" s="127"/>
      <c r="G230" s="92"/>
    </row>
    <row r="231" ht="15.75" customHeight="1">
      <c r="C231" s="127"/>
      <c r="G231" s="92"/>
    </row>
    <row r="232" ht="15.75" customHeight="1">
      <c r="C232" s="127"/>
      <c r="G232" s="92"/>
    </row>
    <row r="233" ht="15.75" customHeight="1">
      <c r="C233" s="127"/>
      <c r="G233" s="92"/>
    </row>
    <row r="234" ht="15.75" customHeight="1">
      <c r="C234" s="127"/>
      <c r="G234" s="92"/>
    </row>
    <row r="235" ht="15.75" customHeight="1">
      <c r="C235" s="127"/>
      <c r="G235" s="92"/>
    </row>
    <row r="236" ht="15.75" customHeight="1">
      <c r="C236" s="127"/>
      <c r="G236" s="92"/>
    </row>
    <row r="237" ht="15.75" customHeight="1">
      <c r="C237" s="127"/>
      <c r="G237" s="92"/>
    </row>
    <row r="238" ht="15.75" customHeight="1">
      <c r="C238" s="127"/>
      <c r="G238" s="92"/>
    </row>
    <row r="239" ht="15.75" customHeight="1">
      <c r="C239" s="127"/>
      <c r="G239" s="92"/>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19:A27"/>
    <mergeCell ref="B19:C19"/>
    <mergeCell ref="B20:B23"/>
    <mergeCell ref="C20:C21"/>
    <mergeCell ref="C22:C23"/>
    <mergeCell ref="B24:B27"/>
    <mergeCell ref="C24:C25"/>
    <mergeCell ref="C26:C27"/>
  </mergeCells>
  <conditionalFormatting sqref="G4:G16">
    <cfRule type="cellIs" dxfId="0" priority="1" operator="lessThan">
      <formula>"45%"</formula>
    </cfRule>
  </conditionalFormatting>
  <conditionalFormatting sqref="G4:G16">
    <cfRule type="cellIs" dxfId="1" priority="2" operator="greaterThanOrEqual">
      <formula>"60%"</formula>
    </cfRule>
  </conditionalFormatting>
  <conditionalFormatting sqref="G12">
    <cfRule type="cellIs" dxfId="2" priority="3" operator="greaterThanOrEqual">
      <formula>"45%"</formula>
    </cfRule>
  </conditionalFormatting>
  <conditionalFormatting sqref="G7">
    <cfRule type="cellIs" dxfId="2" priority="4" operator="greaterThanOrEqual">
      <formula>"45%"</formula>
    </cfRule>
  </conditionalFormatting>
  <conditionalFormatting sqref="G4">
    <cfRule type="cellIs" dxfId="3" priority="5" operator="greaterThanOrEqual">
      <formula>"45%"</formula>
    </cfRule>
  </conditionalFormatting>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 customWidth="1" min="9" max="9" width="13.75"/>
  </cols>
  <sheetData>
    <row r="1" ht="15.75" customHeight="1">
      <c r="A1" s="128" t="s">
        <v>1580</v>
      </c>
      <c r="B1" s="128" t="s">
        <v>1581</v>
      </c>
      <c r="C1" s="128" t="s">
        <v>1582</v>
      </c>
      <c r="D1" s="128" t="s">
        <v>1583</v>
      </c>
      <c r="E1" s="128" t="s">
        <v>1584</v>
      </c>
    </row>
    <row r="2" ht="15.75" customHeight="1">
      <c r="A2" s="128" t="s">
        <v>1585</v>
      </c>
      <c r="B2" s="128">
        <v>23.0</v>
      </c>
      <c r="C2" s="127">
        <v>5.0</v>
      </c>
      <c r="D2" s="128">
        <v>6.0</v>
      </c>
      <c r="E2" s="128">
        <v>34.0</v>
      </c>
      <c r="F2" s="94">
        <f t="shared" ref="F2:F13" si="1">B2/E2</f>
        <v>0.6764705882</v>
      </c>
    </row>
    <row r="3" ht="15.75" customHeight="1">
      <c r="A3" s="128" t="s">
        <v>1586</v>
      </c>
      <c r="B3" s="128">
        <v>29.0</v>
      </c>
      <c r="C3" s="127">
        <v>9.0</v>
      </c>
      <c r="D3" s="128">
        <v>9.0</v>
      </c>
      <c r="E3" s="128">
        <v>47.0</v>
      </c>
      <c r="F3" s="94">
        <f t="shared" si="1"/>
        <v>0.6170212766</v>
      </c>
    </row>
    <row r="4" ht="15.75" customHeight="1">
      <c r="A4" s="128" t="s">
        <v>18</v>
      </c>
      <c r="B4" s="128">
        <v>5.0</v>
      </c>
      <c r="C4" s="127">
        <v>4.0</v>
      </c>
      <c r="D4" s="128">
        <v>1.0</v>
      </c>
      <c r="E4" s="128">
        <v>10.0</v>
      </c>
      <c r="F4" s="94">
        <f t="shared" si="1"/>
        <v>0.5</v>
      </c>
    </row>
    <row r="5" ht="15.75" customHeight="1">
      <c r="A5" s="128" t="s">
        <v>1587</v>
      </c>
      <c r="B5" s="128">
        <v>32.0</v>
      </c>
      <c r="C5" s="127">
        <v>7.0</v>
      </c>
      <c r="D5" s="128">
        <v>31.0</v>
      </c>
      <c r="E5" s="128">
        <v>70.0</v>
      </c>
      <c r="F5" s="94">
        <f t="shared" si="1"/>
        <v>0.4571428571</v>
      </c>
    </row>
    <row r="6" ht="15.75" customHeight="1">
      <c r="A6" s="128" t="s">
        <v>1588</v>
      </c>
      <c r="B6" s="128">
        <v>22.0</v>
      </c>
      <c r="C6" s="127">
        <v>12.0</v>
      </c>
      <c r="D6" s="128">
        <v>15.0</v>
      </c>
      <c r="E6" s="128">
        <v>49.0</v>
      </c>
      <c r="F6" s="94">
        <f t="shared" si="1"/>
        <v>0.4489795918</v>
      </c>
      <c r="J6" s="127"/>
    </row>
    <row r="7" ht="15.75" customHeight="1">
      <c r="A7" s="128" t="s">
        <v>641</v>
      </c>
      <c r="B7" s="128">
        <v>22.0</v>
      </c>
      <c r="C7" s="127">
        <v>7.0</v>
      </c>
      <c r="D7" s="128">
        <v>24.0</v>
      </c>
      <c r="E7" s="128">
        <v>53.0</v>
      </c>
      <c r="F7" s="94">
        <f t="shared" si="1"/>
        <v>0.4150943396</v>
      </c>
      <c r="J7" s="127"/>
      <c r="N7" s="94"/>
    </row>
    <row r="8" ht="15.75" customHeight="1">
      <c r="A8" s="128" t="s">
        <v>21</v>
      </c>
      <c r="B8" s="128">
        <v>5.0</v>
      </c>
      <c r="C8" s="127">
        <v>1.0</v>
      </c>
      <c r="D8" s="128">
        <v>7.0</v>
      </c>
      <c r="E8" s="128">
        <v>13.0</v>
      </c>
      <c r="F8" s="94">
        <f t="shared" si="1"/>
        <v>0.3846153846</v>
      </c>
      <c r="J8" s="127"/>
      <c r="N8" s="94"/>
    </row>
    <row r="9" ht="15.75" customHeight="1">
      <c r="A9" s="128" t="s">
        <v>1589</v>
      </c>
      <c r="B9" s="128">
        <v>7.0</v>
      </c>
      <c r="C9" s="127">
        <v>8.0</v>
      </c>
      <c r="D9" s="128">
        <v>4.0</v>
      </c>
      <c r="E9" s="128">
        <v>19.0</v>
      </c>
      <c r="F9" s="94">
        <f t="shared" si="1"/>
        <v>0.3684210526</v>
      </c>
      <c r="J9" s="127"/>
      <c r="N9" s="94"/>
    </row>
    <row r="10" ht="15.75" customHeight="1">
      <c r="A10" s="128" t="s">
        <v>1590</v>
      </c>
      <c r="B10" s="128">
        <v>4.0</v>
      </c>
      <c r="C10" s="127">
        <v>6.0</v>
      </c>
      <c r="D10" s="128">
        <v>2.0</v>
      </c>
      <c r="E10" s="128">
        <v>12.0</v>
      </c>
      <c r="F10" s="94">
        <f t="shared" si="1"/>
        <v>0.3333333333</v>
      </c>
      <c r="J10" s="127"/>
      <c r="N10" s="94"/>
    </row>
    <row r="11" ht="15.75" customHeight="1">
      <c r="A11" s="128" t="s">
        <v>1591</v>
      </c>
      <c r="B11" s="128">
        <v>5.0</v>
      </c>
      <c r="C11" s="127">
        <v>5.0</v>
      </c>
      <c r="D11" s="128">
        <v>12.0</v>
      </c>
      <c r="E11" s="128">
        <v>22.0</v>
      </c>
      <c r="F11" s="95">
        <f t="shared" si="1"/>
        <v>0.2272727273</v>
      </c>
      <c r="J11" s="127"/>
      <c r="N11" s="94"/>
    </row>
    <row r="12" ht="15.75" customHeight="1">
      <c r="A12" s="128" t="s">
        <v>329</v>
      </c>
      <c r="B12" s="128">
        <v>3.0</v>
      </c>
      <c r="C12" s="127">
        <v>6.0</v>
      </c>
      <c r="D12" s="128">
        <v>7.0</v>
      </c>
      <c r="E12" s="128">
        <v>16.0</v>
      </c>
      <c r="F12" s="95">
        <f t="shared" si="1"/>
        <v>0.1875</v>
      </c>
      <c r="J12" s="127"/>
      <c r="N12" s="94"/>
    </row>
    <row r="13" ht="15.75" customHeight="1">
      <c r="A13" s="128" t="s">
        <v>1592</v>
      </c>
      <c r="C13" s="127">
        <v>2.0</v>
      </c>
      <c r="D13" s="128">
        <v>3.0</v>
      </c>
      <c r="E13" s="128">
        <v>5.0</v>
      </c>
      <c r="F13" s="94">
        <f t="shared" si="1"/>
        <v>0</v>
      </c>
      <c r="J13" s="127"/>
      <c r="N13" s="94"/>
    </row>
    <row r="14" ht="15.75" customHeight="1">
      <c r="B14" s="127"/>
      <c r="C14" s="127"/>
      <c r="F14" s="94"/>
      <c r="J14" s="127"/>
      <c r="N14" s="94"/>
    </row>
    <row r="15" ht="15.75" customHeight="1">
      <c r="B15" s="127"/>
      <c r="C15" s="127"/>
      <c r="F15" s="94"/>
      <c r="J15" s="127"/>
      <c r="N15" s="95"/>
    </row>
    <row r="16" ht="15.75" customHeight="1">
      <c r="B16" s="127"/>
      <c r="C16" s="127"/>
      <c r="F16" s="92"/>
      <c r="J16" s="127"/>
      <c r="N16" s="95"/>
    </row>
    <row r="17" ht="15.75" customHeight="1">
      <c r="J17" s="127"/>
      <c r="N17" s="94"/>
    </row>
    <row r="18" ht="15.75" customHeight="1"/>
    <row r="19" ht="15.75" customHeight="1"/>
    <row r="20" ht="15.75" customHeight="1"/>
    <row r="21" ht="15.75" customHeight="1"/>
    <row r="22" ht="15.75" customHeight="1">
      <c r="N22" s="131"/>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13">
    <sortState ref="A1:F13">
      <sortCondition descending="1" ref="F1:F13"/>
    </sortState>
  </autoFilter>
  <conditionalFormatting sqref="F1:F15 N7:N18">
    <cfRule type="cellIs" dxfId="0" priority="1" operator="lessThan">
      <formula>"45%"</formula>
    </cfRule>
  </conditionalFormatting>
  <conditionalFormatting sqref="F1:F15 N7:N18">
    <cfRule type="cellIs" dxfId="1" priority="2" operator="greaterThanOrEqual">
      <formula>"60%"</formula>
    </cfRule>
  </conditionalFormatting>
  <conditionalFormatting sqref="F5 F12 N8">
    <cfRule type="cellIs" dxfId="2" priority="3" operator="greaterThanOrEqual">
      <formula>"45%"</formula>
    </cfRule>
  </conditionalFormatting>
  <conditionalFormatting sqref="F2 F5">
    <cfRule type="cellIs" dxfId="3" priority="4" operator="greaterThanOrEqual">
      <formula>"45%"</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32" t="s">
        <v>1593</v>
      </c>
      <c r="B1" s="98" t="s">
        <v>1594</v>
      </c>
      <c r="C1" s="133" t="s">
        <v>1565</v>
      </c>
      <c r="D1" s="125" t="s">
        <v>1595</v>
      </c>
      <c r="E1" s="125"/>
      <c r="F1" s="125"/>
      <c r="G1" s="125"/>
      <c r="H1" s="125"/>
      <c r="I1" s="125"/>
      <c r="J1" s="125"/>
      <c r="K1" s="125"/>
      <c r="L1" s="125"/>
      <c r="M1" s="125"/>
      <c r="N1" s="125"/>
      <c r="O1" s="125"/>
      <c r="P1" s="125"/>
      <c r="Q1" s="125"/>
      <c r="R1" s="125"/>
      <c r="S1" s="125"/>
      <c r="T1" s="125"/>
      <c r="U1" s="125"/>
      <c r="V1" s="125"/>
      <c r="W1" s="125"/>
      <c r="X1" s="125"/>
      <c r="Y1" s="125"/>
      <c r="Z1" s="125"/>
    </row>
    <row r="2" ht="15.75" customHeight="1">
      <c r="A2" s="134" t="s">
        <v>1486</v>
      </c>
      <c r="B2" s="134">
        <v>5.0</v>
      </c>
      <c r="C2" s="135">
        <v>0.0</v>
      </c>
      <c r="D2" s="125">
        <v>5.0</v>
      </c>
      <c r="E2" s="125"/>
      <c r="F2" s="125"/>
      <c r="G2" s="125"/>
      <c r="H2" s="125"/>
      <c r="I2" s="125"/>
      <c r="J2" s="125"/>
      <c r="K2" s="125"/>
      <c r="L2" s="125"/>
      <c r="M2" s="125"/>
      <c r="N2" s="125"/>
      <c r="O2" s="125"/>
      <c r="P2" s="125"/>
      <c r="Q2" s="125"/>
      <c r="R2" s="125"/>
      <c r="S2" s="125"/>
      <c r="T2" s="125"/>
      <c r="U2" s="125"/>
      <c r="V2" s="125"/>
      <c r="W2" s="125"/>
      <c r="X2" s="125"/>
      <c r="Y2" s="125"/>
      <c r="Z2" s="125"/>
    </row>
    <row r="3" ht="15.75" customHeight="1">
      <c r="A3" s="134" t="s">
        <v>329</v>
      </c>
      <c r="B3" s="134">
        <v>17.0</v>
      </c>
      <c r="C3" s="135">
        <v>0.1176</v>
      </c>
      <c r="D3" s="125"/>
      <c r="E3" s="125"/>
      <c r="F3" s="125"/>
      <c r="G3" s="125"/>
      <c r="H3" s="125"/>
      <c r="I3" s="125"/>
      <c r="J3" s="125"/>
      <c r="K3" s="125"/>
      <c r="L3" s="125"/>
      <c r="M3" s="125"/>
      <c r="N3" s="125"/>
      <c r="O3" s="125"/>
      <c r="P3" s="125"/>
      <c r="Q3" s="125"/>
      <c r="R3" s="125"/>
      <c r="S3" s="125"/>
      <c r="T3" s="125"/>
      <c r="U3" s="125"/>
      <c r="V3" s="125"/>
      <c r="W3" s="125"/>
      <c r="X3" s="125"/>
      <c r="Y3" s="125"/>
      <c r="Z3" s="125"/>
    </row>
    <row r="4" ht="15.75" customHeight="1">
      <c r="A4" s="134" t="s">
        <v>250</v>
      </c>
      <c r="B4" s="134">
        <v>22.0</v>
      </c>
      <c r="C4" s="135">
        <v>0.2273</v>
      </c>
      <c r="D4" s="125"/>
      <c r="E4" s="125"/>
      <c r="F4" s="125"/>
      <c r="G4" s="125"/>
      <c r="H4" s="125"/>
      <c r="I4" s="125"/>
      <c r="J4" s="125"/>
      <c r="K4" s="125"/>
      <c r="L4" s="125"/>
      <c r="M4" s="125"/>
      <c r="N4" s="125"/>
      <c r="O4" s="125"/>
      <c r="P4" s="125"/>
      <c r="Q4" s="125"/>
      <c r="R4" s="125"/>
      <c r="S4" s="125"/>
      <c r="T4" s="125"/>
      <c r="U4" s="125"/>
      <c r="V4" s="125"/>
      <c r="W4" s="125"/>
      <c r="X4" s="125"/>
      <c r="Y4" s="125"/>
      <c r="Z4" s="125"/>
    </row>
    <row r="5" ht="15.75" customHeight="1">
      <c r="A5" s="134" t="s">
        <v>368</v>
      </c>
      <c r="B5" s="134">
        <v>12.0</v>
      </c>
      <c r="C5" s="135">
        <v>0.25</v>
      </c>
      <c r="D5" s="125"/>
      <c r="E5" s="125"/>
      <c r="F5" s="125"/>
      <c r="G5" s="125"/>
      <c r="H5" s="125"/>
      <c r="I5" s="125"/>
      <c r="J5" s="125"/>
      <c r="K5" s="125"/>
      <c r="L5" s="125"/>
      <c r="M5" s="125"/>
      <c r="N5" s="125"/>
      <c r="O5" s="125"/>
      <c r="P5" s="125"/>
      <c r="Q5" s="125"/>
      <c r="R5" s="125"/>
      <c r="S5" s="125"/>
      <c r="T5" s="125"/>
      <c r="U5" s="125"/>
      <c r="V5" s="125"/>
      <c r="W5" s="125"/>
      <c r="X5" s="125"/>
      <c r="Y5" s="125"/>
      <c r="Z5" s="125"/>
    </row>
    <row r="6" ht="15.75" customHeight="1">
      <c r="A6" s="134" t="s">
        <v>868</v>
      </c>
      <c r="B6" s="134">
        <v>18.0</v>
      </c>
      <c r="C6" s="135">
        <v>0.2778</v>
      </c>
      <c r="D6" s="125"/>
      <c r="E6" s="125"/>
      <c r="F6" s="125"/>
      <c r="G6" s="125"/>
      <c r="H6" s="125"/>
      <c r="I6" s="125"/>
      <c r="J6" s="125"/>
      <c r="K6" s="125"/>
      <c r="L6" s="125"/>
      <c r="M6" s="125"/>
      <c r="N6" s="125"/>
      <c r="O6" s="125"/>
      <c r="P6" s="125"/>
      <c r="Q6" s="125"/>
      <c r="R6" s="125"/>
      <c r="S6" s="125"/>
      <c r="T6" s="125"/>
      <c r="U6" s="125"/>
      <c r="V6" s="125"/>
      <c r="W6" s="125"/>
      <c r="X6" s="125"/>
      <c r="Y6" s="125"/>
      <c r="Z6" s="125"/>
    </row>
    <row r="7" ht="15.75" customHeight="1">
      <c r="A7" s="134" t="s">
        <v>641</v>
      </c>
      <c r="B7" s="134">
        <v>54.0</v>
      </c>
      <c r="C7" s="135">
        <v>0.3519</v>
      </c>
      <c r="D7" s="125"/>
      <c r="E7" s="125"/>
      <c r="F7" s="125"/>
      <c r="G7" s="125"/>
      <c r="H7" s="125"/>
      <c r="I7" s="125"/>
      <c r="J7" s="125"/>
      <c r="K7" s="125"/>
      <c r="L7" s="125"/>
      <c r="M7" s="125"/>
      <c r="N7" s="125"/>
      <c r="O7" s="125"/>
      <c r="P7" s="125"/>
      <c r="Q7" s="125"/>
      <c r="R7" s="125"/>
      <c r="S7" s="125"/>
      <c r="T7" s="125"/>
      <c r="U7" s="125"/>
      <c r="V7" s="125"/>
      <c r="W7" s="125"/>
      <c r="X7" s="125"/>
      <c r="Y7" s="125"/>
      <c r="Z7" s="125"/>
    </row>
    <row r="8" ht="15.75" customHeight="1">
      <c r="A8" s="134" t="s">
        <v>700</v>
      </c>
      <c r="B8" s="134">
        <v>48.0</v>
      </c>
      <c r="C8" s="135">
        <v>0.375</v>
      </c>
      <c r="D8" s="125"/>
      <c r="E8" s="125"/>
      <c r="F8" s="125"/>
      <c r="G8" s="125"/>
      <c r="H8" s="125"/>
      <c r="I8" s="125"/>
      <c r="J8" s="125"/>
      <c r="K8" s="125"/>
      <c r="L8" s="125"/>
      <c r="M8" s="125"/>
      <c r="N8" s="125"/>
      <c r="O8" s="125"/>
      <c r="P8" s="125"/>
      <c r="Q8" s="125"/>
      <c r="R8" s="125"/>
      <c r="S8" s="125"/>
      <c r="T8" s="125"/>
      <c r="U8" s="125"/>
      <c r="V8" s="125"/>
      <c r="W8" s="125"/>
      <c r="X8" s="125"/>
      <c r="Y8" s="125"/>
      <c r="Z8" s="125"/>
    </row>
    <row r="9" ht="15.75" customHeight="1">
      <c r="A9" s="134" t="s">
        <v>21</v>
      </c>
      <c r="B9" s="134">
        <v>13.0</v>
      </c>
      <c r="C9" s="135">
        <v>0.3846</v>
      </c>
      <c r="D9" s="125"/>
      <c r="E9" s="125"/>
      <c r="F9" s="125"/>
      <c r="G9" s="125"/>
      <c r="H9" s="125"/>
      <c r="I9" s="125"/>
      <c r="J9" s="125"/>
      <c r="K9" s="125"/>
      <c r="L9" s="125"/>
      <c r="M9" s="125"/>
      <c r="N9" s="125"/>
      <c r="O9" s="125"/>
      <c r="P9" s="125"/>
      <c r="Q9" s="125"/>
      <c r="R9" s="125"/>
      <c r="S9" s="125"/>
      <c r="T9" s="125"/>
      <c r="U9" s="125"/>
      <c r="V9" s="125"/>
      <c r="W9" s="125"/>
      <c r="X9" s="125"/>
      <c r="Y9" s="125"/>
      <c r="Z9" s="125"/>
    </row>
    <row r="10" ht="15.75" customHeight="1">
      <c r="A10" s="134" t="s">
        <v>34</v>
      </c>
      <c r="B10" s="134">
        <v>51.0</v>
      </c>
      <c r="C10" s="136">
        <v>0.549</v>
      </c>
      <c r="D10" s="125"/>
      <c r="E10" s="125"/>
      <c r="F10" s="125"/>
      <c r="G10" s="125"/>
      <c r="H10" s="125"/>
      <c r="I10" s="125"/>
      <c r="J10" s="125"/>
      <c r="K10" s="125"/>
      <c r="L10" s="125"/>
      <c r="M10" s="125"/>
      <c r="N10" s="125"/>
      <c r="O10" s="125"/>
      <c r="P10" s="125"/>
      <c r="Q10" s="125"/>
      <c r="R10" s="125"/>
      <c r="S10" s="125"/>
      <c r="T10" s="125"/>
      <c r="U10" s="125"/>
      <c r="V10" s="125"/>
      <c r="W10" s="125"/>
      <c r="X10" s="125"/>
      <c r="Y10" s="125"/>
      <c r="Z10" s="125"/>
    </row>
    <row r="11" ht="15.75" customHeight="1">
      <c r="A11" s="134" t="s">
        <v>398</v>
      </c>
      <c r="B11" s="134">
        <v>54.0</v>
      </c>
      <c r="C11" s="136">
        <v>0.5741</v>
      </c>
      <c r="D11" s="125"/>
      <c r="E11" s="125"/>
      <c r="F11" s="125"/>
      <c r="G11" s="125"/>
      <c r="H11" s="125"/>
      <c r="I11" s="125"/>
      <c r="J11" s="125"/>
      <c r="K11" s="125"/>
      <c r="L11" s="125"/>
      <c r="M11" s="125"/>
      <c r="N11" s="125"/>
      <c r="O11" s="125"/>
      <c r="P11" s="125"/>
      <c r="Q11" s="125"/>
      <c r="R11" s="125"/>
      <c r="S11" s="125"/>
      <c r="T11" s="125"/>
      <c r="U11" s="125"/>
      <c r="V11" s="125"/>
      <c r="W11" s="125"/>
      <c r="X11" s="125"/>
      <c r="Y11" s="125"/>
      <c r="Z11" s="125"/>
    </row>
    <row r="12" ht="15.75" customHeight="1">
      <c r="A12" s="134" t="s">
        <v>618</v>
      </c>
      <c r="B12" s="134">
        <v>10.0</v>
      </c>
      <c r="C12" s="137">
        <v>0.6</v>
      </c>
      <c r="D12" s="125"/>
      <c r="E12" s="125"/>
      <c r="F12" s="125"/>
      <c r="G12" s="125"/>
      <c r="H12" s="125"/>
      <c r="I12" s="125"/>
      <c r="J12" s="125"/>
      <c r="K12" s="125"/>
      <c r="L12" s="125"/>
      <c r="M12" s="125"/>
      <c r="N12" s="125"/>
      <c r="O12" s="125"/>
      <c r="P12" s="125"/>
      <c r="Q12" s="125"/>
      <c r="R12" s="125"/>
      <c r="S12" s="125"/>
      <c r="T12" s="125"/>
      <c r="U12" s="125"/>
      <c r="V12" s="125"/>
      <c r="W12" s="125"/>
      <c r="X12" s="125"/>
      <c r="Y12" s="125"/>
      <c r="Z12" s="125"/>
    </row>
    <row r="13" ht="15.75" customHeight="1">
      <c r="A13" s="134" t="s">
        <v>965</v>
      </c>
      <c r="B13" s="134">
        <v>34.0</v>
      </c>
      <c r="C13" s="137">
        <v>0.6765</v>
      </c>
      <c r="D13" s="125"/>
      <c r="E13" s="125"/>
      <c r="F13" s="125"/>
      <c r="G13" s="125"/>
      <c r="H13" s="125"/>
      <c r="I13" s="125"/>
      <c r="J13" s="125"/>
      <c r="K13" s="125"/>
      <c r="L13" s="125"/>
      <c r="M13" s="125"/>
      <c r="N13" s="125"/>
      <c r="O13" s="125"/>
      <c r="P13" s="125"/>
      <c r="Q13" s="125"/>
      <c r="R13" s="125"/>
      <c r="S13" s="125"/>
      <c r="T13" s="125"/>
      <c r="U13" s="125"/>
      <c r="V13" s="125"/>
      <c r="W13" s="125"/>
      <c r="X13" s="125"/>
      <c r="Y13" s="125"/>
      <c r="Z13" s="125"/>
    </row>
    <row r="14" ht="15.75" customHeight="1">
      <c r="A14" s="125"/>
      <c r="B14" s="125"/>
      <c r="C14" s="125"/>
      <c r="D14" s="125"/>
      <c r="E14" s="125"/>
      <c r="F14" s="125"/>
      <c r="G14" s="125"/>
      <c r="H14" s="125"/>
      <c r="I14" s="125"/>
      <c r="J14" s="125"/>
      <c r="K14" s="125"/>
      <c r="L14" s="125"/>
      <c r="M14" s="125"/>
      <c r="N14" s="125"/>
      <c r="O14" s="125"/>
      <c r="P14" s="125"/>
      <c r="Q14" s="125"/>
      <c r="R14" s="125"/>
      <c r="S14" s="125"/>
      <c r="T14" s="125"/>
      <c r="U14" s="125"/>
      <c r="V14" s="125"/>
      <c r="W14" s="125"/>
      <c r="X14" s="125"/>
      <c r="Y14" s="125"/>
      <c r="Z14" s="125"/>
    </row>
    <row r="15" ht="15.75" customHeight="1">
      <c r="A15" s="125"/>
      <c r="B15" s="125"/>
      <c r="C15" s="125"/>
      <c r="D15" s="125"/>
      <c r="E15" s="125"/>
      <c r="F15" s="125"/>
      <c r="G15" s="125"/>
      <c r="H15" s="125"/>
      <c r="I15" s="125"/>
      <c r="J15" s="125"/>
      <c r="K15" s="125"/>
      <c r="L15" s="125"/>
      <c r="M15" s="125"/>
      <c r="N15" s="125"/>
      <c r="O15" s="125"/>
      <c r="P15" s="125"/>
      <c r="Q15" s="125"/>
      <c r="R15" s="125"/>
      <c r="S15" s="125"/>
      <c r="T15" s="125"/>
      <c r="U15" s="125"/>
      <c r="V15" s="125"/>
      <c r="W15" s="125"/>
      <c r="X15" s="125"/>
      <c r="Y15" s="125"/>
      <c r="Z15" s="125"/>
    </row>
    <row r="16" ht="15.75" customHeight="1">
      <c r="A16" s="125"/>
      <c r="B16" s="125"/>
      <c r="C16" s="125"/>
      <c r="D16" s="125"/>
      <c r="E16" s="125"/>
      <c r="F16" s="125"/>
      <c r="G16" s="125"/>
      <c r="H16" s="125"/>
      <c r="I16" s="125"/>
      <c r="J16" s="125"/>
      <c r="K16" s="125"/>
      <c r="L16" s="125"/>
      <c r="M16" s="125"/>
      <c r="N16" s="125"/>
      <c r="O16" s="125"/>
      <c r="P16" s="125"/>
      <c r="Q16" s="125"/>
      <c r="R16" s="125"/>
      <c r="S16" s="125"/>
      <c r="T16" s="125"/>
      <c r="U16" s="125"/>
      <c r="V16" s="125"/>
      <c r="W16" s="125"/>
      <c r="X16" s="125"/>
      <c r="Y16" s="125"/>
      <c r="Z16" s="125"/>
    </row>
    <row r="17" ht="15.75" customHeight="1">
      <c r="A17" s="125"/>
      <c r="B17" s="125"/>
      <c r="C17" s="125"/>
      <c r="D17" s="125"/>
      <c r="E17" s="125"/>
      <c r="F17" s="125"/>
      <c r="G17" s="125"/>
      <c r="H17" s="125"/>
      <c r="I17" s="125"/>
      <c r="J17" s="125"/>
      <c r="K17" s="125"/>
      <c r="L17" s="125"/>
      <c r="M17" s="125"/>
      <c r="N17" s="125"/>
      <c r="O17" s="125"/>
      <c r="P17" s="125"/>
      <c r="Q17" s="125"/>
      <c r="R17" s="125"/>
      <c r="S17" s="125"/>
      <c r="T17" s="125"/>
      <c r="U17" s="125"/>
      <c r="V17" s="125"/>
      <c r="W17" s="125"/>
      <c r="X17" s="125"/>
      <c r="Y17" s="125"/>
      <c r="Z17" s="125"/>
    </row>
    <row r="18" ht="15.75" customHeight="1">
      <c r="A18" s="125"/>
      <c r="B18" s="125"/>
      <c r="C18" s="125"/>
      <c r="D18" s="125"/>
      <c r="E18" s="125"/>
      <c r="F18" s="125"/>
      <c r="G18" s="125"/>
      <c r="H18" s="125"/>
      <c r="I18" s="125"/>
      <c r="J18" s="125"/>
      <c r="K18" s="125"/>
      <c r="L18" s="125"/>
      <c r="M18" s="125"/>
      <c r="N18" s="125"/>
      <c r="O18" s="125"/>
      <c r="P18" s="125"/>
      <c r="Q18" s="125"/>
      <c r="R18" s="125"/>
      <c r="S18" s="125"/>
      <c r="T18" s="125"/>
      <c r="U18" s="125"/>
      <c r="V18" s="125"/>
      <c r="W18" s="125"/>
      <c r="X18" s="125"/>
      <c r="Y18" s="125"/>
      <c r="Z18" s="125"/>
    </row>
    <row r="19" ht="15.75" customHeight="1">
      <c r="A19" s="125"/>
      <c r="B19" s="125"/>
      <c r="C19" s="125"/>
      <c r="D19" s="125"/>
      <c r="E19" s="125"/>
      <c r="F19" s="125"/>
      <c r="G19" s="125"/>
      <c r="H19" s="125"/>
      <c r="I19" s="125"/>
      <c r="J19" s="125"/>
      <c r="K19" s="125"/>
      <c r="L19" s="125"/>
      <c r="M19" s="125"/>
      <c r="N19" s="125"/>
      <c r="O19" s="125"/>
      <c r="P19" s="125"/>
      <c r="Q19" s="125"/>
      <c r="R19" s="125"/>
      <c r="S19" s="125"/>
      <c r="T19" s="125"/>
      <c r="U19" s="125"/>
      <c r="V19" s="125"/>
      <c r="W19" s="125"/>
      <c r="X19" s="125"/>
      <c r="Y19" s="125"/>
      <c r="Z19" s="125"/>
    </row>
    <row r="20" ht="15.75" customHeight="1">
      <c r="A20" s="125"/>
      <c r="B20" s="125"/>
      <c r="C20" s="125"/>
      <c r="D20" s="125"/>
      <c r="E20" s="125"/>
      <c r="F20" s="125"/>
      <c r="G20" s="125"/>
      <c r="H20" s="125"/>
      <c r="I20" s="125"/>
      <c r="J20" s="125"/>
      <c r="K20" s="125"/>
      <c r="L20" s="125"/>
      <c r="M20" s="125"/>
      <c r="N20" s="125"/>
      <c r="O20" s="125"/>
      <c r="P20" s="125"/>
      <c r="Q20" s="125"/>
      <c r="R20" s="125"/>
      <c r="S20" s="125"/>
      <c r="T20" s="125"/>
      <c r="U20" s="125"/>
      <c r="V20" s="125"/>
      <c r="W20" s="125"/>
      <c r="X20" s="125"/>
      <c r="Y20" s="125"/>
      <c r="Z20" s="125"/>
    </row>
    <row r="21" ht="15.75" customHeight="1">
      <c r="A21" s="125"/>
      <c r="B21" s="125"/>
      <c r="C21" s="125"/>
      <c r="D21" s="125"/>
      <c r="E21" s="125"/>
      <c r="F21" s="125"/>
      <c r="G21" s="125"/>
      <c r="H21" s="125"/>
      <c r="I21" s="125"/>
      <c r="J21" s="125"/>
      <c r="K21" s="125"/>
      <c r="L21" s="125"/>
      <c r="M21" s="125"/>
      <c r="N21" s="125"/>
      <c r="O21" s="125"/>
      <c r="P21" s="125"/>
      <c r="Q21" s="125"/>
      <c r="R21" s="125"/>
      <c r="S21" s="125"/>
      <c r="T21" s="125"/>
      <c r="U21" s="125"/>
      <c r="V21" s="125"/>
      <c r="W21" s="125"/>
      <c r="X21" s="125"/>
      <c r="Y21" s="125"/>
      <c r="Z21" s="125"/>
    </row>
    <row r="22" ht="15.75" customHeight="1">
      <c r="A22" s="125"/>
      <c r="B22" s="125"/>
      <c r="C22" s="125"/>
      <c r="D22" s="125"/>
      <c r="E22" s="125"/>
      <c r="F22" s="125"/>
      <c r="G22" s="125"/>
      <c r="H22" s="125"/>
      <c r="I22" s="125"/>
      <c r="J22" s="125"/>
      <c r="K22" s="125"/>
      <c r="L22" s="125"/>
      <c r="M22" s="125"/>
      <c r="N22" s="125"/>
      <c r="O22" s="125"/>
      <c r="P22" s="125"/>
      <c r="Q22" s="125"/>
      <c r="R22" s="125"/>
      <c r="S22" s="125"/>
      <c r="T22" s="125"/>
      <c r="U22" s="125"/>
      <c r="V22" s="125"/>
      <c r="W22" s="125"/>
      <c r="X22" s="125"/>
      <c r="Y22" s="125"/>
      <c r="Z22" s="125"/>
    </row>
    <row r="23" ht="15.75" customHeight="1">
      <c r="A23" s="125"/>
      <c r="B23" s="125"/>
      <c r="C23" s="125"/>
      <c r="D23" s="125"/>
      <c r="E23" s="125"/>
      <c r="F23" s="125"/>
      <c r="G23" s="125"/>
      <c r="H23" s="125"/>
      <c r="I23" s="125"/>
      <c r="J23" s="125"/>
      <c r="K23" s="125"/>
      <c r="L23" s="125"/>
      <c r="M23" s="125"/>
      <c r="N23" s="125"/>
      <c r="O23" s="125"/>
      <c r="P23" s="125"/>
      <c r="Q23" s="125"/>
      <c r="R23" s="125"/>
      <c r="S23" s="125"/>
      <c r="T23" s="125"/>
      <c r="U23" s="125"/>
      <c r="V23" s="125"/>
      <c r="W23" s="125"/>
      <c r="X23" s="125"/>
      <c r="Y23" s="125"/>
      <c r="Z23" s="125"/>
    </row>
    <row r="24" ht="15.75" customHeight="1">
      <c r="A24" s="125"/>
      <c r="B24" s="125"/>
      <c r="C24" s="125"/>
      <c r="D24" s="125"/>
      <c r="E24" s="125"/>
      <c r="F24" s="125"/>
      <c r="G24" s="125"/>
      <c r="H24" s="125"/>
      <c r="I24" s="125"/>
      <c r="J24" s="125"/>
      <c r="K24" s="125"/>
      <c r="L24" s="125"/>
      <c r="M24" s="125"/>
      <c r="N24" s="125"/>
      <c r="O24" s="125"/>
      <c r="P24" s="125"/>
      <c r="Q24" s="125"/>
      <c r="R24" s="125"/>
      <c r="S24" s="125"/>
      <c r="T24" s="125"/>
      <c r="U24" s="125"/>
      <c r="V24" s="125"/>
      <c r="W24" s="125"/>
      <c r="X24" s="125"/>
      <c r="Y24" s="125"/>
      <c r="Z24" s="125"/>
    </row>
    <row r="25" ht="15.75" customHeight="1">
      <c r="A25" s="125"/>
      <c r="B25" s="125"/>
      <c r="C25" s="125"/>
      <c r="D25" s="125"/>
      <c r="E25" s="125"/>
      <c r="F25" s="125"/>
      <c r="G25" s="125"/>
      <c r="H25" s="125"/>
      <c r="I25" s="125"/>
      <c r="J25" s="125"/>
      <c r="K25" s="125"/>
      <c r="L25" s="125"/>
      <c r="M25" s="125"/>
      <c r="N25" s="125"/>
      <c r="O25" s="125"/>
      <c r="P25" s="125"/>
      <c r="Q25" s="125"/>
      <c r="R25" s="125"/>
      <c r="S25" s="125"/>
      <c r="T25" s="125"/>
      <c r="U25" s="125"/>
      <c r="V25" s="125"/>
      <c r="W25" s="125"/>
      <c r="X25" s="125"/>
      <c r="Y25" s="125"/>
      <c r="Z25" s="125"/>
    </row>
    <row r="26" ht="15.75" customHeight="1">
      <c r="A26" s="125"/>
      <c r="B26" s="125"/>
      <c r="C26" s="125"/>
      <c r="D26" s="125"/>
      <c r="E26" s="125"/>
      <c r="F26" s="125"/>
      <c r="G26" s="125"/>
      <c r="H26" s="125"/>
      <c r="I26" s="125"/>
      <c r="J26" s="125"/>
      <c r="K26" s="125"/>
      <c r="L26" s="125"/>
      <c r="M26" s="125"/>
      <c r="N26" s="125"/>
      <c r="O26" s="125"/>
      <c r="P26" s="125"/>
      <c r="Q26" s="125"/>
      <c r="R26" s="125"/>
      <c r="S26" s="125"/>
      <c r="T26" s="125"/>
      <c r="U26" s="125"/>
      <c r="V26" s="125"/>
      <c r="W26" s="125"/>
      <c r="X26" s="125"/>
      <c r="Y26" s="125"/>
      <c r="Z26" s="125"/>
    </row>
    <row r="27" ht="15.75" customHeight="1">
      <c r="A27" s="125"/>
      <c r="B27" s="125"/>
      <c r="C27" s="125"/>
      <c r="D27" s="125"/>
      <c r="E27" s="125"/>
      <c r="F27" s="125"/>
      <c r="G27" s="125"/>
      <c r="H27" s="125"/>
      <c r="I27" s="125"/>
      <c r="J27" s="125"/>
      <c r="K27" s="125"/>
      <c r="L27" s="125"/>
      <c r="M27" s="125"/>
      <c r="N27" s="125"/>
      <c r="O27" s="125"/>
      <c r="P27" s="125"/>
      <c r="Q27" s="125"/>
      <c r="R27" s="125"/>
      <c r="S27" s="125"/>
      <c r="T27" s="125"/>
      <c r="U27" s="125"/>
      <c r="V27" s="125"/>
      <c r="W27" s="125"/>
      <c r="X27" s="125"/>
      <c r="Y27" s="125"/>
      <c r="Z27" s="125"/>
    </row>
    <row r="28" ht="15.75" customHeight="1">
      <c r="A28" s="125"/>
      <c r="B28" s="125"/>
      <c r="C28" s="125"/>
      <c r="D28" s="125"/>
      <c r="E28" s="125"/>
      <c r="F28" s="125"/>
      <c r="G28" s="125"/>
      <c r="H28" s="125"/>
      <c r="I28" s="125"/>
      <c r="J28" s="125"/>
      <c r="K28" s="125"/>
      <c r="L28" s="125"/>
      <c r="M28" s="125"/>
      <c r="N28" s="125"/>
      <c r="O28" s="125"/>
      <c r="P28" s="125"/>
      <c r="Q28" s="125"/>
      <c r="R28" s="125"/>
      <c r="S28" s="125"/>
      <c r="T28" s="125"/>
      <c r="U28" s="125"/>
      <c r="V28" s="125"/>
      <c r="W28" s="125"/>
      <c r="X28" s="125"/>
      <c r="Y28" s="125"/>
      <c r="Z28" s="125"/>
    </row>
    <row r="29" ht="15.75" customHeight="1">
      <c r="A29" s="125"/>
      <c r="B29" s="125"/>
      <c r="C29" s="125"/>
      <c r="D29" s="125"/>
      <c r="E29" s="125"/>
      <c r="F29" s="125"/>
      <c r="G29" s="125"/>
      <c r="H29" s="125"/>
      <c r="I29" s="125"/>
      <c r="J29" s="125"/>
      <c r="K29" s="125"/>
      <c r="L29" s="125"/>
      <c r="M29" s="125"/>
      <c r="N29" s="125"/>
      <c r="O29" s="125"/>
      <c r="P29" s="125"/>
      <c r="Q29" s="125"/>
      <c r="R29" s="125"/>
      <c r="S29" s="125"/>
      <c r="T29" s="125"/>
      <c r="U29" s="125"/>
      <c r="V29" s="125"/>
      <c r="W29" s="125"/>
      <c r="X29" s="125"/>
      <c r="Y29" s="125"/>
      <c r="Z29" s="125"/>
    </row>
    <row r="30" ht="15.75" customHeight="1">
      <c r="A30" s="125"/>
      <c r="B30" s="125"/>
      <c r="C30" s="125"/>
      <c r="D30" s="125"/>
      <c r="E30" s="125"/>
      <c r="F30" s="125"/>
      <c r="G30" s="125"/>
      <c r="H30" s="125"/>
      <c r="I30" s="125"/>
      <c r="J30" s="125"/>
      <c r="K30" s="125"/>
      <c r="L30" s="125"/>
      <c r="M30" s="125"/>
      <c r="N30" s="125"/>
      <c r="O30" s="125"/>
      <c r="P30" s="125"/>
      <c r="Q30" s="125"/>
      <c r="R30" s="125"/>
      <c r="S30" s="125"/>
      <c r="T30" s="125"/>
      <c r="U30" s="125"/>
      <c r="V30" s="125"/>
      <c r="W30" s="125"/>
      <c r="X30" s="125"/>
      <c r="Y30" s="125"/>
      <c r="Z30" s="125"/>
    </row>
    <row r="31" ht="15.75" customHeight="1">
      <c r="A31" s="125"/>
      <c r="B31" s="125"/>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row>
    <row r="32" ht="15.75" customHeight="1">
      <c r="A32" s="125"/>
      <c r="B32" s="125"/>
      <c r="C32" s="125"/>
      <c r="D32" s="125"/>
      <c r="E32" s="125"/>
      <c r="F32" s="125"/>
      <c r="G32" s="125"/>
      <c r="H32" s="125"/>
      <c r="I32" s="125"/>
      <c r="J32" s="125"/>
      <c r="K32" s="125"/>
      <c r="L32" s="125"/>
      <c r="M32" s="125"/>
      <c r="N32" s="125"/>
      <c r="O32" s="125"/>
      <c r="P32" s="125"/>
      <c r="Q32" s="125"/>
      <c r="R32" s="125"/>
      <c r="S32" s="125"/>
      <c r="T32" s="125"/>
      <c r="U32" s="125"/>
      <c r="V32" s="125"/>
      <c r="W32" s="125"/>
      <c r="X32" s="125"/>
      <c r="Y32" s="125"/>
      <c r="Z32" s="125"/>
    </row>
    <row r="33" ht="15.75" customHeight="1">
      <c r="A33" s="125"/>
      <c r="B33" s="125"/>
      <c r="C33" s="125"/>
      <c r="D33" s="125"/>
      <c r="E33" s="125"/>
      <c r="F33" s="125"/>
      <c r="G33" s="125"/>
      <c r="H33" s="125"/>
      <c r="I33" s="125"/>
      <c r="J33" s="125"/>
      <c r="K33" s="125"/>
      <c r="L33" s="125"/>
      <c r="M33" s="125"/>
      <c r="N33" s="125"/>
      <c r="O33" s="125"/>
      <c r="P33" s="125"/>
      <c r="Q33" s="125"/>
      <c r="R33" s="125"/>
      <c r="S33" s="125"/>
      <c r="T33" s="125"/>
      <c r="U33" s="125"/>
      <c r="V33" s="125"/>
      <c r="W33" s="125"/>
      <c r="X33" s="125"/>
      <c r="Y33" s="125"/>
      <c r="Z33" s="125"/>
    </row>
    <row r="34" ht="15.75" customHeight="1">
      <c r="A34" s="125"/>
      <c r="B34" s="125"/>
      <c r="C34" s="125"/>
      <c r="D34" s="125"/>
      <c r="E34" s="125"/>
      <c r="F34" s="125"/>
      <c r="G34" s="125"/>
      <c r="H34" s="125"/>
      <c r="I34" s="125"/>
      <c r="J34" s="125"/>
      <c r="K34" s="125"/>
      <c r="L34" s="125"/>
      <c r="M34" s="125"/>
      <c r="N34" s="125"/>
      <c r="O34" s="125"/>
      <c r="P34" s="125"/>
      <c r="Q34" s="125"/>
      <c r="R34" s="125"/>
      <c r="S34" s="125"/>
      <c r="T34" s="125"/>
      <c r="U34" s="125"/>
      <c r="V34" s="125"/>
      <c r="W34" s="125"/>
      <c r="X34" s="125"/>
      <c r="Y34" s="125"/>
      <c r="Z34" s="125"/>
    </row>
    <row r="35" ht="15.75" customHeight="1">
      <c r="A35" s="125"/>
      <c r="B35" s="125"/>
      <c r="C35" s="125"/>
      <c r="D35" s="125"/>
      <c r="E35" s="125"/>
      <c r="F35" s="125"/>
      <c r="G35" s="125"/>
      <c r="H35" s="125"/>
      <c r="I35" s="125"/>
      <c r="J35" s="125"/>
      <c r="K35" s="125"/>
      <c r="L35" s="125"/>
      <c r="M35" s="125"/>
      <c r="N35" s="125"/>
      <c r="O35" s="125"/>
      <c r="P35" s="125"/>
      <c r="Q35" s="125"/>
      <c r="R35" s="125"/>
      <c r="S35" s="125"/>
      <c r="T35" s="125"/>
      <c r="U35" s="125"/>
      <c r="V35" s="125"/>
      <c r="W35" s="125"/>
      <c r="X35" s="125"/>
      <c r="Y35" s="125"/>
      <c r="Z35" s="125"/>
    </row>
    <row r="36" ht="15.75" customHeight="1">
      <c r="A36" s="125"/>
      <c r="B36" s="125"/>
      <c r="C36" s="125"/>
      <c r="D36" s="125"/>
      <c r="E36" s="125"/>
      <c r="F36" s="125"/>
      <c r="G36" s="125"/>
      <c r="H36" s="125"/>
      <c r="I36" s="125"/>
      <c r="J36" s="125"/>
      <c r="K36" s="125"/>
      <c r="L36" s="125"/>
      <c r="M36" s="125"/>
      <c r="N36" s="125"/>
      <c r="O36" s="125"/>
      <c r="P36" s="125"/>
      <c r="Q36" s="125"/>
      <c r="R36" s="125"/>
      <c r="S36" s="125"/>
      <c r="T36" s="125"/>
      <c r="U36" s="125"/>
      <c r="V36" s="125"/>
      <c r="W36" s="125"/>
      <c r="X36" s="125"/>
      <c r="Y36" s="125"/>
      <c r="Z36" s="125"/>
    </row>
    <row r="37" ht="15.75" customHeight="1">
      <c r="A37" s="125"/>
      <c r="B37" s="125"/>
      <c r="C37" s="125"/>
      <c r="D37" s="125"/>
      <c r="E37" s="125"/>
      <c r="F37" s="125"/>
      <c r="G37" s="125"/>
      <c r="H37" s="125"/>
      <c r="I37" s="125"/>
      <c r="J37" s="125"/>
      <c r="K37" s="125"/>
      <c r="L37" s="125"/>
      <c r="M37" s="125"/>
      <c r="N37" s="125"/>
      <c r="O37" s="125"/>
      <c r="P37" s="125"/>
      <c r="Q37" s="125"/>
      <c r="R37" s="125"/>
      <c r="S37" s="125"/>
      <c r="T37" s="125"/>
      <c r="U37" s="125"/>
      <c r="V37" s="125"/>
      <c r="W37" s="125"/>
      <c r="X37" s="125"/>
      <c r="Y37" s="125"/>
      <c r="Z37" s="125"/>
    </row>
    <row r="38" ht="15.75" customHeight="1">
      <c r="A38" s="125"/>
      <c r="B38" s="125"/>
      <c r="C38" s="125"/>
      <c r="D38" s="125"/>
      <c r="E38" s="125"/>
      <c r="F38" s="125"/>
      <c r="G38" s="125"/>
      <c r="H38" s="125"/>
      <c r="I38" s="125"/>
      <c r="J38" s="125"/>
      <c r="K38" s="125"/>
      <c r="L38" s="125"/>
      <c r="M38" s="125"/>
      <c r="N38" s="125"/>
      <c r="O38" s="125"/>
      <c r="P38" s="125"/>
      <c r="Q38" s="125"/>
      <c r="R38" s="125"/>
      <c r="S38" s="125"/>
      <c r="T38" s="125"/>
      <c r="U38" s="125"/>
      <c r="V38" s="125"/>
      <c r="W38" s="125"/>
      <c r="X38" s="125"/>
      <c r="Y38" s="125"/>
      <c r="Z38" s="125"/>
    </row>
    <row r="39" ht="15.75" customHeight="1">
      <c r="A39" s="125"/>
      <c r="B39" s="125"/>
      <c r="C39" s="125"/>
      <c r="D39" s="125"/>
      <c r="E39" s="125"/>
      <c r="F39" s="125"/>
      <c r="G39" s="125"/>
      <c r="H39" s="125"/>
      <c r="I39" s="125"/>
      <c r="J39" s="125"/>
      <c r="K39" s="125"/>
      <c r="L39" s="125"/>
      <c r="M39" s="125"/>
      <c r="N39" s="125"/>
      <c r="O39" s="125"/>
      <c r="P39" s="125"/>
      <c r="Q39" s="125"/>
      <c r="R39" s="125"/>
      <c r="S39" s="125"/>
      <c r="T39" s="125"/>
      <c r="U39" s="125"/>
      <c r="V39" s="125"/>
      <c r="W39" s="125"/>
      <c r="X39" s="125"/>
      <c r="Y39" s="125"/>
      <c r="Z39" s="125"/>
    </row>
    <row r="40" ht="15.75" customHeight="1">
      <c r="A40" s="125"/>
      <c r="B40" s="125"/>
      <c r="C40" s="125"/>
      <c r="D40" s="125"/>
      <c r="E40" s="125"/>
      <c r="F40" s="125"/>
      <c r="G40" s="125"/>
      <c r="H40" s="125"/>
      <c r="I40" s="125"/>
      <c r="J40" s="125"/>
      <c r="K40" s="125"/>
      <c r="L40" s="125"/>
      <c r="M40" s="125"/>
      <c r="N40" s="125"/>
      <c r="O40" s="125"/>
      <c r="P40" s="125"/>
      <c r="Q40" s="125"/>
      <c r="R40" s="125"/>
      <c r="S40" s="125"/>
      <c r="T40" s="125"/>
      <c r="U40" s="125"/>
      <c r="V40" s="125"/>
      <c r="W40" s="125"/>
      <c r="X40" s="125"/>
      <c r="Y40" s="125"/>
      <c r="Z40" s="125"/>
    </row>
    <row r="41" ht="15.75" customHeight="1">
      <c r="A41" s="125"/>
      <c r="B41" s="125"/>
      <c r="C41" s="125"/>
      <c r="D41" s="125"/>
      <c r="E41" s="125"/>
      <c r="F41" s="125"/>
      <c r="G41" s="125"/>
      <c r="H41" s="125"/>
      <c r="I41" s="125"/>
      <c r="J41" s="125"/>
      <c r="K41" s="125"/>
      <c r="L41" s="125"/>
      <c r="M41" s="125"/>
      <c r="N41" s="125"/>
      <c r="O41" s="125"/>
      <c r="P41" s="125"/>
      <c r="Q41" s="125"/>
      <c r="R41" s="125"/>
      <c r="S41" s="125"/>
      <c r="T41" s="125"/>
      <c r="U41" s="125"/>
      <c r="V41" s="125"/>
      <c r="W41" s="125"/>
      <c r="X41" s="125"/>
      <c r="Y41" s="125"/>
      <c r="Z41" s="125"/>
    </row>
    <row r="42" ht="15.75" customHeight="1">
      <c r="A42" s="125"/>
      <c r="B42" s="125"/>
      <c r="C42" s="125"/>
      <c r="D42" s="125"/>
      <c r="E42" s="125"/>
      <c r="F42" s="125"/>
      <c r="G42" s="125"/>
      <c r="H42" s="125"/>
      <c r="I42" s="125"/>
      <c r="J42" s="125"/>
      <c r="K42" s="125"/>
      <c r="L42" s="125"/>
      <c r="M42" s="125"/>
      <c r="N42" s="125"/>
      <c r="O42" s="125"/>
      <c r="P42" s="125"/>
      <c r="Q42" s="125"/>
      <c r="R42" s="125"/>
      <c r="S42" s="125"/>
      <c r="T42" s="125"/>
      <c r="U42" s="125"/>
      <c r="V42" s="125"/>
      <c r="W42" s="125"/>
      <c r="X42" s="125"/>
      <c r="Y42" s="125"/>
      <c r="Z42" s="125"/>
    </row>
    <row r="43" ht="15.75" customHeight="1">
      <c r="A43" s="125"/>
      <c r="B43" s="125"/>
      <c r="C43" s="125"/>
      <c r="D43" s="125"/>
      <c r="E43" s="125"/>
      <c r="F43" s="125"/>
      <c r="G43" s="125"/>
      <c r="H43" s="125"/>
      <c r="I43" s="125"/>
      <c r="J43" s="125"/>
      <c r="K43" s="125"/>
      <c r="L43" s="125"/>
      <c r="M43" s="125"/>
      <c r="N43" s="125"/>
      <c r="O43" s="125"/>
      <c r="P43" s="125"/>
      <c r="Q43" s="125"/>
      <c r="R43" s="125"/>
      <c r="S43" s="125"/>
      <c r="T43" s="125"/>
      <c r="U43" s="125"/>
      <c r="V43" s="125"/>
      <c r="W43" s="125"/>
      <c r="X43" s="125"/>
      <c r="Y43" s="125"/>
      <c r="Z43" s="125"/>
    </row>
    <row r="44" ht="15.75" customHeight="1">
      <c r="A44" s="125"/>
      <c r="B44" s="125"/>
      <c r="C44" s="125"/>
      <c r="D44" s="125"/>
      <c r="E44" s="125"/>
      <c r="F44" s="125"/>
      <c r="G44" s="125"/>
      <c r="H44" s="125"/>
      <c r="I44" s="125"/>
      <c r="J44" s="125"/>
      <c r="K44" s="125"/>
      <c r="L44" s="125"/>
      <c r="M44" s="125"/>
      <c r="N44" s="125"/>
      <c r="O44" s="125"/>
      <c r="P44" s="125"/>
      <c r="Q44" s="125"/>
      <c r="R44" s="125"/>
      <c r="S44" s="125"/>
      <c r="T44" s="125"/>
      <c r="U44" s="125"/>
      <c r="V44" s="125"/>
      <c r="W44" s="125"/>
      <c r="X44" s="125"/>
      <c r="Y44" s="125"/>
      <c r="Z44" s="125"/>
    </row>
    <row r="45" ht="15.75" customHeight="1">
      <c r="A45" s="125"/>
      <c r="B45" s="125"/>
      <c r="C45" s="125"/>
      <c r="D45" s="125"/>
      <c r="E45" s="125"/>
      <c r="F45" s="125"/>
      <c r="G45" s="125"/>
      <c r="H45" s="125"/>
      <c r="I45" s="125"/>
      <c r="J45" s="125"/>
      <c r="K45" s="125"/>
      <c r="L45" s="125"/>
      <c r="M45" s="125"/>
      <c r="N45" s="125"/>
      <c r="O45" s="125"/>
      <c r="P45" s="125"/>
      <c r="Q45" s="125"/>
      <c r="R45" s="125"/>
      <c r="S45" s="125"/>
      <c r="T45" s="125"/>
      <c r="U45" s="125"/>
      <c r="V45" s="125"/>
      <c r="W45" s="125"/>
      <c r="X45" s="125"/>
      <c r="Y45" s="125"/>
      <c r="Z45" s="125"/>
    </row>
    <row r="46" ht="15.75" customHeight="1">
      <c r="A46" s="125"/>
      <c r="B46" s="125"/>
      <c r="C46" s="125"/>
      <c r="D46" s="125"/>
      <c r="E46" s="125"/>
      <c r="F46" s="125"/>
      <c r="G46" s="125"/>
      <c r="H46" s="125"/>
      <c r="I46" s="125"/>
      <c r="J46" s="125"/>
      <c r="K46" s="125"/>
      <c r="L46" s="125"/>
      <c r="M46" s="125"/>
      <c r="N46" s="125"/>
      <c r="O46" s="125"/>
      <c r="P46" s="125"/>
      <c r="Q46" s="125"/>
      <c r="R46" s="125"/>
      <c r="S46" s="125"/>
      <c r="T46" s="125"/>
      <c r="U46" s="125"/>
      <c r="V46" s="125"/>
      <c r="W46" s="125"/>
      <c r="X46" s="125"/>
      <c r="Y46" s="125"/>
      <c r="Z46" s="125"/>
    </row>
    <row r="47" ht="15.75" customHeight="1">
      <c r="A47" s="125"/>
      <c r="B47" s="125"/>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row>
    <row r="48" ht="15.75" customHeight="1">
      <c r="A48" s="125"/>
      <c r="B48" s="125"/>
      <c r="C48" s="125"/>
      <c r="D48" s="125"/>
      <c r="E48" s="125"/>
      <c r="F48" s="125"/>
      <c r="G48" s="125"/>
      <c r="H48" s="125"/>
      <c r="I48" s="125"/>
      <c r="J48" s="125"/>
      <c r="K48" s="125"/>
      <c r="L48" s="125"/>
      <c r="M48" s="125"/>
      <c r="N48" s="125"/>
      <c r="O48" s="125"/>
      <c r="P48" s="125"/>
      <c r="Q48" s="125"/>
      <c r="R48" s="125"/>
      <c r="S48" s="125"/>
      <c r="T48" s="125"/>
      <c r="U48" s="125"/>
      <c r="V48" s="125"/>
      <c r="W48" s="125"/>
      <c r="X48" s="125"/>
      <c r="Y48" s="125"/>
      <c r="Z48" s="125"/>
    </row>
    <row r="49" ht="15.75" customHeight="1">
      <c r="A49" s="125"/>
      <c r="B49" s="125"/>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row>
    <row r="50" ht="15.75" customHeight="1">
      <c r="A50" s="125"/>
      <c r="B50" s="125"/>
      <c r="C50" s="125"/>
      <c r="D50" s="125"/>
      <c r="E50" s="125"/>
      <c r="F50" s="125"/>
      <c r="G50" s="125"/>
      <c r="H50" s="125"/>
      <c r="I50" s="125"/>
      <c r="J50" s="125"/>
      <c r="K50" s="125"/>
      <c r="L50" s="125"/>
      <c r="M50" s="125"/>
      <c r="N50" s="125"/>
      <c r="O50" s="125"/>
      <c r="P50" s="125"/>
      <c r="Q50" s="125"/>
      <c r="R50" s="125"/>
      <c r="S50" s="125"/>
      <c r="T50" s="125"/>
      <c r="U50" s="125"/>
      <c r="V50" s="125"/>
      <c r="W50" s="125"/>
      <c r="X50" s="125"/>
      <c r="Y50" s="125"/>
      <c r="Z50" s="125"/>
    </row>
    <row r="51" ht="15.75" customHeight="1">
      <c r="A51" s="125"/>
      <c r="B51" s="125"/>
      <c r="C51" s="125"/>
      <c r="D51" s="125"/>
      <c r="E51" s="125"/>
      <c r="F51" s="125"/>
      <c r="G51" s="125"/>
      <c r="H51" s="125"/>
      <c r="I51" s="125"/>
      <c r="J51" s="125"/>
      <c r="K51" s="125"/>
      <c r="L51" s="125"/>
      <c r="M51" s="125"/>
      <c r="N51" s="125"/>
      <c r="O51" s="125"/>
      <c r="P51" s="125"/>
      <c r="Q51" s="125"/>
      <c r="R51" s="125"/>
      <c r="S51" s="125"/>
      <c r="T51" s="125"/>
      <c r="U51" s="125"/>
      <c r="V51" s="125"/>
      <c r="W51" s="125"/>
      <c r="X51" s="125"/>
      <c r="Y51" s="125"/>
      <c r="Z51" s="125"/>
    </row>
    <row r="52" ht="15.75" customHeight="1">
      <c r="A52" s="125"/>
      <c r="B52" s="125"/>
      <c r="C52" s="125"/>
      <c r="D52" s="125"/>
      <c r="E52" s="125"/>
      <c r="F52" s="125"/>
      <c r="G52" s="125"/>
      <c r="H52" s="125"/>
      <c r="I52" s="125"/>
      <c r="J52" s="125"/>
      <c r="K52" s="125"/>
      <c r="L52" s="125"/>
      <c r="M52" s="125"/>
      <c r="N52" s="125"/>
      <c r="O52" s="125"/>
      <c r="P52" s="125"/>
      <c r="Q52" s="125"/>
      <c r="R52" s="125"/>
      <c r="S52" s="125"/>
      <c r="T52" s="125"/>
      <c r="U52" s="125"/>
      <c r="V52" s="125"/>
      <c r="W52" s="125"/>
      <c r="X52" s="125"/>
      <c r="Y52" s="125"/>
      <c r="Z52" s="125"/>
    </row>
    <row r="53" ht="15.75" customHeight="1">
      <c r="A53" s="125"/>
      <c r="B53" s="125"/>
      <c r="C53" s="125"/>
      <c r="D53" s="125"/>
      <c r="E53" s="125"/>
      <c r="F53" s="125"/>
      <c r="G53" s="125"/>
      <c r="H53" s="125"/>
      <c r="I53" s="125"/>
      <c r="J53" s="125"/>
      <c r="K53" s="125"/>
      <c r="L53" s="125"/>
      <c r="M53" s="125"/>
      <c r="N53" s="125"/>
      <c r="O53" s="125"/>
      <c r="P53" s="125"/>
      <c r="Q53" s="125"/>
      <c r="R53" s="125"/>
      <c r="S53" s="125"/>
      <c r="T53" s="125"/>
      <c r="U53" s="125"/>
      <c r="V53" s="125"/>
      <c r="W53" s="125"/>
      <c r="X53" s="125"/>
      <c r="Y53" s="125"/>
      <c r="Z53" s="125"/>
    </row>
    <row r="54" ht="15.75" customHeight="1">
      <c r="A54" s="125"/>
      <c r="B54" s="125"/>
      <c r="C54" s="125"/>
      <c r="D54" s="125"/>
      <c r="E54" s="125"/>
      <c r="F54" s="125"/>
      <c r="G54" s="125"/>
      <c r="H54" s="125"/>
      <c r="I54" s="125"/>
      <c r="J54" s="125"/>
      <c r="K54" s="125"/>
      <c r="L54" s="125"/>
      <c r="M54" s="125"/>
      <c r="N54" s="125"/>
      <c r="O54" s="125"/>
      <c r="P54" s="125"/>
      <c r="Q54" s="125"/>
      <c r="R54" s="125"/>
      <c r="S54" s="125"/>
      <c r="T54" s="125"/>
      <c r="U54" s="125"/>
      <c r="V54" s="125"/>
      <c r="W54" s="125"/>
      <c r="X54" s="125"/>
      <c r="Y54" s="125"/>
      <c r="Z54" s="125"/>
    </row>
    <row r="55" ht="15.75" customHeight="1">
      <c r="A55" s="125"/>
      <c r="B55" s="125"/>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row>
    <row r="56" ht="15.75" customHeight="1">
      <c r="A56" s="125"/>
      <c r="B56" s="125"/>
      <c r="C56" s="125"/>
      <c r="D56" s="125"/>
      <c r="E56" s="125"/>
      <c r="F56" s="125"/>
      <c r="G56" s="125"/>
      <c r="H56" s="125"/>
      <c r="I56" s="125"/>
      <c r="J56" s="125"/>
      <c r="K56" s="125"/>
      <c r="L56" s="125"/>
      <c r="M56" s="125"/>
      <c r="N56" s="125"/>
      <c r="O56" s="125"/>
      <c r="P56" s="125"/>
      <c r="Q56" s="125"/>
      <c r="R56" s="125"/>
      <c r="S56" s="125"/>
      <c r="T56" s="125"/>
      <c r="U56" s="125"/>
      <c r="V56" s="125"/>
      <c r="W56" s="125"/>
      <c r="X56" s="125"/>
      <c r="Y56" s="125"/>
      <c r="Z56" s="125"/>
    </row>
    <row r="57" ht="15.75" customHeight="1">
      <c r="A57" s="125"/>
      <c r="B57" s="125"/>
      <c r="C57" s="125"/>
      <c r="D57" s="125"/>
      <c r="E57" s="125"/>
      <c r="F57" s="125"/>
      <c r="G57" s="125"/>
      <c r="H57" s="125"/>
      <c r="I57" s="125"/>
      <c r="J57" s="125"/>
      <c r="K57" s="125"/>
      <c r="L57" s="125"/>
      <c r="M57" s="125"/>
      <c r="N57" s="125"/>
      <c r="O57" s="125"/>
      <c r="P57" s="125"/>
      <c r="Q57" s="125"/>
      <c r="R57" s="125"/>
      <c r="S57" s="125"/>
      <c r="T57" s="125"/>
      <c r="U57" s="125"/>
      <c r="V57" s="125"/>
      <c r="W57" s="125"/>
      <c r="X57" s="125"/>
      <c r="Y57" s="125"/>
      <c r="Z57" s="125"/>
    </row>
    <row r="58" ht="15.75" customHeight="1">
      <c r="A58" s="125"/>
      <c r="B58" s="125"/>
      <c r="C58" s="125"/>
      <c r="D58" s="125"/>
      <c r="E58" s="125"/>
      <c r="F58" s="125"/>
      <c r="G58" s="125"/>
      <c r="H58" s="125"/>
      <c r="I58" s="125"/>
      <c r="J58" s="125"/>
      <c r="K58" s="125"/>
      <c r="L58" s="125"/>
      <c r="M58" s="125"/>
      <c r="N58" s="125"/>
      <c r="O58" s="125"/>
      <c r="P58" s="125"/>
      <c r="Q58" s="125"/>
      <c r="R58" s="125"/>
      <c r="S58" s="125"/>
      <c r="T58" s="125"/>
      <c r="U58" s="125"/>
      <c r="V58" s="125"/>
      <c r="W58" s="125"/>
      <c r="X58" s="125"/>
      <c r="Y58" s="125"/>
      <c r="Z58" s="125"/>
    </row>
    <row r="59" ht="15.75" customHeight="1">
      <c r="A59" s="125"/>
      <c r="B59" s="125"/>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row>
    <row r="60" ht="15.75" customHeight="1">
      <c r="A60" s="125"/>
      <c r="B60" s="125"/>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row>
    <row r="61" ht="15.75" customHeight="1">
      <c r="A61" s="125"/>
      <c r="B61" s="125"/>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row>
    <row r="62" ht="15.75" customHeight="1">
      <c r="A62" s="125"/>
      <c r="B62" s="125"/>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row>
    <row r="63" ht="15.75" customHeight="1">
      <c r="A63" s="125"/>
      <c r="B63" s="125"/>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row>
    <row r="64" ht="15.75" customHeight="1">
      <c r="A64" s="125"/>
      <c r="B64" s="125"/>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row>
    <row r="65" ht="15.75" customHeight="1">
      <c r="A65" s="125"/>
      <c r="B65" s="125"/>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row>
    <row r="66" ht="15.75" customHeight="1">
      <c r="A66" s="125"/>
      <c r="B66" s="125"/>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row>
    <row r="67" ht="15.75" customHeight="1">
      <c r="A67" s="125"/>
      <c r="B67" s="125"/>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row>
    <row r="68" ht="15.75" customHeight="1">
      <c r="A68" s="125"/>
      <c r="B68" s="125"/>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row>
    <row r="69" ht="15.75" customHeight="1">
      <c r="A69" s="125"/>
      <c r="B69" s="125"/>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row>
    <row r="70" ht="15.75" customHeight="1">
      <c r="A70" s="125"/>
      <c r="B70" s="125"/>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row>
    <row r="71" ht="15.75" customHeight="1">
      <c r="A71" s="125"/>
      <c r="B71" s="125"/>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row>
    <row r="72" ht="15.75" customHeight="1">
      <c r="A72" s="125"/>
      <c r="B72" s="125"/>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row>
    <row r="73" ht="15.75" customHeight="1">
      <c r="A73" s="125"/>
      <c r="B73" s="125"/>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row>
    <row r="74" ht="15.75" customHeight="1">
      <c r="A74" s="125"/>
      <c r="B74" s="125"/>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row>
    <row r="75" ht="15.75" customHeight="1">
      <c r="A75" s="125"/>
      <c r="B75" s="125"/>
      <c r="C75" s="125"/>
      <c r="D75" s="125"/>
      <c r="E75" s="125"/>
      <c r="F75" s="125"/>
      <c r="G75" s="125"/>
      <c r="H75" s="125"/>
      <c r="I75" s="125"/>
      <c r="J75" s="125"/>
      <c r="K75" s="125"/>
      <c r="L75" s="125"/>
      <c r="M75" s="125"/>
      <c r="N75" s="125"/>
      <c r="O75" s="125"/>
      <c r="P75" s="125"/>
      <c r="Q75" s="125"/>
      <c r="R75" s="125"/>
      <c r="S75" s="125"/>
      <c r="T75" s="125"/>
      <c r="U75" s="125"/>
      <c r="V75" s="125"/>
      <c r="W75" s="125"/>
      <c r="X75" s="125"/>
      <c r="Y75" s="125"/>
      <c r="Z75" s="125"/>
    </row>
    <row r="76" ht="15.75" customHeight="1">
      <c r="A76" s="125"/>
      <c r="B76" s="125"/>
      <c r="C76" s="125"/>
      <c r="D76" s="125"/>
      <c r="E76" s="125"/>
      <c r="F76" s="125"/>
      <c r="G76" s="125"/>
      <c r="H76" s="125"/>
      <c r="I76" s="125"/>
      <c r="J76" s="125"/>
      <c r="K76" s="125"/>
      <c r="L76" s="125"/>
      <c r="M76" s="125"/>
      <c r="N76" s="125"/>
      <c r="O76" s="125"/>
      <c r="P76" s="125"/>
      <c r="Q76" s="125"/>
      <c r="R76" s="125"/>
      <c r="S76" s="125"/>
      <c r="T76" s="125"/>
      <c r="U76" s="125"/>
      <c r="V76" s="125"/>
      <c r="W76" s="125"/>
      <c r="X76" s="125"/>
      <c r="Y76" s="125"/>
      <c r="Z76" s="125"/>
    </row>
    <row r="77" ht="15.75" customHeight="1">
      <c r="A77" s="125"/>
      <c r="B77" s="125"/>
      <c r="C77" s="125"/>
      <c r="D77" s="125"/>
      <c r="E77" s="125"/>
      <c r="F77" s="125"/>
      <c r="G77" s="125"/>
      <c r="H77" s="125"/>
      <c r="I77" s="125"/>
      <c r="J77" s="125"/>
      <c r="K77" s="125"/>
      <c r="L77" s="125"/>
      <c r="M77" s="125"/>
      <c r="N77" s="125"/>
      <c r="O77" s="125"/>
      <c r="P77" s="125"/>
      <c r="Q77" s="125"/>
      <c r="R77" s="125"/>
      <c r="S77" s="125"/>
      <c r="T77" s="125"/>
      <c r="U77" s="125"/>
      <c r="V77" s="125"/>
      <c r="W77" s="125"/>
      <c r="X77" s="125"/>
      <c r="Y77" s="125"/>
      <c r="Z77" s="125"/>
    </row>
    <row r="78" ht="15.75" customHeight="1">
      <c r="A78" s="125"/>
      <c r="B78" s="125"/>
      <c r="C78" s="125"/>
      <c r="D78" s="125"/>
      <c r="E78" s="125"/>
      <c r="F78" s="125"/>
      <c r="G78" s="125"/>
      <c r="H78" s="125"/>
      <c r="I78" s="125"/>
      <c r="J78" s="125"/>
      <c r="K78" s="125"/>
      <c r="L78" s="125"/>
      <c r="M78" s="125"/>
      <c r="N78" s="125"/>
      <c r="O78" s="125"/>
      <c r="P78" s="125"/>
      <c r="Q78" s="125"/>
      <c r="R78" s="125"/>
      <c r="S78" s="125"/>
      <c r="T78" s="125"/>
      <c r="U78" s="125"/>
      <c r="V78" s="125"/>
      <c r="W78" s="125"/>
      <c r="X78" s="125"/>
      <c r="Y78" s="125"/>
      <c r="Z78" s="125"/>
    </row>
    <row r="79" ht="15.75" customHeight="1">
      <c r="A79" s="125"/>
      <c r="B79" s="125"/>
      <c r="C79" s="125"/>
      <c r="D79" s="125"/>
      <c r="E79" s="125"/>
      <c r="F79" s="125"/>
      <c r="G79" s="125"/>
      <c r="H79" s="125"/>
      <c r="I79" s="125"/>
      <c r="J79" s="125"/>
      <c r="K79" s="125"/>
      <c r="L79" s="125"/>
      <c r="M79" s="125"/>
      <c r="N79" s="125"/>
      <c r="O79" s="125"/>
      <c r="P79" s="125"/>
      <c r="Q79" s="125"/>
      <c r="R79" s="125"/>
      <c r="S79" s="125"/>
      <c r="T79" s="125"/>
      <c r="U79" s="125"/>
      <c r="V79" s="125"/>
      <c r="W79" s="125"/>
      <c r="X79" s="125"/>
      <c r="Y79" s="125"/>
      <c r="Z79" s="125"/>
    </row>
    <row r="80" ht="15.75" customHeight="1">
      <c r="A80" s="125"/>
      <c r="B80" s="125"/>
      <c r="C80" s="125"/>
      <c r="D80" s="125"/>
      <c r="E80" s="125"/>
      <c r="F80" s="125"/>
      <c r="G80" s="125"/>
      <c r="H80" s="125"/>
      <c r="I80" s="125"/>
      <c r="J80" s="125"/>
      <c r="K80" s="125"/>
      <c r="L80" s="125"/>
      <c r="M80" s="125"/>
      <c r="N80" s="125"/>
      <c r="O80" s="125"/>
      <c r="P80" s="125"/>
      <c r="Q80" s="125"/>
      <c r="R80" s="125"/>
      <c r="S80" s="125"/>
      <c r="T80" s="125"/>
      <c r="U80" s="125"/>
      <c r="V80" s="125"/>
      <c r="W80" s="125"/>
      <c r="X80" s="125"/>
      <c r="Y80" s="125"/>
      <c r="Z80" s="125"/>
    </row>
    <row r="81" ht="15.75" customHeight="1">
      <c r="A81" s="125"/>
      <c r="B81" s="125"/>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row>
    <row r="82" ht="15.75" customHeight="1">
      <c r="A82" s="125"/>
      <c r="B82" s="125"/>
      <c r="C82" s="125"/>
      <c r="D82" s="125"/>
      <c r="E82" s="125"/>
      <c r="F82" s="125"/>
      <c r="G82" s="125"/>
      <c r="H82" s="125"/>
      <c r="I82" s="125"/>
      <c r="J82" s="125"/>
      <c r="K82" s="125"/>
      <c r="L82" s="125"/>
      <c r="M82" s="125"/>
      <c r="N82" s="125"/>
      <c r="O82" s="125"/>
      <c r="P82" s="125"/>
      <c r="Q82" s="125"/>
      <c r="R82" s="125"/>
      <c r="S82" s="125"/>
      <c r="T82" s="125"/>
      <c r="U82" s="125"/>
      <c r="V82" s="125"/>
      <c r="W82" s="125"/>
      <c r="X82" s="125"/>
      <c r="Y82" s="125"/>
      <c r="Z82" s="125"/>
    </row>
    <row r="83" ht="15.75" customHeight="1">
      <c r="A83" s="125"/>
      <c r="B83" s="125"/>
      <c r="C83" s="125"/>
      <c r="D83" s="125"/>
      <c r="E83" s="125"/>
      <c r="F83" s="125"/>
      <c r="G83" s="125"/>
      <c r="H83" s="125"/>
      <c r="I83" s="125"/>
      <c r="J83" s="125"/>
      <c r="K83" s="125"/>
      <c r="L83" s="125"/>
      <c r="M83" s="125"/>
      <c r="N83" s="125"/>
      <c r="O83" s="125"/>
      <c r="P83" s="125"/>
      <c r="Q83" s="125"/>
      <c r="R83" s="125"/>
      <c r="S83" s="125"/>
      <c r="T83" s="125"/>
      <c r="U83" s="125"/>
      <c r="V83" s="125"/>
      <c r="W83" s="125"/>
      <c r="X83" s="125"/>
      <c r="Y83" s="125"/>
      <c r="Z83" s="125"/>
    </row>
    <row r="84" ht="15.75" customHeight="1">
      <c r="A84" s="125"/>
      <c r="B84" s="125"/>
      <c r="C84" s="125"/>
      <c r="D84" s="125"/>
      <c r="E84" s="125"/>
      <c r="F84" s="125"/>
      <c r="G84" s="125"/>
      <c r="H84" s="125"/>
      <c r="I84" s="125"/>
      <c r="J84" s="125"/>
      <c r="K84" s="125"/>
      <c r="L84" s="125"/>
      <c r="M84" s="125"/>
      <c r="N84" s="125"/>
      <c r="O84" s="125"/>
      <c r="P84" s="125"/>
      <c r="Q84" s="125"/>
      <c r="R84" s="125"/>
      <c r="S84" s="125"/>
      <c r="T84" s="125"/>
      <c r="U84" s="125"/>
      <c r="V84" s="125"/>
      <c r="W84" s="125"/>
      <c r="X84" s="125"/>
      <c r="Y84" s="125"/>
      <c r="Z84" s="125"/>
    </row>
    <row r="85" ht="15.75" customHeight="1">
      <c r="A85" s="125"/>
      <c r="B85" s="125"/>
      <c r="C85" s="125"/>
      <c r="D85" s="125"/>
      <c r="E85" s="125"/>
      <c r="F85" s="125"/>
      <c r="G85" s="125"/>
      <c r="H85" s="125"/>
      <c r="I85" s="125"/>
      <c r="J85" s="125"/>
      <c r="K85" s="125"/>
      <c r="L85" s="125"/>
      <c r="M85" s="125"/>
      <c r="N85" s="125"/>
      <c r="O85" s="125"/>
      <c r="P85" s="125"/>
      <c r="Q85" s="125"/>
      <c r="R85" s="125"/>
      <c r="S85" s="125"/>
      <c r="T85" s="125"/>
      <c r="U85" s="125"/>
      <c r="V85" s="125"/>
      <c r="W85" s="125"/>
      <c r="X85" s="125"/>
      <c r="Y85" s="125"/>
      <c r="Z85" s="125"/>
    </row>
    <row r="86" ht="15.75" customHeight="1">
      <c r="A86" s="125"/>
      <c r="B86" s="125"/>
      <c r="C86" s="125"/>
      <c r="D86" s="125"/>
      <c r="E86" s="125"/>
      <c r="F86" s="125"/>
      <c r="G86" s="125"/>
      <c r="H86" s="125"/>
      <c r="I86" s="125"/>
      <c r="J86" s="125"/>
      <c r="K86" s="125"/>
      <c r="L86" s="125"/>
      <c r="M86" s="125"/>
      <c r="N86" s="125"/>
      <c r="O86" s="125"/>
      <c r="P86" s="125"/>
      <c r="Q86" s="125"/>
      <c r="R86" s="125"/>
      <c r="S86" s="125"/>
      <c r="T86" s="125"/>
      <c r="U86" s="125"/>
      <c r="V86" s="125"/>
      <c r="W86" s="125"/>
      <c r="X86" s="125"/>
      <c r="Y86" s="125"/>
      <c r="Z86" s="125"/>
    </row>
    <row r="87" ht="15.75" customHeight="1">
      <c r="A87" s="125"/>
      <c r="B87" s="125"/>
      <c r="C87" s="125"/>
      <c r="D87" s="125"/>
      <c r="E87" s="125"/>
      <c r="F87" s="125"/>
      <c r="G87" s="125"/>
      <c r="H87" s="125"/>
      <c r="I87" s="125"/>
      <c r="J87" s="125"/>
      <c r="K87" s="125"/>
      <c r="L87" s="125"/>
      <c r="M87" s="125"/>
      <c r="N87" s="125"/>
      <c r="O87" s="125"/>
      <c r="P87" s="125"/>
      <c r="Q87" s="125"/>
      <c r="R87" s="125"/>
      <c r="S87" s="125"/>
      <c r="T87" s="125"/>
      <c r="U87" s="125"/>
      <c r="V87" s="125"/>
      <c r="W87" s="125"/>
      <c r="X87" s="125"/>
      <c r="Y87" s="125"/>
      <c r="Z87" s="125"/>
    </row>
    <row r="88" ht="15.75" customHeight="1">
      <c r="A88" s="125"/>
      <c r="B88" s="125"/>
      <c r="C88" s="125"/>
      <c r="D88" s="125"/>
      <c r="E88" s="125"/>
      <c r="F88" s="125"/>
      <c r="G88" s="125"/>
      <c r="H88" s="125"/>
      <c r="I88" s="125"/>
      <c r="J88" s="125"/>
      <c r="K88" s="125"/>
      <c r="L88" s="125"/>
      <c r="M88" s="125"/>
      <c r="N88" s="125"/>
      <c r="O88" s="125"/>
      <c r="P88" s="125"/>
      <c r="Q88" s="125"/>
      <c r="R88" s="125"/>
      <c r="S88" s="125"/>
      <c r="T88" s="125"/>
      <c r="U88" s="125"/>
      <c r="V88" s="125"/>
      <c r="W88" s="125"/>
      <c r="X88" s="125"/>
      <c r="Y88" s="125"/>
      <c r="Z88" s="125"/>
    </row>
    <row r="89" ht="15.75" customHeight="1">
      <c r="A89" s="125"/>
      <c r="B89" s="125"/>
      <c r="C89" s="125"/>
      <c r="D89" s="125"/>
      <c r="E89" s="125"/>
      <c r="F89" s="125"/>
      <c r="G89" s="125"/>
      <c r="H89" s="125"/>
      <c r="I89" s="125"/>
      <c r="J89" s="125"/>
      <c r="K89" s="125"/>
      <c r="L89" s="125"/>
      <c r="M89" s="125"/>
      <c r="N89" s="125"/>
      <c r="O89" s="125"/>
      <c r="P89" s="125"/>
      <c r="Q89" s="125"/>
      <c r="R89" s="125"/>
      <c r="S89" s="125"/>
      <c r="T89" s="125"/>
      <c r="U89" s="125"/>
      <c r="V89" s="125"/>
      <c r="W89" s="125"/>
      <c r="X89" s="125"/>
      <c r="Y89" s="125"/>
      <c r="Z89" s="125"/>
    </row>
    <row r="90" ht="15.75" customHeight="1">
      <c r="A90" s="125"/>
      <c r="B90" s="125"/>
      <c r="C90" s="125"/>
      <c r="D90" s="125"/>
      <c r="E90" s="125"/>
      <c r="F90" s="125"/>
      <c r="G90" s="125"/>
      <c r="H90" s="125"/>
      <c r="I90" s="125"/>
      <c r="J90" s="125"/>
      <c r="K90" s="125"/>
      <c r="L90" s="125"/>
      <c r="M90" s="125"/>
      <c r="N90" s="125"/>
      <c r="O90" s="125"/>
      <c r="P90" s="125"/>
      <c r="Q90" s="125"/>
      <c r="R90" s="125"/>
      <c r="S90" s="125"/>
      <c r="T90" s="125"/>
      <c r="U90" s="125"/>
      <c r="V90" s="125"/>
      <c r="W90" s="125"/>
      <c r="X90" s="125"/>
      <c r="Y90" s="125"/>
      <c r="Z90" s="125"/>
    </row>
    <row r="91" ht="15.75" customHeight="1">
      <c r="A91" s="125"/>
      <c r="B91" s="125"/>
      <c r="C91" s="125"/>
      <c r="D91" s="125"/>
      <c r="E91" s="125"/>
      <c r="F91" s="125"/>
      <c r="G91" s="125"/>
      <c r="H91" s="125"/>
      <c r="I91" s="125"/>
      <c r="J91" s="125"/>
      <c r="K91" s="125"/>
      <c r="L91" s="125"/>
      <c r="M91" s="125"/>
      <c r="N91" s="125"/>
      <c r="O91" s="125"/>
      <c r="P91" s="125"/>
      <c r="Q91" s="125"/>
      <c r="R91" s="125"/>
      <c r="S91" s="125"/>
      <c r="T91" s="125"/>
      <c r="U91" s="125"/>
      <c r="V91" s="125"/>
      <c r="W91" s="125"/>
      <c r="X91" s="125"/>
      <c r="Y91" s="125"/>
      <c r="Z91" s="125"/>
    </row>
    <row r="92" ht="15.75" customHeight="1">
      <c r="A92" s="125"/>
      <c r="B92" s="125"/>
      <c r="C92" s="125"/>
      <c r="D92" s="125"/>
      <c r="E92" s="125"/>
      <c r="F92" s="125"/>
      <c r="G92" s="125"/>
      <c r="H92" s="125"/>
      <c r="I92" s="125"/>
      <c r="J92" s="125"/>
      <c r="K92" s="125"/>
      <c r="L92" s="125"/>
      <c r="M92" s="125"/>
      <c r="N92" s="125"/>
      <c r="O92" s="125"/>
      <c r="P92" s="125"/>
      <c r="Q92" s="125"/>
      <c r="R92" s="125"/>
      <c r="S92" s="125"/>
      <c r="T92" s="125"/>
      <c r="U92" s="125"/>
      <c r="V92" s="125"/>
      <c r="W92" s="125"/>
      <c r="X92" s="125"/>
      <c r="Y92" s="125"/>
      <c r="Z92" s="125"/>
    </row>
    <row r="93" ht="15.75" customHeight="1">
      <c r="A93" s="125"/>
      <c r="B93" s="125"/>
      <c r="C93" s="125"/>
      <c r="D93" s="125"/>
      <c r="E93" s="125"/>
      <c r="F93" s="125"/>
      <c r="G93" s="125"/>
      <c r="H93" s="125"/>
      <c r="I93" s="125"/>
      <c r="J93" s="125"/>
      <c r="K93" s="125"/>
      <c r="L93" s="125"/>
      <c r="M93" s="125"/>
      <c r="N93" s="125"/>
      <c r="O93" s="125"/>
      <c r="P93" s="125"/>
      <c r="Q93" s="125"/>
      <c r="R93" s="125"/>
      <c r="S93" s="125"/>
      <c r="T93" s="125"/>
      <c r="U93" s="125"/>
      <c r="V93" s="125"/>
      <c r="W93" s="125"/>
      <c r="X93" s="125"/>
      <c r="Y93" s="125"/>
      <c r="Z93" s="125"/>
    </row>
    <row r="94" ht="15.75" customHeight="1">
      <c r="A94" s="125"/>
      <c r="B94" s="125"/>
      <c r="C94" s="125"/>
      <c r="D94" s="125"/>
      <c r="E94" s="125"/>
      <c r="F94" s="125"/>
      <c r="G94" s="125"/>
      <c r="H94" s="125"/>
      <c r="I94" s="125"/>
      <c r="J94" s="125"/>
      <c r="K94" s="125"/>
      <c r="L94" s="125"/>
      <c r="M94" s="125"/>
      <c r="N94" s="125"/>
      <c r="O94" s="125"/>
      <c r="P94" s="125"/>
      <c r="Q94" s="125"/>
      <c r="R94" s="125"/>
      <c r="S94" s="125"/>
      <c r="T94" s="125"/>
      <c r="U94" s="125"/>
      <c r="V94" s="125"/>
      <c r="W94" s="125"/>
      <c r="X94" s="125"/>
      <c r="Y94" s="125"/>
      <c r="Z94" s="125"/>
    </row>
    <row r="95" ht="15.75" customHeight="1">
      <c r="A95" s="125"/>
      <c r="B95" s="125"/>
      <c r="C95" s="125"/>
      <c r="D95" s="125"/>
      <c r="E95" s="125"/>
      <c r="F95" s="125"/>
      <c r="G95" s="125"/>
      <c r="H95" s="125"/>
      <c r="I95" s="125"/>
      <c r="J95" s="125"/>
      <c r="K95" s="125"/>
      <c r="L95" s="125"/>
      <c r="M95" s="125"/>
      <c r="N95" s="125"/>
      <c r="O95" s="125"/>
      <c r="P95" s="125"/>
      <c r="Q95" s="125"/>
      <c r="R95" s="125"/>
      <c r="S95" s="125"/>
      <c r="T95" s="125"/>
      <c r="U95" s="125"/>
      <c r="V95" s="125"/>
      <c r="W95" s="125"/>
      <c r="X95" s="125"/>
      <c r="Y95" s="125"/>
      <c r="Z95" s="125"/>
    </row>
    <row r="96" ht="15.75" customHeight="1">
      <c r="A96" s="125"/>
      <c r="B96" s="125"/>
      <c r="C96" s="125"/>
      <c r="D96" s="125"/>
      <c r="E96" s="125"/>
      <c r="F96" s="125"/>
      <c r="G96" s="125"/>
      <c r="H96" s="125"/>
      <c r="I96" s="125"/>
      <c r="J96" s="125"/>
      <c r="K96" s="125"/>
      <c r="L96" s="125"/>
      <c r="M96" s="125"/>
      <c r="N96" s="125"/>
      <c r="O96" s="125"/>
      <c r="P96" s="125"/>
      <c r="Q96" s="125"/>
      <c r="R96" s="125"/>
      <c r="S96" s="125"/>
      <c r="T96" s="125"/>
      <c r="U96" s="125"/>
      <c r="V96" s="125"/>
      <c r="W96" s="125"/>
      <c r="X96" s="125"/>
      <c r="Y96" s="125"/>
      <c r="Z96" s="125"/>
    </row>
    <row r="97" ht="15.75" customHeight="1">
      <c r="A97" s="125"/>
      <c r="B97" s="125"/>
      <c r="C97" s="125"/>
      <c r="D97" s="125"/>
      <c r="E97" s="125"/>
      <c r="F97" s="125"/>
      <c r="G97" s="125"/>
      <c r="H97" s="125"/>
      <c r="I97" s="125"/>
      <c r="J97" s="125"/>
      <c r="K97" s="125"/>
      <c r="L97" s="125"/>
      <c r="M97" s="125"/>
      <c r="N97" s="125"/>
      <c r="O97" s="125"/>
      <c r="P97" s="125"/>
      <c r="Q97" s="125"/>
      <c r="R97" s="125"/>
      <c r="S97" s="125"/>
      <c r="T97" s="125"/>
      <c r="U97" s="125"/>
      <c r="V97" s="125"/>
      <c r="W97" s="125"/>
      <c r="X97" s="125"/>
      <c r="Y97" s="125"/>
      <c r="Z97" s="125"/>
    </row>
    <row r="98" ht="15.75" customHeight="1">
      <c r="A98" s="125"/>
      <c r="B98" s="125"/>
      <c r="C98" s="125"/>
      <c r="D98" s="125"/>
      <c r="E98" s="125"/>
      <c r="F98" s="125"/>
      <c r="G98" s="125"/>
      <c r="H98" s="125"/>
      <c r="I98" s="125"/>
      <c r="J98" s="125"/>
      <c r="K98" s="125"/>
      <c r="L98" s="125"/>
      <c r="M98" s="125"/>
      <c r="N98" s="125"/>
      <c r="O98" s="125"/>
      <c r="P98" s="125"/>
      <c r="Q98" s="125"/>
      <c r="R98" s="125"/>
      <c r="S98" s="125"/>
      <c r="T98" s="125"/>
      <c r="U98" s="125"/>
      <c r="V98" s="125"/>
      <c r="W98" s="125"/>
      <c r="X98" s="125"/>
      <c r="Y98" s="125"/>
      <c r="Z98" s="125"/>
    </row>
    <row r="99" ht="15.75" customHeight="1">
      <c r="A99" s="125"/>
      <c r="B99" s="125"/>
      <c r="C99" s="125"/>
      <c r="D99" s="125"/>
      <c r="E99" s="125"/>
      <c r="F99" s="125"/>
      <c r="G99" s="125"/>
      <c r="H99" s="125"/>
      <c r="I99" s="125"/>
      <c r="J99" s="125"/>
      <c r="K99" s="125"/>
      <c r="L99" s="125"/>
      <c r="M99" s="125"/>
      <c r="N99" s="125"/>
      <c r="O99" s="125"/>
      <c r="P99" s="125"/>
      <c r="Q99" s="125"/>
      <c r="R99" s="125"/>
      <c r="S99" s="125"/>
      <c r="T99" s="125"/>
      <c r="U99" s="125"/>
      <c r="V99" s="125"/>
      <c r="W99" s="125"/>
      <c r="X99" s="125"/>
      <c r="Y99" s="125"/>
      <c r="Z99" s="125"/>
    </row>
    <row r="100" ht="15.75" customHeight="1">
      <c r="A100" s="125"/>
      <c r="B100" s="125"/>
      <c r="C100" s="125"/>
      <c r="D100" s="125"/>
      <c r="E100" s="125"/>
      <c r="F100" s="125"/>
      <c r="G100" s="125"/>
      <c r="H100" s="125"/>
      <c r="I100" s="125"/>
      <c r="J100" s="125"/>
      <c r="K100" s="125"/>
      <c r="L100" s="125"/>
      <c r="M100" s="125"/>
      <c r="N100" s="125"/>
      <c r="O100" s="125"/>
      <c r="P100" s="125"/>
      <c r="Q100" s="125"/>
      <c r="R100" s="125"/>
      <c r="S100" s="125"/>
      <c r="T100" s="125"/>
      <c r="U100" s="125"/>
      <c r="V100" s="125"/>
      <c r="W100" s="125"/>
      <c r="X100" s="125"/>
      <c r="Y100" s="125"/>
      <c r="Z100" s="125"/>
    </row>
    <row r="101" ht="15.75" customHeight="1">
      <c r="A101" s="125"/>
      <c r="B101" s="125"/>
      <c r="C101" s="125"/>
      <c r="D101" s="125"/>
      <c r="E101" s="125"/>
      <c r="F101" s="125"/>
      <c r="G101" s="125"/>
      <c r="H101" s="125"/>
      <c r="I101" s="125"/>
      <c r="J101" s="125"/>
      <c r="K101" s="125"/>
      <c r="L101" s="125"/>
      <c r="M101" s="125"/>
      <c r="N101" s="125"/>
      <c r="O101" s="125"/>
      <c r="P101" s="125"/>
      <c r="Q101" s="125"/>
      <c r="R101" s="125"/>
      <c r="S101" s="125"/>
      <c r="T101" s="125"/>
      <c r="U101" s="125"/>
      <c r="V101" s="125"/>
      <c r="W101" s="125"/>
      <c r="X101" s="125"/>
      <c r="Y101" s="125"/>
      <c r="Z101" s="125"/>
    </row>
    <row r="102" ht="15.75" customHeight="1">
      <c r="A102" s="125"/>
      <c r="B102" s="125"/>
      <c r="C102" s="125"/>
      <c r="D102" s="125"/>
      <c r="E102" s="125"/>
      <c r="F102" s="125"/>
      <c r="G102" s="125"/>
      <c r="H102" s="125"/>
      <c r="I102" s="125"/>
      <c r="J102" s="125"/>
      <c r="K102" s="125"/>
      <c r="L102" s="125"/>
      <c r="M102" s="125"/>
      <c r="N102" s="125"/>
      <c r="O102" s="125"/>
      <c r="P102" s="125"/>
      <c r="Q102" s="125"/>
      <c r="R102" s="125"/>
      <c r="S102" s="125"/>
      <c r="T102" s="125"/>
      <c r="U102" s="125"/>
      <c r="V102" s="125"/>
      <c r="W102" s="125"/>
      <c r="X102" s="125"/>
      <c r="Y102" s="125"/>
      <c r="Z102" s="125"/>
    </row>
    <row r="103" ht="15.75" customHeight="1">
      <c r="A103" s="125"/>
      <c r="B103" s="125"/>
      <c r="C103" s="125"/>
      <c r="D103" s="125"/>
      <c r="E103" s="125"/>
      <c r="F103" s="125"/>
      <c r="G103" s="125"/>
      <c r="H103" s="125"/>
      <c r="I103" s="125"/>
      <c r="J103" s="125"/>
      <c r="K103" s="125"/>
      <c r="L103" s="125"/>
      <c r="M103" s="125"/>
      <c r="N103" s="125"/>
      <c r="O103" s="125"/>
      <c r="P103" s="125"/>
      <c r="Q103" s="125"/>
      <c r="R103" s="125"/>
      <c r="S103" s="125"/>
      <c r="T103" s="125"/>
      <c r="U103" s="125"/>
      <c r="V103" s="125"/>
      <c r="W103" s="125"/>
      <c r="X103" s="125"/>
      <c r="Y103" s="125"/>
      <c r="Z103" s="125"/>
    </row>
    <row r="104" ht="15.75" customHeight="1">
      <c r="A104" s="125"/>
      <c r="B104" s="125"/>
      <c r="C104" s="125"/>
      <c r="D104" s="125"/>
      <c r="E104" s="125"/>
      <c r="F104" s="125"/>
      <c r="G104" s="125"/>
      <c r="H104" s="125"/>
      <c r="I104" s="125"/>
      <c r="J104" s="125"/>
      <c r="K104" s="125"/>
      <c r="L104" s="125"/>
      <c r="M104" s="125"/>
      <c r="N104" s="125"/>
      <c r="O104" s="125"/>
      <c r="P104" s="125"/>
      <c r="Q104" s="125"/>
      <c r="R104" s="125"/>
      <c r="S104" s="125"/>
      <c r="T104" s="125"/>
      <c r="U104" s="125"/>
      <c r="V104" s="125"/>
      <c r="W104" s="125"/>
      <c r="X104" s="125"/>
      <c r="Y104" s="125"/>
      <c r="Z104" s="125"/>
    </row>
    <row r="105" ht="15.75" customHeight="1">
      <c r="A105" s="125"/>
      <c r="B105" s="125"/>
      <c r="C105" s="125"/>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ht="15.75" customHeight="1">
      <c r="A106" s="125"/>
      <c r="B106" s="125"/>
      <c r="C106" s="125"/>
      <c r="D106" s="125"/>
      <c r="E106" s="125"/>
      <c r="F106" s="125"/>
      <c r="G106" s="125"/>
      <c r="H106" s="125"/>
      <c r="I106" s="125"/>
      <c r="J106" s="125"/>
      <c r="K106" s="125"/>
      <c r="L106" s="125"/>
      <c r="M106" s="125"/>
      <c r="N106" s="125"/>
      <c r="O106" s="125"/>
      <c r="P106" s="125"/>
      <c r="Q106" s="125"/>
      <c r="R106" s="125"/>
      <c r="S106" s="125"/>
      <c r="T106" s="125"/>
      <c r="U106" s="125"/>
      <c r="V106" s="125"/>
      <c r="W106" s="125"/>
      <c r="X106" s="125"/>
      <c r="Y106" s="125"/>
      <c r="Z106" s="125"/>
    </row>
    <row r="107" ht="15.75" customHeight="1">
      <c r="A107" s="125"/>
      <c r="B107" s="125"/>
      <c r="C107" s="125"/>
      <c r="D107" s="125"/>
      <c r="E107" s="125"/>
      <c r="F107" s="125"/>
      <c r="G107" s="125"/>
      <c r="H107" s="125"/>
      <c r="I107" s="125"/>
      <c r="J107" s="125"/>
      <c r="K107" s="125"/>
      <c r="L107" s="125"/>
      <c r="M107" s="125"/>
      <c r="N107" s="125"/>
      <c r="O107" s="125"/>
      <c r="P107" s="125"/>
      <c r="Q107" s="125"/>
      <c r="R107" s="125"/>
      <c r="S107" s="125"/>
      <c r="T107" s="125"/>
      <c r="U107" s="125"/>
      <c r="V107" s="125"/>
      <c r="W107" s="125"/>
      <c r="X107" s="125"/>
      <c r="Y107" s="125"/>
      <c r="Z107" s="125"/>
    </row>
    <row r="108" ht="15.75" customHeight="1">
      <c r="A108" s="125"/>
      <c r="B108" s="125"/>
      <c r="C108" s="125"/>
      <c r="D108" s="125"/>
      <c r="E108" s="125"/>
      <c r="F108" s="125"/>
      <c r="G108" s="125"/>
      <c r="H108" s="125"/>
      <c r="I108" s="125"/>
      <c r="J108" s="125"/>
      <c r="K108" s="125"/>
      <c r="L108" s="125"/>
      <c r="M108" s="125"/>
      <c r="N108" s="125"/>
      <c r="O108" s="125"/>
      <c r="P108" s="125"/>
      <c r="Q108" s="125"/>
      <c r="R108" s="125"/>
      <c r="S108" s="125"/>
      <c r="T108" s="125"/>
      <c r="U108" s="125"/>
      <c r="V108" s="125"/>
      <c r="W108" s="125"/>
      <c r="X108" s="125"/>
      <c r="Y108" s="125"/>
      <c r="Z108" s="125"/>
    </row>
    <row r="109" ht="15.75" customHeight="1">
      <c r="A109" s="125"/>
      <c r="B109" s="125"/>
      <c r="C109" s="125"/>
      <c r="D109" s="125"/>
      <c r="E109" s="125"/>
      <c r="F109" s="125"/>
      <c r="G109" s="125"/>
      <c r="H109" s="125"/>
      <c r="I109" s="125"/>
      <c r="J109" s="125"/>
      <c r="K109" s="125"/>
      <c r="L109" s="125"/>
      <c r="M109" s="125"/>
      <c r="N109" s="125"/>
      <c r="O109" s="125"/>
      <c r="P109" s="125"/>
      <c r="Q109" s="125"/>
      <c r="R109" s="125"/>
      <c r="S109" s="125"/>
      <c r="T109" s="125"/>
      <c r="U109" s="125"/>
      <c r="V109" s="125"/>
      <c r="W109" s="125"/>
      <c r="X109" s="125"/>
      <c r="Y109" s="125"/>
      <c r="Z109" s="125"/>
    </row>
    <row r="110" ht="15.75" customHeight="1">
      <c r="A110" s="125"/>
      <c r="B110" s="125"/>
      <c r="C110" s="125"/>
      <c r="D110" s="125"/>
      <c r="E110" s="125"/>
      <c r="F110" s="125"/>
      <c r="G110" s="125"/>
      <c r="H110" s="125"/>
      <c r="I110" s="125"/>
      <c r="J110" s="125"/>
      <c r="K110" s="125"/>
      <c r="L110" s="125"/>
      <c r="M110" s="125"/>
      <c r="N110" s="125"/>
      <c r="O110" s="125"/>
      <c r="P110" s="125"/>
      <c r="Q110" s="125"/>
      <c r="R110" s="125"/>
      <c r="S110" s="125"/>
      <c r="T110" s="125"/>
      <c r="U110" s="125"/>
      <c r="V110" s="125"/>
      <c r="W110" s="125"/>
      <c r="X110" s="125"/>
      <c r="Y110" s="125"/>
      <c r="Z110" s="125"/>
    </row>
    <row r="111" ht="15.75" customHeight="1">
      <c r="A111" s="125"/>
      <c r="B111" s="125"/>
      <c r="C111" s="125"/>
      <c r="D111" s="125"/>
      <c r="E111" s="125"/>
      <c r="F111" s="125"/>
      <c r="G111" s="125"/>
      <c r="H111" s="125"/>
      <c r="I111" s="125"/>
      <c r="J111" s="125"/>
      <c r="K111" s="125"/>
      <c r="L111" s="125"/>
      <c r="M111" s="125"/>
      <c r="N111" s="125"/>
      <c r="O111" s="125"/>
      <c r="P111" s="125"/>
      <c r="Q111" s="125"/>
      <c r="R111" s="125"/>
      <c r="S111" s="125"/>
      <c r="T111" s="125"/>
      <c r="U111" s="125"/>
      <c r="V111" s="125"/>
      <c r="W111" s="125"/>
      <c r="X111" s="125"/>
      <c r="Y111" s="125"/>
      <c r="Z111" s="125"/>
    </row>
    <row r="112" ht="15.75" customHeight="1">
      <c r="A112" s="125"/>
      <c r="B112" s="125"/>
      <c r="C112" s="125"/>
      <c r="D112" s="125"/>
      <c r="E112" s="125"/>
      <c r="F112" s="125"/>
      <c r="G112" s="125"/>
      <c r="H112" s="125"/>
      <c r="I112" s="125"/>
      <c r="J112" s="125"/>
      <c r="K112" s="125"/>
      <c r="L112" s="125"/>
      <c r="M112" s="125"/>
      <c r="N112" s="125"/>
      <c r="O112" s="125"/>
      <c r="P112" s="125"/>
      <c r="Q112" s="125"/>
      <c r="R112" s="125"/>
      <c r="S112" s="125"/>
      <c r="T112" s="125"/>
      <c r="U112" s="125"/>
      <c r="V112" s="125"/>
      <c r="W112" s="125"/>
      <c r="X112" s="125"/>
      <c r="Y112" s="125"/>
      <c r="Z112" s="125"/>
    </row>
    <row r="113" ht="15.75" customHeight="1">
      <c r="A113" s="125"/>
      <c r="B113" s="125"/>
      <c r="C113" s="125"/>
      <c r="D113" s="125"/>
      <c r="E113" s="125"/>
      <c r="F113" s="125"/>
      <c r="G113" s="125"/>
      <c r="H113" s="125"/>
      <c r="I113" s="125"/>
      <c r="J113" s="125"/>
      <c r="K113" s="125"/>
      <c r="L113" s="125"/>
      <c r="M113" s="125"/>
      <c r="N113" s="125"/>
      <c r="O113" s="125"/>
      <c r="P113" s="125"/>
      <c r="Q113" s="125"/>
      <c r="R113" s="125"/>
      <c r="S113" s="125"/>
      <c r="T113" s="125"/>
      <c r="U113" s="125"/>
      <c r="V113" s="125"/>
      <c r="W113" s="125"/>
      <c r="X113" s="125"/>
      <c r="Y113" s="125"/>
      <c r="Z113" s="125"/>
    </row>
    <row r="114" ht="15.75" customHeight="1">
      <c r="A114" s="125"/>
      <c r="B114" s="125"/>
      <c r="C114" s="125"/>
      <c r="D114" s="125"/>
      <c r="E114" s="125"/>
      <c r="F114" s="125"/>
      <c r="G114" s="125"/>
      <c r="H114" s="125"/>
      <c r="I114" s="125"/>
      <c r="J114" s="125"/>
      <c r="K114" s="125"/>
      <c r="L114" s="125"/>
      <c r="M114" s="125"/>
      <c r="N114" s="125"/>
      <c r="O114" s="125"/>
      <c r="P114" s="125"/>
      <c r="Q114" s="125"/>
      <c r="R114" s="125"/>
      <c r="S114" s="125"/>
      <c r="T114" s="125"/>
      <c r="U114" s="125"/>
      <c r="V114" s="125"/>
      <c r="W114" s="125"/>
      <c r="X114" s="125"/>
      <c r="Y114" s="125"/>
      <c r="Z114" s="125"/>
    </row>
    <row r="115" ht="15.75" customHeight="1">
      <c r="A115" s="125"/>
      <c r="B115" s="125"/>
      <c r="C115" s="125"/>
      <c r="D115" s="125"/>
      <c r="E115" s="125"/>
      <c r="F115" s="125"/>
      <c r="G115" s="125"/>
      <c r="H115" s="125"/>
      <c r="I115" s="125"/>
      <c r="J115" s="125"/>
      <c r="K115" s="125"/>
      <c r="L115" s="125"/>
      <c r="M115" s="125"/>
      <c r="N115" s="125"/>
      <c r="O115" s="125"/>
      <c r="P115" s="125"/>
      <c r="Q115" s="125"/>
      <c r="R115" s="125"/>
      <c r="S115" s="125"/>
      <c r="T115" s="125"/>
      <c r="U115" s="125"/>
      <c r="V115" s="125"/>
      <c r="W115" s="125"/>
      <c r="X115" s="125"/>
      <c r="Y115" s="125"/>
      <c r="Z115" s="125"/>
    </row>
    <row r="116" ht="15.75" customHeight="1">
      <c r="A116" s="125"/>
      <c r="B116" s="125"/>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row>
    <row r="117" ht="15.75" customHeight="1">
      <c r="A117" s="125"/>
      <c r="B117" s="125"/>
      <c r="C117" s="125"/>
      <c r="D117" s="125"/>
      <c r="E117" s="125"/>
      <c r="F117" s="125"/>
      <c r="G117" s="125"/>
      <c r="H117" s="125"/>
      <c r="I117" s="125"/>
      <c r="J117" s="125"/>
      <c r="K117" s="125"/>
      <c r="L117" s="125"/>
      <c r="M117" s="125"/>
      <c r="N117" s="125"/>
      <c r="O117" s="125"/>
      <c r="P117" s="125"/>
      <c r="Q117" s="125"/>
      <c r="R117" s="125"/>
      <c r="S117" s="125"/>
      <c r="T117" s="125"/>
      <c r="U117" s="125"/>
      <c r="V117" s="125"/>
      <c r="W117" s="125"/>
      <c r="X117" s="125"/>
      <c r="Y117" s="125"/>
      <c r="Z117" s="125"/>
    </row>
    <row r="118" ht="15.75" customHeight="1">
      <c r="A118" s="125"/>
      <c r="B118" s="125"/>
      <c r="C118" s="125"/>
      <c r="D118" s="125"/>
      <c r="E118" s="125"/>
      <c r="F118" s="125"/>
      <c r="G118" s="125"/>
      <c r="H118" s="125"/>
      <c r="I118" s="125"/>
      <c r="J118" s="125"/>
      <c r="K118" s="125"/>
      <c r="L118" s="125"/>
      <c r="M118" s="125"/>
      <c r="N118" s="125"/>
      <c r="O118" s="125"/>
      <c r="P118" s="125"/>
      <c r="Q118" s="125"/>
      <c r="R118" s="125"/>
      <c r="S118" s="125"/>
      <c r="T118" s="125"/>
      <c r="U118" s="125"/>
      <c r="V118" s="125"/>
      <c r="W118" s="125"/>
      <c r="X118" s="125"/>
      <c r="Y118" s="125"/>
      <c r="Z118" s="125"/>
    </row>
    <row r="119" ht="15.75" customHeight="1">
      <c r="A119" s="125"/>
      <c r="B119" s="125"/>
      <c r="C119" s="125"/>
      <c r="D119" s="125"/>
      <c r="E119" s="125"/>
      <c r="F119" s="125"/>
      <c r="G119" s="125"/>
      <c r="H119" s="125"/>
      <c r="I119" s="125"/>
      <c r="J119" s="125"/>
      <c r="K119" s="125"/>
      <c r="L119" s="125"/>
      <c r="M119" s="125"/>
      <c r="N119" s="125"/>
      <c r="O119" s="125"/>
      <c r="P119" s="125"/>
      <c r="Q119" s="125"/>
      <c r="R119" s="125"/>
      <c r="S119" s="125"/>
      <c r="T119" s="125"/>
      <c r="U119" s="125"/>
      <c r="V119" s="125"/>
      <c r="W119" s="125"/>
      <c r="X119" s="125"/>
      <c r="Y119" s="125"/>
      <c r="Z119" s="125"/>
    </row>
    <row r="120" ht="15.75" customHeight="1">
      <c r="A120" s="125"/>
      <c r="B120" s="125"/>
      <c r="C120" s="125"/>
      <c r="D120" s="125"/>
      <c r="E120" s="125"/>
      <c r="F120" s="125"/>
      <c r="G120" s="125"/>
      <c r="H120" s="125"/>
      <c r="I120" s="125"/>
      <c r="J120" s="125"/>
      <c r="K120" s="125"/>
      <c r="L120" s="125"/>
      <c r="M120" s="125"/>
      <c r="N120" s="125"/>
      <c r="O120" s="125"/>
      <c r="P120" s="125"/>
      <c r="Q120" s="125"/>
      <c r="R120" s="125"/>
      <c r="S120" s="125"/>
      <c r="T120" s="125"/>
      <c r="U120" s="125"/>
      <c r="V120" s="125"/>
      <c r="W120" s="125"/>
      <c r="X120" s="125"/>
      <c r="Y120" s="125"/>
      <c r="Z120" s="125"/>
    </row>
    <row r="121" ht="15.75" customHeight="1">
      <c r="A121" s="125"/>
      <c r="B121" s="125"/>
      <c r="C121" s="125"/>
      <c r="D121" s="125"/>
      <c r="E121" s="125"/>
      <c r="F121" s="125"/>
      <c r="G121" s="125"/>
      <c r="H121" s="125"/>
      <c r="I121" s="125"/>
      <c r="J121" s="125"/>
      <c r="K121" s="125"/>
      <c r="L121" s="125"/>
      <c r="M121" s="125"/>
      <c r="N121" s="125"/>
      <c r="O121" s="125"/>
      <c r="P121" s="125"/>
      <c r="Q121" s="125"/>
      <c r="R121" s="125"/>
      <c r="S121" s="125"/>
      <c r="T121" s="125"/>
      <c r="U121" s="125"/>
      <c r="V121" s="125"/>
      <c r="W121" s="125"/>
      <c r="X121" s="125"/>
      <c r="Y121" s="125"/>
      <c r="Z121" s="125"/>
    </row>
    <row r="122" ht="15.75" customHeight="1">
      <c r="A122" s="125"/>
      <c r="B122" s="125"/>
      <c r="C122" s="125"/>
      <c r="D122" s="125"/>
      <c r="E122" s="125"/>
      <c r="F122" s="125"/>
      <c r="G122" s="125"/>
      <c r="H122" s="125"/>
      <c r="I122" s="125"/>
      <c r="J122" s="125"/>
      <c r="K122" s="125"/>
      <c r="L122" s="125"/>
      <c r="M122" s="125"/>
      <c r="N122" s="125"/>
      <c r="O122" s="125"/>
      <c r="P122" s="125"/>
      <c r="Q122" s="125"/>
      <c r="R122" s="125"/>
      <c r="S122" s="125"/>
      <c r="T122" s="125"/>
      <c r="U122" s="125"/>
      <c r="V122" s="125"/>
      <c r="W122" s="125"/>
      <c r="X122" s="125"/>
      <c r="Y122" s="125"/>
      <c r="Z122" s="125"/>
    </row>
    <row r="123" ht="15.75" customHeight="1">
      <c r="A123" s="125"/>
      <c r="B123" s="125"/>
      <c r="C123" s="125"/>
      <c r="D123" s="125"/>
      <c r="E123" s="125"/>
      <c r="F123" s="125"/>
      <c r="G123" s="125"/>
      <c r="H123" s="125"/>
      <c r="I123" s="125"/>
      <c r="J123" s="125"/>
      <c r="K123" s="125"/>
      <c r="L123" s="125"/>
      <c r="M123" s="125"/>
      <c r="N123" s="125"/>
      <c r="O123" s="125"/>
      <c r="P123" s="125"/>
      <c r="Q123" s="125"/>
      <c r="R123" s="125"/>
      <c r="S123" s="125"/>
      <c r="T123" s="125"/>
      <c r="U123" s="125"/>
      <c r="V123" s="125"/>
      <c r="W123" s="125"/>
      <c r="X123" s="125"/>
      <c r="Y123" s="125"/>
      <c r="Z123" s="125"/>
    </row>
    <row r="124" ht="15.75" customHeight="1">
      <c r="A124" s="125"/>
      <c r="B124" s="125"/>
      <c r="C124" s="125"/>
      <c r="D124" s="125"/>
      <c r="E124" s="125"/>
      <c r="F124" s="125"/>
      <c r="G124" s="125"/>
      <c r="H124" s="125"/>
      <c r="I124" s="125"/>
      <c r="J124" s="125"/>
      <c r="K124" s="125"/>
      <c r="L124" s="125"/>
      <c r="M124" s="125"/>
      <c r="N124" s="125"/>
      <c r="O124" s="125"/>
      <c r="P124" s="125"/>
      <c r="Q124" s="125"/>
      <c r="R124" s="125"/>
      <c r="S124" s="125"/>
      <c r="T124" s="125"/>
      <c r="U124" s="125"/>
      <c r="V124" s="125"/>
      <c r="W124" s="125"/>
      <c r="X124" s="125"/>
      <c r="Y124" s="125"/>
      <c r="Z124" s="125"/>
    </row>
    <row r="125" ht="15.75" customHeight="1">
      <c r="A125" s="125"/>
      <c r="B125" s="125"/>
      <c r="C125" s="125"/>
      <c r="D125" s="125"/>
      <c r="E125" s="125"/>
      <c r="F125" s="125"/>
      <c r="G125" s="125"/>
      <c r="H125" s="125"/>
      <c r="I125" s="125"/>
      <c r="J125" s="125"/>
      <c r="K125" s="125"/>
      <c r="L125" s="125"/>
      <c r="M125" s="125"/>
      <c r="N125" s="125"/>
      <c r="O125" s="125"/>
      <c r="P125" s="125"/>
      <c r="Q125" s="125"/>
      <c r="R125" s="125"/>
      <c r="S125" s="125"/>
      <c r="T125" s="125"/>
      <c r="U125" s="125"/>
      <c r="V125" s="125"/>
      <c r="W125" s="125"/>
      <c r="X125" s="125"/>
      <c r="Y125" s="125"/>
      <c r="Z125" s="125"/>
    </row>
    <row r="126" ht="15.75" customHeight="1">
      <c r="A126" s="125"/>
      <c r="B126" s="125"/>
      <c r="C126" s="125"/>
      <c r="D126" s="125"/>
      <c r="E126" s="125"/>
      <c r="F126" s="125"/>
      <c r="G126" s="125"/>
      <c r="H126" s="125"/>
      <c r="I126" s="125"/>
      <c r="J126" s="125"/>
      <c r="K126" s="125"/>
      <c r="L126" s="125"/>
      <c r="M126" s="125"/>
      <c r="N126" s="125"/>
      <c r="O126" s="125"/>
      <c r="P126" s="125"/>
      <c r="Q126" s="125"/>
      <c r="R126" s="125"/>
      <c r="S126" s="125"/>
      <c r="T126" s="125"/>
      <c r="U126" s="125"/>
      <c r="V126" s="125"/>
      <c r="W126" s="125"/>
      <c r="X126" s="125"/>
      <c r="Y126" s="125"/>
      <c r="Z126" s="125"/>
    </row>
    <row r="127" ht="15.75" customHeight="1">
      <c r="A127" s="125"/>
      <c r="B127" s="125"/>
      <c r="C127" s="125"/>
      <c r="D127" s="125"/>
      <c r="E127" s="125"/>
      <c r="F127" s="125"/>
      <c r="G127" s="125"/>
      <c r="H127" s="125"/>
      <c r="I127" s="125"/>
      <c r="J127" s="125"/>
      <c r="K127" s="125"/>
      <c r="L127" s="125"/>
      <c r="M127" s="125"/>
      <c r="N127" s="125"/>
      <c r="O127" s="125"/>
      <c r="P127" s="125"/>
      <c r="Q127" s="125"/>
      <c r="R127" s="125"/>
      <c r="S127" s="125"/>
      <c r="T127" s="125"/>
      <c r="U127" s="125"/>
      <c r="V127" s="125"/>
      <c r="W127" s="125"/>
      <c r="X127" s="125"/>
      <c r="Y127" s="125"/>
      <c r="Z127" s="125"/>
    </row>
    <row r="128" ht="15.75" customHeight="1">
      <c r="A128" s="125"/>
      <c r="B128" s="125"/>
      <c r="C128" s="12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row>
    <row r="129" ht="15.75" customHeight="1">
      <c r="A129" s="125"/>
      <c r="B129" s="125"/>
      <c r="C129" s="12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125"/>
    </row>
    <row r="130" ht="15.75" customHeight="1">
      <c r="A130" s="125"/>
      <c r="B130" s="125"/>
      <c r="C130" s="12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125"/>
    </row>
    <row r="131" ht="15.75" customHeight="1">
      <c r="A131" s="125"/>
      <c r="B131" s="125"/>
      <c r="C131" s="125"/>
      <c r="D131" s="125"/>
      <c r="E131" s="125"/>
      <c r="F131" s="125"/>
      <c r="G131" s="125"/>
      <c r="H131" s="125"/>
      <c r="I131" s="125"/>
      <c r="J131" s="125"/>
      <c r="K131" s="125"/>
      <c r="L131" s="125"/>
      <c r="M131" s="125"/>
      <c r="N131" s="125"/>
      <c r="O131" s="125"/>
      <c r="P131" s="125"/>
      <c r="Q131" s="125"/>
      <c r="R131" s="125"/>
      <c r="S131" s="125"/>
      <c r="T131" s="125"/>
      <c r="U131" s="125"/>
      <c r="V131" s="125"/>
      <c r="W131" s="125"/>
      <c r="X131" s="125"/>
      <c r="Y131" s="125"/>
      <c r="Z131" s="125"/>
    </row>
    <row r="132" ht="15.75" customHeight="1">
      <c r="A132" s="125"/>
      <c r="B132" s="125"/>
      <c r="C132" s="125"/>
      <c r="D132" s="125"/>
      <c r="E132" s="125"/>
      <c r="F132" s="125"/>
      <c r="G132" s="125"/>
      <c r="H132" s="125"/>
      <c r="I132" s="125"/>
      <c r="J132" s="125"/>
      <c r="K132" s="125"/>
      <c r="L132" s="125"/>
      <c r="M132" s="125"/>
      <c r="N132" s="125"/>
      <c r="O132" s="125"/>
      <c r="P132" s="125"/>
      <c r="Q132" s="125"/>
      <c r="R132" s="125"/>
      <c r="S132" s="125"/>
      <c r="T132" s="125"/>
      <c r="U132" s="125"/>
      <c r="V132" s="125"/>
      <c r="W132" s="125"/>
      <c r="X132" s="125"/>
      <c r="Y132" s="125"/>
      <c r="Z132" s="125"/>
    </row>
    <row r="133" ht="15.75" customHeight="1">
      <c r="A133" s="125"/>
      <c r="B133" s="125"/>
      <c r="C133" s="125"/>
      <c r="D133" s="125"/>
      <c r="E133" s="125"/>
      <c r="F133" s="125"/>
      <c r="G133" s="125"/>
      <c r="H133" s="125"/>
      <c r="I133" s="125"/>
      <c r="J133" s="125"/>
      <c r="K133" s="125"/>
      <c r="L133" s="125"/>
      <c r="M133" s="125"/>
      <c r="N133" s="125"/>
      <c r="O133" s="125"/>
      <c r="P133" s="125"/>
      <c r="Q133" s="125"/>
      <c r="R133" s="125"/>
      <c r="S133" s="125"/>
      <c r="T133" s="125"/>
      <c r="U133" s="125"/>
      <c r="V133" s="125"/>
      <c r="W133" s="125"/>
      <c r="X133" s="125"/>
      <c r="Y133" s="125"/>
      <c r="Z133" s="125"/>
    </row>
    <row r="134" ht="15.75" customHeight="1">
      <c r="A134" s="125"/>
      <c r="B134" s="125"/>
      <c r="C134" s="125"/>
      <c r="D134" s="125"/>
      <c r="E134" s="125"/>
      <c r="F134" s="125"/>
      <c r="G134" s="125"/>
      <c r="H134" s="125"/>
      <c r="I134" s="125"/>
      <c r="J134" s="125"/>
      <c r="K134" s="125"/>
      <c r="L134" s="125"/>
      <c r="M134" s="125"/>
      <c r="N134" s="125"/>
      <c r="O134" s="125"/>
      <c r="P134" s="125"/>
      <c r="Q134" s="125"/>
      <c r="R134" s="125"/>
      <c r="S134" s="125"/>
      <c r="T134" s="125"/>
      <c r="U134" s="125"/>
      <c r="V134" s="125"/>
      <c r="W134" s="125"/>
      <c r="X134" s="125"/>
      <c r="Y134" s="125"/>
      <c r="Z134" s="125"/>
    </row>
    <row r="135" ht="15.75" customHeight="1">
      <c r="A135" s="125"/>
      <c r="B135" s="125"/>
      <c r="C135" s="12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row>
    <row r="136" ht="15.75" customHeight="1">
      <c r="A136" s="125"/>
      <c r="B136" s="125"/>
      <c r="C136" s="12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row>
    <row r="137" ht="15.75" customHeight="1">
      <c r="A137" s="125"/>
      <c r="B137" s="125"/>
      <c r="C137" s="12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c r="Z137" s="125"/>
    </row>
    <row r="138" ht="15.75" customHeight="1">
      <c r="A138" s="125"/>
      <c r="B138" s="125"/>
      <c r="C138" s="12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125"/>
    </row>
    <row r="139" ht="15.75" customHeight="1">
      <c r="A139" s="125"/>
      <c r="B139" s="125"/>
      <c r="C139" s="12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row>
    <row r="140" ht="15.75" customHeight="1">
      <c r="A140" s="125"/>
      <c r="B140" s="125"/>
      <c r="C140" s="125"/>
      <c r="D140" s="125"/>
      <c r="E140" s="125"/>
      <c r="F140" s="125"/>
      <c r="G140" s="125"/>
      <c r="H140" s="125"/>
      <c r="I140" s="125"/>
      <c r="J140" s="125"/>
      <c r="K140" s="125"/>
      <c r="L140" s="125"/>
      <c r="M140" s="125"/>
      <c r="N140" s="125"/>
      <c r="O140" s="125"/>
      <c r="P140" s="125"/>
      <c r="Q140" s="125"/>
      <c r="R140" s="125"/>
      <c r="S140" s="125"/>
      <c r="T140" s="125"/>
      <c r="U140" s="125"/>
      <c r="V140" s="125"/>
      <c r="W140" s="125"/>
      <c r="X140" s="125"/>
      <c r="Y140" s="125"/>
      <c r="Z140" s="125"/>
    </row>
    <row r="141" ht="15.75" customHeight="1">
      <c r="A141" s="125"/>
      <c r="B141" s="125"/>
      <c r="C141" s="125"/>
      <c r="D141" s="125"/>
      <c r="E141" s="125"/>
      <c r="F141" s="125"/>
      <c r="G141" s="125"/>
      <c r="H141" s="125"/>
      <c r="I141" s="125"/>
      <c r="J141" s="125"/>
      <c r="K141" s="125"/>
      <c r="L141" s="125"/>
      <c r="M141" s="125"/>
      <c r="N141" s="125"/>
      <c r="O141" s="125"/>
      <c r="P141" s="125"/>
      <c r="Q141" s="125"/>
      <c r="R141" s="125"/>
      <c r="S141" s="125"/>
      <c r="T141" s="125"/>
      <c r="U141" s="125"/>
      <c r="V141" s="125"/>
      <c r="W141" s="125"/>
      <c r="X141" s="125"/>
      <c r="Y141" s="125"/>
      <c r="Z141" s="125"/>
    </row>
    <row r="142" ht="15.75" customHeight="1">
      <c r="A142" s="125"/>
      <c r="B142" s="125"/>
      <c r="C142" s="125"/>
      <c r="D142" s="125"/>
      <c r="E142" s="125"/>
      <c r="F142" s="125"/>
      <c r="G142" s="125"/>
      <c r="H142" s="125"/>
      <c r="I142" s="125"/>
      <c r="J142" s="125"/>
      <c r="K142" s="125"/>
      <c r="L142" s="125"/>
      <c r="M142" s="125"/>
      <c r="N142" s="125"/>
      <c r="O142" s="125"/>
      <c r="P142" s="125"/>
      <c r="Q142" s="125"/>
      <c r="R142" s="125"/>
      <c r="S142" s="125"/>
      <c r="T142" s="125"/>
      <c r="U142" s="125"/>
      <c r="V142" s="125"/>
      <c r="W142" s="125"/>
      <c r="X142" s="125"/>
      <c r="Y142" s="125"/>
      <c r="Z142" s="125"/>
    </row>
    <row r="143" ht="15.75" customHeight="1">
      <c r="A143" s="125"/>
      <c r="B143" s="125"/>
      <c r="C143" s="125"/>
      <c r="D143" s="125"/>
      <c r="E143" s="125"/>
      <c r="F143" s="125"/>
      <c r="G143" s="125"/>
      <c r="H143" s="125"/>
      <c r="I143" s="125"/>
      <c r="J143" s="125"/>
      <c r="K143" s="125"/>
      <c r="L143" s="125"/>
      <c r="M143" s="125"/>
      <c r="N143" s="125"/>
      <c r="O143" s="125"/>
      <c r="P143" s="125"/>
      <c r="Q143" s="125"/>
      <c r="R143" s="125"/>
      <c r="S143" s="125"/>
      <c r="T143" s="125"/>
      <c r="U143" s="125"/>
      <c r="V143" s="125"/>
      <c r="W143" s="125"/>
      <c r="X143" s="125"/>
      <c r="Y143" s="125"/>
      <c r="Z143" s="125"/>
    </row>
    <row r="144" ht="15.75" customHeight="1">
      <c r="A144" s="125"/>
      <c r="B144" s="125"/>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row>
    <row r="145" ht="15.75" customHeight="1">
      <c r="A145" s="125"/>
      <c r="B145" s="125"/>
      <c r="C145" s="125"/>
      <c r="D145" s="125"/>
      <c r="E145" s="125"/>
      <c r="F145" s="125"/>
      <c r="G145" s="125"/>
      <c r="H145" s="125"/>
      <c r="I145" s="125"/>
      <c r="J145" s="125"/>
      <c r="K145" s="125"/>
      <c r="L145" s="125"/>
      <c r="M145" s="125"/>
      <c r="N145" s="125"/>
      <c r="O145" s="125"/>
      <c r="P145" s="125"/>
      <c r="Q145" s="125"/>
      <c r="R145" s="125"/>
      <c r="S145" s="125"/>
      <c r="T145" s="125"/>
      <c r="U145" s="125"/>
      <c r="V145" s="125"/>
      <c r="W145" s="125"/>
      <c r="X145" s="125"/>
      <c r="Y145" s="125"/>
      <c r="Z145" s="125"/>
    </row>
    <row r="146" ht="15.75" customHeight="1">
      <c r="A146" s="125"/>
      <c r="B146" s="125"/>
      <c r="C146" s="125"/>
      <c r="D146" s="125"/>
      <c r="E146" s="125"/>
      <c r="F146" s="125"/>
      <c r="G146" s="125"/>
      <c r="H146" s="125"/>
      <c r="I146" s="125"/>
      <c r="J146" s="125"/>
      <c r="K146" s="125"/>
      <c r="L146" s="125"/>
      <c r="M146" s="125"/>
      <c r="N146" s="125"/>
      <c r="O146" s="125"/>
      <c r="P146" s="125"/>
      <c r="Q146" s="125"/>
      <c r="R146" s="125"/>
      <c r="S146" s="125"/>
      <c r="T146" s="125"/>
      <c r="U146" s="125"/>
      <c r="V146" s="125"/>
      <c r="W146" s="125"/>
      <c r="X146" s="125"/>
      <c r="Y146" s="125"/>
      <c r="Z146" s="125"/>
    </row>
    <row r="147" ht="15.75" customHeight="1">
      <c r="A147" s="125"/>
      <c r="B147" s="125"/>
      <c r="C147" s="125"/>
      <c r="D147" s="125"/>
      <c r="E147" s="125"/>
      <c r="F147" s="125"/>
      <c r="G147" s="125"/>
      <c r="H147" s="125"/>
      <c r="I147" s="125"/>
      <c r="J147" s="125"/>
      <c r="K147" s="125"/>
      <c r="L147" s="125"/>
      <c r="M147" s="125"/>
      <c r="N147" s="125"/>
      <c r="O147" s="125"/>
      <c r="P147" s="125"/>
      <c r="Q147" s="125"/>
      <c r="R147" s="125"/>
      <c r="S147" s="125"/>
      <c r="T147" s="125"/>
      <c r="U147" s="125"/>
      <c r="V147" s="125"/>
      <c r="W147" s="125"/>
      <c r="X147" s="125"/>
      <c r="Y147" s="125"/>
      <c r="Z147" s="125"/>
    </row>
    <row r="148" ht="15.75" customHeight="1">
      <c r="A148" s="125"/>
      <c r="B148" s="125"/>
      <c r="C148" s="125"/>
      <c r="D148" s="125"/>
      <c r="E148" s="125"/>
      <c r="F148" s="125"/>
      <c r="G148" s="125"/>
      <c r="H148" s="125"/>
      <c r="I148" s="125"/>
      <c r="J148" s="125"/>
      <c r="K148" s="125"/>
      <c r="L148" s="125"/>
      <c r="M148" s="125"/>
      <c r="N148" s="125"/>
      <c r="O148" s="125"/>
      <c r="P148" s="125"/>
      <c r="Q148" s="125"/>
      <c r="R148" s="125"/>
      <c r="S148" s="125"/>
      <c r="T148" s="125"/>
      <c r="U148" s="125"/>
      <c r="V148" s="125"/>
      <c r="W148" s="125"/>
      <c r="X148" s="125"/>
      <c r="Y148" s="125"/>
      <c r="Z148" s="125"/>
    </row>
    <row r="149" ht="15.75" customHeight="1">
      <c r="A149" s="125"/>
      <c r="B149" s="125"/>
      <c r="C149" s="125"/>
      <c r="D149" s="125"/>
      <c r="E149" s="125"/>
      <c r="F149" s="125"/>
      <c r="G149" s="125"/>
      <c r="H149" s="125"/>
      <c r="I149" s="125"/>
      <c r="J149" s="125"/>
      <c r="K149" s="125"/>
      <c r="L149" s="125"/>
      <c r="M149" s="125"/>
      <c r="N149" s="125"/>
      <c r="O149" s="125"/>
      <c r="P149" s="125"/>
      <c r="Q149" s="125"/>
      <c r="R149" s="125"/>
      <c r="S149" s="125"/>
      <c r="T149" s="125"/>
      <c r="U149" s="125"/>
      <c r="V149" s="125"/>
      <c r="W149" s="125"/>
      <c r="X149" s="125"/>
      <c r="Y149" s="125"/>
      <c r="Z149" s="125"/>
    </row>
    <row r="150" ht="15.75" customHeight="1">
      <c r="A150" s="125"/>
      <c r="B150" s="125"/>
      <c r="C150" s="125"/>
      <c r="D150" s="125"/>
      <c r="E150" s="125"/>
      <c r="F150" s="125"/>
      <c r="G150" s="125"/>
      <c r="H150" s="125"/>
      <c r="I150" s="125"/>
      <c r="J150" s="125"/>
      <c r="K150" s="125"/>
      <c r="L150" s="125"/>
      <c r="M150" s="125"/>
      <c r="N150" s="125"/>
      <c r="O150" s="125"/>
      <c r="P150" s="125"/>
      <c r="Q150" s="125"/>
      <c r="R150" s="125"/>
      <c r="S150" s="125"/>
      <c r="T150" s="125"/>
      <c r="U150" s="125"/>
      <c r="V150" s="125"/>
      <c r="W150" s="125"/>
      <c r="X150" s="125"/>
      <c r="Y150" s="125"/>
      <c r="Z150" s="125"/>
    </row>
    <row r="151" ht="15.75" customHeight="1">
      <c r="A151" s="125"/>
      <c r="B151" s="125"/>
      <c r="C151" s="125"/>
      <c r="D151" s="125"/>
      <c r="E151" s="125"/>
      <c r="F151" s="125"/>
      <c r="G151" s="125"/>
      <c r="H151" s="125"/>
      <c r="I151" s="125"/>
      <c r="J151" s="125"/>
      <c r="K151" s="125"/>
      <c r="L151" s="125"/>
      <c r="M151" s="125"/>
      <c r="N151" s="125"/>
      <c r="O151" s="125"/>
      <c r="P151" s="125"/>
      <c r="Q151" s="125"/>
      <c r="R151" s="125"/>
      <c r="S151" s="125"/>
      <c r="T151" s="125"/>
      <c r="U151" s="125"/>
      <c r="V151" s="125"/>
      <c r="W151" s="125"/>
      <c r="X151" s="125"/>
      <c r="Y151" s="125"/>
      <c r="Z151" s="125"/>
    </row>
    <row r="152" ht="15.75" customHeight="1">
      <c r="A152" s="125"/>
      <c r="B152" s="125"/>
      <c r="C152" s="125"/>
      <c r="D152" s="125"/>
      <c r="E152" s="125"/>
      <c r="F152" s="125"/>
      <c r="G152" s="125"/>
      <c r="H152" s="125"/>
      <c r="I152" s="125"/>
      <c r="J152" s="125"/>
      <c r="K152" s="125"/>
      <c r="L152" s="125"/>
      <c r="M152" s="125"/>
      <c r="N152" s="125"/>
      <c r="O152" s="125"/>
      <c r="P152" s="125"/>
      <c r="Q152" s="125"/>
      <c r="R152" s="125"/>
      <c r="S152" s="125"/>
      <c r="T152" s="125"/>
      <c r="U152" s="125"/>
      <c r="V152" s="125"/>
      <c r="W152" s="125"/>
      <c r="X152" s="125"/>
      <c r="Y152" s="125"/>
      <c r="Z152" s="125"/>
    </row>
    <row r="153" ht="15.75" customHeight="1">
      <c r="A153" s="125"/>
      <c r="B153" s="125"/>
      <c r="C153" s="12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row>
    <row r="154" ht="15.75" customHeight="1">
      <c r="A154" s="125"/>
      <c r="B154" s="125"/>
      <c r="C154" s="12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row>
    <row r="155" ht="15.75" customHeight="1">
      <c r="A155" s="125"/>
      <c r="B155" s="125"/>
      <c r="C155" s="125"/>
      <c r="D155" s="125"/>
      <c r="E155" s="125"/>
      <c r="F155" s="125"/>
      <c r="G155" s="125"/>
      <c r="H155" s="125"/>
      <c r="I155" s="125"/>
      <c r="J155" s="125"/>
      <c r="K155" s="125"/>
      <c r="L155" s="125"/>
      <c r="M155" s="125"/>
      <c r="N155" s="125"/>
      <c r="O155" s="125"/>
      <c r="P155" s="125"/>
      <c r="Q155" s="125"/>
      <c r="R155" s="125"/>
      <c r="S155" s="125"/>
      <c r="T155" s="125"/>
      <c r="U155" s="125"/>
      <c r="V155" s="125"/>
      <c r="W155" s="125"/>
      <c r="X155" s="125"/>
      <c r="Y155" s="125"/>
      <c r="Z155" s="125"/>
    </row>
    <row r="156" ht="15.75" customHeight="1">
      <c r="A156" s="125"/>
      <c r="B156" s="125"/>
      <c r="C156" s="12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row>
    <row r="157" ht="15.75" customHeight="1">
      <c r="A157" s="125"/>
      <c r="B157" s="125"/>
      <c r="C157" s="125"/>
      <c r="D157" s="125"/>
      <c r="E157" s="125"/>
      <c r="F157" s="125"/>
      <c r="G157" s="125"/>
      <c r="H157" s="125"/>
      <c r="I157" s="125"/>
      <c r="J157" s="125"/>
      <c r="K157" s="125"/>
      <c r="L157" s="125"/>
      <c r="M157" s="125"/>
      <c r="N157" s="125"/>
      <c r="O157" s="125"/>
      <c r="P157" s="125"/>
      <c r="Q157" s="125"/>
      <c r="R157" s="125"/>
      <c r="S157" s="125"/>
      <c r="T157" s="125"/>
      <c r="U157" s="125"/>
      <c r="V157" s="125"/>
      <c r="W157" s="125"/>
      <c r="X157" s="125"/>
      <c r="Y157" s="125"/>
      <c r="Z157" s="125"/>
    </row>
    <row r="158" ht="15.75" customHeight="1">
      <c r="A158" s="125"/>
      <c r="B158" s="125"/>
      <c r="C158" s="125"/>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c r="Z158" s="125"/>
    </row>
    <row r="159" ht="15.75" customHeight="1">
      <c r="A159" s="125"/>
      <c r="B159" s="125"/>
      <c r="C159" s="12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c r="Z159" s="125"/>
    </row>
    <row r="160" ht="15.75" customHeight="1">
      <c r="A160" s="125"/>
      <c r="B160" s="125"/>
      <c r="C160" s="125"/>
      <c r="D160" s="125"/>
      <c r="E160" s="125"/>
      <c r="F160" s="125"/>
      <c r="G160" s="125"/>
      <c r="H160" s="125"/>
      <c r="I160" s="125"/>
      <c r="J160" s="125"/>
      <c r="K160" s="125"/>
      <c r="L160" s="125"/>
      <c r="M160" s="125"/>
      <c r="N160" s="125"/>
      <c r="O160" s="125"/>
      <c r="P160" s="125"/>
      <c r="Q160" s="125"/>
      <c r="R160" s="125"/>
      <c r="S160" s="125"/>
      <c r="T160" s="125"/>
      <c r="U160" s="125"/>
      <c r="V160" s="125"/>
      <c r="W160" s="125"/>
      <c r="X160" s="125"/>
      <c r="Y160" s="125"/>
      <c r="Z160" s="125"/>
    </row>
    <row r="161" ht="15.75" customHeight="1">
      <c r="A161" s="125"/>
      <c r="B161" s="125"/>
      <c r="C161" s="125"/>
      <c r="D161" s="125"/>
      <c r="E161" s="125"/>
      <c r="F161" s="125"/>
      <c r="G161" s="125"/>
      <c r="H161" s="125"/>
      <c r="I161" s="125"/>
      <c r="J161" s="125"/>
      <c r="K161" s="125"/>
      <c r="L161" s="125"/>
      <c r="M161" s="125"/>
      <c r="N161" s="125"/>
      <c r="O161" s="125"/>
      <c r="P161" s="125"/>
      <c r="Q161" s="125"/>
      <c r="R161" s="125"/>
      <c r="S161" s="125"/>
      <c r="T161" s="125"/>
      <c r="U161" s="125"/>
      <c r="V161" s="125"/>
      <c r="W161" s="125"/>
      <c r="X161" s="125"/>
      <c r="Y161" s="125"/>
      <c r="Z161" s="125"/>
    </row>
    <row r="162" ht="15.75" customHeight="1">
      <c r="A162" s="125"/>
      <c r="B162" s="125"/>
      <c r="C162" s="12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row>
    <row r="163" ht="15.75" customHeight="1">
      <c r="A163" s="125"/>
      <c r="B163" s="125"/>
      <c r="C163" s="125"/>
      <c r="D163" s="125"/>
      <c r="E163" s="125"/>
      <c r="F163" s="125"/>
      <c r="G163" s="125"/>
      <c r="H163" s="125"/>
      <c r="I163" s="125"/>
      <c r="J163" s="125"/>
      <c r="K163" s="125"/>
      <c r="L163" s="125"/>
      <c r="M163" s="125"/>
      <c r="N163" s="125"/>
      <c r="O163" s="125"/>
      <c r="P163" s="125"/>
      <c r="Q163" s="125"/>
      <c r="R163" s="125"/>
      <c r="S163" s="125"/>
      <c r="T163" s="125"/>
      <c r="U163" s="125"/>
      <c r="V163" s="125"/>
      <c r="W163" s="125"/>
      <c r="X163" s="125"/>
      <c r="Y163" s="125"/>
      <c r="Z163" s="125"/>
    </row>
    <row r="164" ht="15.75" customHeight="1">
      <c r="A164" s="125"/>
      <c r="B164" s="125"/>
      <c r="C164" s="125"/>
      <c r="D164" s="125"/>
      <c r="E164" s="125"/>
      <c r="F164" s="125"/>
      <c r="G164" s="125"/>
      <c r="H164" s="125"/>
      <c r="I164" s="125"/>
      <c r="J164" s="125"/>
      <c r="K164" s="125"/>
      <c r="L164" s="125"/>
      <c r="M164" s="125"/>
      <c r="N164" s="125"/>
      <c r="O164" s="125"/>
      <c r="P164" s="125"/>
      <c r="Q164" s="125"/>
      <c r="R164" s="125"/>
      <c r="S164" s="125"/>
      <c r="T164" s="125"/>
      <c r="U164" s="125"/>
      <c r="V164" s="125"/>
      <c r="W164" s="125"/>
      <c r="X164" s="125"/>
      <c r="Y164" s="125"/>
      <c r="Z164" s="125"/>
    </row>
    <row r="165" ht="15.75" customHeight="1">
      <c r="A165" s="125"/>
      <c r="B165" s="125"/>
      <c r="C165" s="125"/>
      <c r="D165" s="125"/>
      <c r="E165" s="125"/>
      <c r="F165" s="125"/>
      <c r="G165" s="125"/>
      <c r="H165" s="125"/>
      <c r="I165" s="125"/>
      <c r="J165" s="125"/>
      <c r="K165" s="125"/>
      <c r="L165" s="125"/>
      <c r="M165" s="125"/>
      <c r="N165" s="125"/>
      <c r="O165" s="125"/>
      <c r="P165" s="125"/>
      <c r="Q165" s="125"/>
      <c r="R165" s="125"/>
      <c r="S165" s="125"/>
      <c r="T165" s="125"/>
      <c r="U165" s="125"/>
      <c r="V165" s="125"/>
      <c r="W165" s="125"/>
      <c r="X165" s="125"/>
      <c r="Y165" s="125"/>
      <c r="Z165" s="125"/>
    </row>
    <row r="166" ht="15.75" customHeight="1">
      <c r="A166" s="125"/>
      <c r="B166" s="125"/>
      <c r="C166" s="125"/>
      <c r="D166" s="125"/>
      <c r="E166" s="125"/>
      <c r="F166" s="125"/>
      <c r="G166" s="125"/>
      <c r="H166" s="125"/>
      <c r="I166" s="125"/>
      <c r="J166" s="125"/>
      <c r="K166" s="125"/>
      <c r="L166" s="125"/>
      <c r="M166" s="125"/>
      <c r="N166" s="125"/>
      <c r="O166" s="125"/>
      <c r="P166" s="125"/>
      <c r="Q166" s="125"/>
      <c r="R166" s="125"/>
      <c r="S166" s="125"/>
      <c r="T166" s="125"/>
      <c r="U166" s="125"/>
      <c r="V166" s="125"/>
      <c r="W166" s="125"/>
      <c r="X166" s="125"/>
      <c r="Y166" s="125"/>
      <c r="Z166" s="125"/>
    </row>
    <row r="167" ht="15.75" customHeight="1">
      <c r="A167" s="125"/>
      <c r="B167" s="125"/>
      <c r="C167" s="12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row>
    <row r="168" ht="15.75" customHeight="1">
      <c r="A168" s="125"/>
      <c r="B168" s="125"/>
      <c r="C168" s="125"/>
      <c r="D168" s="125"/>
      <c r="E168" s="125"/>
      <c r="F168" s="125"/>
      <c r="G168" s="125"/>
      <c r="H168" s="125"/>
      <c r="I168" s="125"/>
      <c r="J168" s="125"/>
      <c r="K168" s="125"/>
      <c r="L168" s="125"/>
      <c r="M168" s="125"/>
      <c r="N168" s="125"/>
      <c r="O168" s="125"/>
      <c r="P168" s="125"/>
      <c r="Q168" s="125"/>
      <c r="R168" s="125"/>
      <c r="S168" s="125"/>
      <c r="T168" s="125"/>
      <c r="U168" s="125"/>
      <c r="V168" s="125"/>
      <c r="W168" s="125"/>
      <c r="X168" s="125"/>
      <c r="Y168" s="125"/>
      <c r="Z168" s="125"/>
    </row>
    <row r="169" ht="15.75" customHeight="1">
      <c r="A169" s="125"/>
      <c r="B169" s="125"/>
      <c r="C169" s="12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row>
    <row r="170" ht="15.75" customHeight="1">
      <c r="A170" s="125"/>
      <c r="B170" s="125"/>
      <c r="C170" s="125"/>
      <c r="D170" s="125"/>
      <c r="E170" s="125"/>
      <c r="F170" s="125"/>
      <c r="G170" s="125"/>
      <c r="H170" s="125"/>
      <c r="I170" s="125"/>
      <c r="J170" s="125"/>
      <c r="K170" s="125"/>
      <c r="L170" s="125"/>
      <c r="M170" s="125"/>
      <c r="N170" s="125"/>
      <c r="O170" s="125"/>
      <c r="P170" s="125"/>
      <c r="Q170" s="125"/>
      <c r="R170" s="125"/>
      <c r="S170" s="125"/>
      <c r="T170" s="125"/>
      <c r="U170" s="125"/>
      <c r="V170" s="125"/>
      <c r="W170" s="125"/>
      <c r="X170" s="125"/>
      <c r="Y170" s="125"/>
      <c r="Z170" s="125"/>
    </row>
    <row r="171" ht="15.75" customHeight="1">
      <c r="A171" s="125"/>
      <c r="B171" s="125"/>
      <c r="C171" s="12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c r="Z171" s="125"/>
    </row>
    <row r="172" ht="15.75" customHeight="1">
      <c r="A172" s="125"/>
      <c r="B172" s="125"/>
      <c r="C172" s="12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c r="Z172" s="125"/>
    </row>
    <row r="173" ht="15.75" customHeight="1">
      <c r="A173" s="125"/>
      <c r="B173" s="125"/>
      <c r="C173" s="125"/>
      <c r="D173" s="125"/>
      <c r="E173" s="125"/>
      <c r="F173" s="125"/>
      <c r="G173" s="125"/>
      <c r="H173" s="125"/>
      <c r="I173" s="125"/>
      <c r="J173" s="125"/>
      <c r="K173" s="125"/>
      <c r="L173" s="125"/>
      <c r="M173" s="125"/>
      <c r="N173" s="125"/>
      <c r="O173" s="125"/>
      <c r="P173" s="125"/>
      <c r="Q173" s="125"/>
      <c r="R173" s="125"/>
      <c r="S173" s="125"/>
      <c r="T173" s="125"/>
      <c r="U173" s="125"/>
      <c r="V173" s="125"/>
      <c r="W173" s="125"/>
      <c r="X173" s="125"/>
      <c r="Y173" s="125"/>
      <c r="Z173" s="125"/>
    </row>
    <row r="174" ht="15.75" customHeight="1">
      <c r="A174" s="125"/>
      <c r="B174" s="125"/>
      <c r="C174" s="12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row>
    <row r="175" ht="15.75" customHeight="1">
      <c r="A175" s="125"/>
      <c r="B175" s="125"/>
      <c r="C175" s="125"/>
      <c r="D175" s="125"/>
      <c r="E175" s="125"/>
      <c r="F175" s="125"/>
      <c r="G175" s="125"/>
      <c r="H175" s="125"/>
      <c r="I175" s="125"/>
      <c r="J175" s="125"/>
      <c r="K175" s="125"/>
      <c r="L175" s="125"/>
      <c r="M175" s="125"/>
      <c r="N175" s="125"/>
      <c r="O175" s="125"/>
      <c r="P175" s="125"/>
      <c r="Q175" s="125"/>
      <c r="R175" s="125"/>
      <c r="S175" s="125"/>
      <c r="T175" s="125"/>
      <c r="U175" s="125"/>
      <c r="V175" s="125"/>
      <c r="W175" s="125"/>
      <c r="X175" s="125"/>
      <c r="Y175" s="125"/>
      <c r="Z175" s="125"/>
    </row>
    <row r="176" ht="15.75" customHeight="1">
      <c r="A176" s="125"/>
      <c r="B176" s="125"/>
      <c r="C176" s="125"/>
      <c r="D176" s="125"/>
      <c r="E176" s="125"/>
      <c r="F176" s="125"/>
      <c r="G176" s="125"/>
      <c r="H176" s="125"/>
      <c r="I176" s="125"/>
      <c r="J176" s="125"/>
      <c r="K176" s="125"/>
      <c r="L176" s="125"/>
      <c r="M176" s="125"/>
      <c r="N176" s="125"/>
      <c r="O176" s="125"/>
      <c r="P176" s="125"/>
      <c r="Q176" s="125"/>
      <c r="R176" s="125"/>
      <c r="S176" s="125"/>
      <c r="T176" s="125"/>
      <c r="U176" s="125"/>
      <c r="V176" s="125"/>
      <c r="W176" s="125"/>
      <c r="X176" s="125"/>
      <c r="Y176" s="125"/>
      <c r="Z176" s="125"/>
    </row>
    <row r="177" ht="15.75" customHeight="1">
      <c r="A177" s="125"/>
      <c r="B177" s="125"/>
      <c r="C177" s="125"/>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c r="Z177" s="125"/>
    </row>
    <row r="178" ht="15.75" customHeight="1">
      <c r="A178" s="125"/>
      <c r="B178" s="125"/>
      <c r="C178" s="125"/>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c r="Z178" s="125"/>
    </row>
    <row r="179" ht="15.75" customHeight="1">
      <c r="A179" s="125"/>
      <c r="B179" s="125"/>
      <c r="C179" s="125"/>
      <c r="D179" s="125"/>
      <c r="E179" s="125"/>
      <c r="F179" s="125"/>
      <c r="G179" s="125"/>
      <c r="H179" s="125"/>
      <c r="I179" s="125"/>
      <c r="J179" s="125"/>
      <c r="K179" s="125"/>
      <c r="L179" s="125"/>
      <c r="M179" s="125"/>
      <c r="N179" s="125"/>
      <c r="O179" s="125"/>
      <c r="P179" s="125"/>
      <c r="Q179" s="125"/>
      <c r="R179" s="125"/>
      <c r="S179" s="125"/>
      <c r="T179" s="125"/>
      <c r="U179" s="125"/>
      <c r="V179" s="125"/>
      <c r="W179" s="125"/>
      <c r="X179" s="125"/>
      <c r="Y179" s="125"/>
      <c r="Z179" s="125"/>
    </row>
    <row r="180" ht="15.75" customHeight="1">
      <c r="A180" s="125"/>
      <c r="B180" s="125"/>
      <c r="C180" s="125"/>
      <c r="D180" s="125"/>
      <c r="E180" s="125"/>
      <c r="F180" s="125"/>
      <c r="G180" s="125"/>
      <c r="H180" s="125"/>
      <c r="I180" s="125"/>
      <c r="J180" s="125"/>
      <c r="K180" s="125"/>
      <c r="L180" s="125"/>
      <c r="M180" s="125"/>
      <c r="N180" s="125"/>
      <c r="O180" s="125"/>
      <c r="P180" s="125"/>
      <c r="Q180" s="125"/>
      <c r="R180" s="125"/>
      <c r="S180" s="125"/>
      <c r="T180" s="125"/>
      <c r="U180" s="125"/>
      <c r="V180" s="125"/>
      <c r="W180" s="125"/>
      <c r="X180" s="125"/>
      <c r="Y180" s="125"/>
      <c r="Z180" s="125"/>
    </row>
    <row r="181" ht="15.75" customHeight="1">
      <c r="A181" s="125"/>
      <c r="B181" s="125"/>
      <c r="C181" s="125"/>
      <c r="D181" s="125"/>
      <c r="E181" s="125"/>
      <c r="F181" s="125"/>
      <c r="G181" s="125"/>
      <c r="H181" s="125"/>
      <c r="I181" s="125"/>
      <c r="J181" s="125"/>
      <c r="K181" s="125"/>
      <c r="L181" s="125"/>
      <c r="M181" s="125"/>
      <c r="N181" s="125"/>
      <c r="O181" s="125"/>
      <c r="P181" s="125"/>
      <c r="Q181" s="125"/>
      <c r="R181" s="125"/>
      <c r="S181" s="125"/>
      <c r="T181" s="125"/>
      <c r="U181" s="125"/>
      <c r="V181" s="125"/>
      <c r="W181" s="125"/>
      <c r="X181" s="125"/>
      <c r="Y181" s="125"/>
      <c r="Z181" s="125"/>
    </row>
    <row r="182" ht="15.75" customHeight="1">
      <c r="A182" s="125"/>
      <c r="B182" s="125"/>
      <c r="C182" s="125"/>
      <c r="D182" s="125"/>
      <c r="E182" s="125"/>
      <c r="F182" s="125"/>
      <c r="G182" s="125"/>
      <c r="H182" s="125"/>
      <c r="I182" s="125"/>
      <c r="J182" s="125"/>
      <c r="K182" s="125"/>
      <c r="L182" s="125"/>
      <c r="M182" s="125"/>
      <c r="N182" s="125"/>
      <c r="O182" s="125"/>
      <c r="P182" s="125"/>
      <c r="Q182" s="125"/>
      <c r="R182" s="125"/>
      <c r="S182" s="125"/>
      <c r="T182" s="125"/>
      <c r="U182" s="125"/>
      <c r="V182" s="125"/>
      <c r="W182" s="125"/>
      <c r="X182" s="125"/>
      <c r="Y182" s="125"/>
      <c r="Z182" s="125"/>
    </row>
    <row r="183" ht="15.75" customHeight="1">
      <c r="A183" s="125"/>
      <c r="B183" s="125"/>
      <c r="C183" s="125"/>
      <c r="D183" s="125"/>
      <c r="E183" s="125"/>
      <c r="F183" s="125"/>
      <c r="G183" s="125"/>
      <c r="H183" s="125"/>
      <c r="I183" s="125"/>
      <c r="J183" s="125"/>
      <c r="K183" s="125"/>
      <c r="L183" s="125"/>
      <c r="M183" s="125"/>
      <c r="N183" s="125"/>
      <c r="O183" s="125"/>
      <c r="P183" s="125"/>
      <c r="Q183" s="125"/>
      <c r="R183" s="125"/>
      <c r="S183" s="125"/>
      <c r="T183" s="125"/>
      <c r="U183" s="125"/>
      <c r="V183" s="125"/>
      <c r="W183" s="125"/>
      <c r="X183" s="125"/>
      <c r="Y183" s="125"/>
      <c r="Z183" s="125"/>
    </row>
    <row r="184" ht="15.75" customHeight="1">
      <c r="A184" s="125"/>
      <c r="B184" s="125"/>
      <c r="C184" s="125"/>
      <c r="D184" s="125"/>
      <c r="E184" s="125"/>
      <c r="F184" s="125"/>
      <c r="G184" s="125"/>
      <c r="H184" s="125"/>
      <c r="I184" s="125"/>
      <c r="J184" s="125"/>
      <c r="K184" s="125"/>
      <c r="L184" s="125"/>
      <c r="M184" s="125"/>
      <c r="N184" s="125"/>
      <c r="O184" s="125"/>
      <c r="P184" s="125"/>
      <c r="Q184" s="125"/>
      <c r="R184" s="125"/>
      <c r="S184" s="125"/>
      <c r="T184" s="125"/>
      <c r="U184" s="125"/>
      <c r="V184" s="125"/>
      <c r="W184" s="125"/>
      <c r="X184" s="125"/>
      <c r="Y184" s="125"/>
      <c r="Z184" s="125"/>
    </row>
    <row r="185" ht="15.75" customHeight="1">
      <c r="A185" s="125"/>
      <c r="B185" s="125"/>
      <c r="C185" s="125"/>
      <c r="D185" s="125"/>
      <c r="E185" s="125"/>
      <c r="F185" s="125"/>
      <c r="G185" s="125"/>
      <c r="H185" s="125"/>
      <c r="I185" s="125"/>
      <c r="J185" s="125"/>
      <c r="K185" s="125"/>
      <c r="L185" s="125"/>
      <c r="M185" s="125"/>
      <c r="N185" s="125"/>
      <c r="O185" s="125"/>
      <c r="P185" s="125"/>
      <c r="Q185" s="125"/>
      <c r="R185" s="125"/>
      <c r="S185" s="125"/>
      <c r="T185" s="125"/>
      <c r="U185" s="125"/>
      <c r="V185" s="125"/>
      <c r="W185" s="125"/>
      <c r="X185" s="125"/>
      <c r="Y185" s="125"/>
      <c r="Z185" s="125"/>
    </row>
    <row r="186" ht="15.75" customHeight="1">
      <c r="A186" s="125"/>
      <c r="B186" s="125"/>
      <c r="C186" s="125"/>
      <c r="D186" s="125"/>
      <c r="E186" s="125"/>
      <c r="F186" s="125"/>
      <c r="G186" s="125"/>
      <c r="H186" s="125"/>
      <c r="I186" s="125"/>
      <c r="J186" s="125"/>
      <c r="K186" s="125"/>
      <c r="L186" s="125"/>
      <c r="M186" s="125"/>
      <c r="N186" s="125"/>
      <c r="O186" s="125"/>
      <c r="P186" s="125"/>
      <c r="Q186" s="125"/>
      <c r="R186" s="125"/>
      <c r="S186" s="125"/>
      <c r="T186" s="125"/>
      <c r="U186" s="125"/>
      <c r="V186" s="125"/>
      <c r="W186" s="125"/>
      <c r="X186" s="125"/>
      <c r="Y186" s="125"/>
      <c r="Z186" s="125"/>
    </row>
    <row r="187" ht="15.75" customHeight="1">
      <c r="A187" s="125"/>
      <c r="B187" s="125"/>
      <c r="C187" s="125"/>
      <c r="D187" s="125"/>
      <c r="E187" s="125"/>
      <c r="F187" s="125"/>
      <c r="G187" s="125"/>
      <c r="H187" s="125"/>
      <c r="I187" s="125"/>
      <c r="J187" s="125"/>
      <c r="K187" s="125"/>
      <c r="L187" s="125"/>
      <c r="M187" s="125"/>
      <c r="N187" s="125"/>
      <c r="O187" s="125"/>
      <c r="P187" s="125"/>
      <c r="Q187" s="125"/>
      <c r="R187" s="125"/>
      <c r="S187" s="125"/>
      <c r="T187" s="125"/>
      <c r="U187" s="125"/>
      <c r="V187" s="125"/>
      <c r="W187" s="125"/>
      <c r="X187" s="125"/>
      <c r="Y187" s="125"/>
      <c r="Z187" s="125"/>
    </row>
    <row r="188" ht="15.75" customHeight="1">
      <c r="A188" s="125"/>
      <c r="B188" s="125"/>
      <c r="C188" s="125"/>
      <c r="D188" s="125"/>
      <c r="E188" s="125"/>
      <c r="F188" s="125"/>
      <c r="G188" s="125"/>
      <c r="H188" s="125"/>
      <c r="I188" s="125"/>
      <c r="J188" s="125"/>
      <c r="K188" s="125"/>
      <c r="L188" s="125"/>
      <c r="M188" s="125"/>
      <c r="N188" s="125"/>
      <c r="O188" s="125"/>
      <c r="P188" s="125"/>
      <c r="Q188" s="125"/>
      <c r="R188" s="125"/>
      <c r="S188" s="125"/>
      <c r="T188" s="125"/>
      <c r="U188" s="125"/>
      <c r="V188" s="125"/>
      <c r="W188" s="125"/>
      <c r="X188" s="125"/>
      <c r="Y188" s="125"/>
      <c r="Z188" s="125"/>
    </row>
    <row r="189" ht="15.75" customHeight="1">
      <c r="A189" s="125"/>
      <c r="B189" s="125"/>
      <c r="C189" s="125"/>
      <c r="D189" s="125"/>
      <c r="E189" s="125"/>
      <c r="F189" s="125"/>
      <c r="G189" s="125"/>
      <c r="H189" s="125"/>
      <c r="I189" s="125"/>
      <c r="J189" s="125"/>
      <c r="K189" s="125"/>
      <c r="L189" s="125"/>
      <c r="M189" s="125"/>
      <c r="N189" s="125"/>
      <c r="O189" s="125"/>
      <c r="P189" s="125"/>
      <c r="Q189" s="125"/>
      <c r="R189" s="125"/>
      <c r="S189" s="125"/>
      <c r="T189" s="125"/>
      <c r="U189" s="125"/>
      <c r="V189" s="125"/>
      <c r="W189" s="125"/>
      <c r="X189" s="125"/>
      <c r="Y189" s="125"/>
      <c r="Z189" s="125"/>
    </row>
    <row r="190" ht="15.75" customHeight="1">
      <c r="A190" s="125"/>
      <c r="B190" s="125"/>
      <c r="C190" s="125"/>
      <c r="D190" s="125"/>
      <c r="E190" s="125"/>
      <c r="F190" s="125"/>
      <c r="G190" s="125"/>
      <c r="H190" s="125"/>
      <c r="I190" s="125"/>
      <c r="J190" s="125"/>
      <c r="K190" s="125"/>
      <c r="L190" s="125"/>
      <c r="M190" s="125"/>
      <c r="N190" s="125"/>
      <c r="O190" s="125"/>
      <c r="P190" s="125"/>
      <c r="Q190" s="125"/>
      <c r="R190" s="125"/>
      <c r="S190" s="125"/>
      <c r="T190" s="125"/>
      <c r="U190" s="125"/>
      <c r="V190" s="125"/>
      <c r="W190" s="125"/>
      <c r="X190" s="125"/>
      <c r="Y190" s="125"/>
      <c r="Z190" s="125"/>
    </row>
    <row r="191" ht="15.75" customHeight="1">
      <c r="A191" s="125"/>
      <c r="B191" s="125"/>
      <c r="C191" s="125"/>
      <c r="D191" s="125"/>
      <c r="E191" s="125"/>
      <c r="F191" s="125"/>
      <c r="G191" s="125"/>
      <c r="H191" s="125"/>
      <c r="I191" s="125"/>
      <c r="J191" s="125"/>
      <c r="K191" s="125"/>
      <c r="L191" s="125"/>
      <c r="M191" s="125"/>
      <c r="N191" s="125"/>
      <c r="O191" s="125"/>
      <c r="P191" s="125"/>
      <c r="Q191" s="125"/>
      <c r="R191" s="125"/>
      <c r="S191" s="125"/>
      <c r="T191" s="125"/>
      <c r="U191" s="125"/>
      <c r="V191" s="125"/>
      <c r="W191" s="125"/>
      <c r="X191" s="125"/>
      <c r="Y191" s="125"/>
      <c r="Z191" s="125"/>
    </row>
    <row r="192" ht="15.75" customHeight="1">
      <c r="A192" s="125"/>
      <c r="B192" s="125"/>
      <c r="C192" s="125"/>
      <c r="D192" s="125"/>
      <c r="E192" s="125"/>
      <c r="F192" s="125"/>
      <c r="G192" s="125"/>
      <c r="H192" s="125"/>
      <c r="I192" s="125"/>
      <c r="J192" s="125"/>
      <c r="K192" s="125"/>
      <c r="L192" s="125"/>
      <c r="M192" s="125"/>
      <c r="N192" s="125"/>
      <c r="O192" s="125"/>
      <c r="P192" s="125"/>
      <c r="Q192" s="125"/>
      <c r="R192" s="125"/>
      <c r="S192" s="125"/>
      <c r="T192" s="125"/>
      <c r="U192" s="125"/>
      <c r="V192" s="125"/>
      <c r="W192" s="125"/>
      <c r="X192" s="125"/>
      <c r="Y192" s="125"/>
      <c r="Z192" s="125"/>
    </row>
    <row r="193" ht="15.75" customHeight="1">
      <c r="A193" s="125"/>
      <c r="B193" s="125"/>
      <c r="C193" s="125"/>
      <c r="D193" s="125"/>
      <c r="E193" s="125"/>
      <c r="F193" s="125"/>
      <c r="G193" s="125"/>
      <c r="H193" s="125"/>
      <c r="I193" s="125"/>
      <c r="J193" s="125"/>
      <c r="K193" s="125"/>
      <c r="L193" s="125"/>
      <c r="M193" s="125"/>
      <c r="N193" s="125"/>
      <c r="O193" s="125"/>
      <c r="P193" s="125"/>
      <c r="Q193" s="125"/>
      <c r="R193" s="125"/>
      <c r="S193" s="125"/>
      <c r="T193" s="125"/>
      <c r="U193" s="125"/>
      <c r="V193" s="125"/>
      <c r="W193" s="125"/>
      <c r="X193" s="125"/>
      <c r="Y193" s="125"/>
      <c r="Z193" s="125"/>
    </row>
    <row r="194" ht="15.75" customHeight="1">
      <c r="A194" s="125"/>
      <c r="B194" s="125"/>
      <c r="C194" s="125"/>
      <c r="D194" s="125"/>
      <c r="E194" s="125"/>
      <c r="F194" s="125"/>
      <c r="G194" s="125"/>
      <c r="H194" s="125"/>
      <c r="I194" s="125"/>
      <c r="J194" s="125"/>
      <c r="K194" s="125"/>
      <c r="L194" s="125"/>
      <c r="M194" s="125"/>
      <c r="N194" s="125"/>
      <c r="O194" s="125"/>
      <c r="P194" s="125"/>
      <c r="Q194" s="125"/>
      <c r="R194" s="125"/>
      <c r="S194" s="125"/>
      <c r="T194" s="125"/>
      <c r="U194" s="125"/>
      <c r="V194" s="125"/>
      <c r="W194" s="125"/>
      <c r="X194" s="125"/>
      <c r="Y194" s="125"/>
      <c r="Z194" s="125"/>
    </row>
    <row r="195" ht="15.75" customHeight="1">
      <c r="A195" s="125"/>
      <c r="B195" s="125"/>
      <c r="C195" s="125"/>
      <c r="D195" s="125"/>
      <c r="E195" s="125"/>
      <c r="F195" s="125"/>
      <c r="G195" s="125"/>
      <c r="H195" s="125"/>
      <c r="I195" s="125"/>
      <c r="J195" s="125"/>
      <c r="K195" s="125"/>
      <c r="L195" s="125"/>
      <c r="M195" s="125"/>
      <c r="N195" s="125"/>
      <c r="O195" s="125"/>
      <c r="P195" s="125"/>
      <c r="Q195" s="125"/>
      <c r="R195" s="125"/>
      <c r="S195" s="125"/>
      <c r="T195" s="125"/>
      <c r="U195" s="125"/>
      <c r="V195" s="125"/>
      <c r="W195" s="125"/>
      <c r="X195" s="125"/>
      <c r="Y195" s="125"/>
      <c r="Z195" s="125"/>
    </row>
    <row r="196" ht="15.75" customHeight="1">
      <c r="A196" s="125"/>
      <c r="B196" s="125"/>
      <c r="C196" s="125"/>
      <c r="D196" s="125"/>
      <c r="E196" s="125"/>
      <c r="F196" s="125"/>
      <c r="G196" s="125"/>
      <c r="H196" s="125"/>
      <c r="I196" s="125"/>
      <c r="J196" s="125"/>
      <c r="K196" s="125"/>
      <c r="L196" s="125"/>
      <c r="M196" s="125"/>
      <c r="N196" s="125"/>
      <c r="O196" s="125"/>
      <c r="P196" s="125"/>
      <c r="Q196" s="125"/>
      <c r="R196" s="125"/>
      <c r="S196" s="125"/>
      <c r="T196" s="125"/>
      <c r="U196" s="125"/>
      <c r="V196" s="125"/>
      <c r="W196" s="125"/>
      <c r="X196" s="125"/>
      <c r="Y196" s="125"/>
      <c r="Z196" s="125"/>
    </row>
    <row r="197" ht="15.75" customHeight="1">
      <c r="A197" s="125"/>
      <c r="B197" s="125"/>
      <c r="C197" s="125"/>
      <c r="D197" s="125"/>
      <c r="E197" s="125"/>
      <c r="F197" s="125"/>
      <c r="G197" s="125"/>
      <c r="H197" s="125"/>
      <c r="I197" s="125"/>
      <c r="J197" s="125"/>
      <c r="K197" s="125"/>
      <c r="L197" s="125"/>
      <c r="M197" s="125"/>
      <c r="N197" s="125"/>
      <c r="O197" s="125"/>
      <c r="P197" s="125"/>
      <c r="Q197" s="125"/>
      <c r="R197" s="125"/>
      <c r="S197" s="125"/>
      <c r="T197" s="125"/>
      <c r="U197" s="125"/>
      <c r="V197" s="125"/>
      <c r="W197" s="125"/>
      <c r="X197" s="125"/>
      <c r="Y197" s="125"/>
      <c r="Z197" s="125"/>
    </row>
    <row r="198" ht="15.75" customHeight="1">
      <c r="A198" s="125"/>
      <c r="B198" s="125"/>
      <c r="C198" s="125"/>
      <c r="D198" s="125"/>
      <c r="E198" s="125"/>
      <c r="F198" s="125"/>
      <c r="G198" s="125"/>
      <c r="H198" s="125"/>
      <c r="I198" s="125"/>
      <c r="J198" s="125"/>
      <c r="K198" s="125"/>
      <c r="L198" s="125"/>
      <c r="M198" s="125"/>
      <c r="N198" s="125"/>
      <c r="O198" s="125"/>
      <c r="P198" s="125"/>
      <c r="Q198" s="125"/>
      <c r="R198" s="125"/>
      <c r="S198" s="125"/>
      <c r="T198" s="125"/>
      <c r="U198" s="125"/>
      <c r="V198" s="125"/>
      <c r="W198" s="125"/>
      <c r="X198" s="125"/>
      <c r="Y198" s="125"/>
      <c r="Z198" s="125"/>
    </row>
    <row r="199" ht="15.75" customHeight="1">
      <c r="A199" s="125"/>
      <c r="B199" s="125"/>
      <c r="C199" s="125"/>
      <c r="D199" s="125"/>
      <c r="E199" s="125"/>
      <c r="F199" s="125"/>
      <c r="G199" s="125"/>
      <c r="H199" s="125"/>
      <c r="I199" s="125"/>
      <c r="J199" s="125"/>
      <c r="K199" s="125"/>
      <c r="L199" s="125"/>
      <c r="M199" s="125"/>
      <c r="N199" s="125"/>
      <c r="O199" s="125"/>
      <c r="P199" s="125"/>
      <c r="Q199" s="125"/>
      <c r="R199" s="125"/>
      <c r="S199" s="125"/>
      <c r="T199" s="125"/>
      <c r="U199" s="125"/>
      <c r="V199" s="125"/>
      <c r="W199" s="125"/>
      <c r="X199" s="125"/>
      <c r="Y199" s="125"/>
      <c r="Z199" s="125"/>
    </row>
    <row r="200" ht="15.75" customHeight="1">
      <c r="A200" s="125"/>
      <c r="B200" s="125"/>
      <c r="C200" s="125"/>
      <c r="D200" s="125"/>
      <c r="E200" s="125"/>
      <c r="F200" s="125"/>
      <c r="G200" s="125"/>
      <c r="H200" s="125"/>
      <c r="I200" s="125"/>
      <c r="J200" s="125"/>
      <c r="K200" s="125"/>
      <c r="L200" s="125"/>
      <c r="M200" s="125"/>
      <c r="N200" s="125"/>
      <c r="O200" s="125"/>
      <c r="P200" s="125"/>
      <c r="Q200" s="125"/>
      <c r="R200" s="125"/>
      <c r="S200" s="125"/>
      <c r="T200" s="125"/>
      <c r="U200" s="125"/>
      <c r="V200" s="125"/>
      <c r="W200" s="125"/>
      <c r="X200" s="125"/>
      <c r="Y200" s="125"/>
      <c r="Z200" s="125"/>
    </row>
    <row r="201" ht="15.75" customHeight="1">
      <c r="A201" s="125"/>
      <c r="B201" s="125"/>
      <c r="C201" s="125"/>
      <c r="D201" s="125"/>
      <c r="E201" s="125"/>
      <c r="F201" s="125"/>
      <c r="G201" s="125"/>
      <c r="H201" s="125"/>
      <c r="I201" s="125"/>
      <c r="J201" s="125"/>
      <c r="K201" s="125"/>
      <c r="L201" s="125"/>
      <c r="M201" s="125"/>
      <c r="N201" s="125"/>
      <c r="O201" s="125"/>
      <c r="P201" s="125"/>
      <c r="Q201" s="125"/>
      <c r="R201" s="125"/>
      <c r="S201" s="125"/>
      <c r="T201" s="125"/>
      <c r="U201" s="125"/>
      <c r="V201" s="125"/>
      <c r="W201" s="125"/>
      <c r="X201" s="125"/>
      <c r="Y201" s="125"/>
      <c r="Z201" s="125"/>
    </row>
    <row r="202" ht="15.75" customHeight="1">
      <c r="A202" s="125"/>
      <c r="B202" s="125"/>
      <c r="C202" s="125"/>
      <c r="D202" s="125"/>
      <c r="E202" s="125"/>
      <c r="F202" s="125"/>
      <c r="G202" s="125"/>
      <c r="H202" s="125"/>
      <c r="I202" s="125"/>
      <c r="J202" s="125"/>
      <c r="K202" s="125"/>
      <c r="L202" s="125"/>
      <c r="M202" s="125"/>
      <c r="N202" s="125"/>
      <c r="O202" s="125"/>
      <c r="P202" s="125"/>
      <c r="Q202" s="125"/>
      <c r="R202" s="125"/>
      <c r="S202" s="125"/>
      <c r="T202" s="125"/>
      <c r="U202" s="125"/>
      <c r="V202" s="125"/>
      <c r="W202" s="125"/>
      <c r="X202" s="125"/>
      <c r="Y202" s="125"/>
      <c r="Z202" s="125"/>
    </row>
    <row r="203" ht="15.75" customHeight="1">
      <c r="A203" s="125"/>
      <c r="B203" s="125"/>
      <c r="C203" s="125"/>
      <c r="D203" s="125"/>
      <c r="E203" s="125"/>
      <c r="F203" s="125"/>
      <c r="G203" s="125"/>
      <c r="H203" s="125"/>
      <c r="I203" s="125"/>
      <c r="J203" s="125"/>
      <c r="K203" s="125"/>
      <c r="L203" s="125"/>
      <c r="M203" s="125"/>
      <c r="N203" s="125"/>
      <c r="O203" s="125"/>
      <c r="P203" s="125"/>
      <c r="Q203" s="125"/>
      <c r="R203" s="125"/>
      <c r="S203" s="125"/>
      <c r="T203" s="125"/>
      <c r="U203" s="125"/>
      <c r="V203" s="125"/>
      <c r="W203" s="125"/>
      <c r="X203" s="125"/>
      <c r="Y203" s="125"/>
      <c r="Z203" s="125"/>
    </row>
    <row r="204" ht="15.75" customHeight="1">
      <c r="A204" s="125"/>
      <c r="B204" s="125"/>
      <c r="C204" s="125"/>
      <c r="D204" s="125"/>
      <c r="E204" s="125"/>
      <c r="F204" s="125"/>
      <c r="G204" s="125"/>
      <c r="H204" s="125"/>
      <c r="I204" s="125"/>
      <c r="J204" s="125"/>
      <c r="K204" s="125"/>
      <c r="L204" s="125"/>
      <c r="M204" s="125"/>
      <c r="N204" s="125"/>
      <c r="O204" s="125"/>
      <c r="P204" s="125"/>
      <c r="Q204" s="125"/>
      <c r="R204" s="125"/>
      <c r="S204" s="125"/>
      <c r="T204" s="125"/>
      <c r="U204" s="125"/>
      <c r="V204" s="125"/>
      <c r="W204" s="125"/>
      <c r="X204" s="125"/>
      <c r="Y204" s="125"/>
      <c r="Z204" s="125"/>
    </row>
    <row r="205" ht="15.75" customHeight="1">
      <c r="A205" s="125"/>
      <c r="B205" s="125"/>
      <c r="C205" s="125"/>
      <c r="D205" s="125"/>
      <c r="E205" s="125"/>
      <c r="F205" s="125"/>
      <c r="G205" s="125"/>
      <c r="H205" s="125"/>
      <c r="I205" s="125"/>
      <c r="J205" s="125"/>
      <c r="K205" s="125"/>
      <c r="L205" s="125"/>
      <c r="M205" s="125"/>
      <c r="N205" s="125"/>
      <c r="O205" s="125"/>
      <c r="P205" s="125"/>
      <c r="Q205" s="125"/>
      <c r="R205" s="125"/>
      <c r="S205" s="125"/>
      <c r="T205" s="125"/>
      <c r="U205" s="125"/>
      <c r="V205" s="125"/>
      <c r="W205" s="125"/>
      <c r="X205" s="125"/>
      <c r="Y205" s="125"/>
      <c r="Z205" s="125"/>
    </row>
    <row r="206" ht="15.75" customHeight="1">
      <c r="A206" s="125"/>
      <c r="B206" s="125"/>
      <c r="C206" s="125"/>
      <c r="D206" s="125"/>
      <c r="E206" s="125"/>
      <c r="F206" s="125"/>
      <c r="G206" s="125"/>
      <c r="H206" s="125"/>
      <c r="I206" s="125"/>
      <c r="J206" s="125"/>
      <c r="K206" s="125"/>
      <c r="L206" s="125"/>
      <c r="M206" s="125"/>
      <c r="N206" s="125"/>
      <c r="O206" s="125"/>
      <c r="P206" s="125"/>
      <c r="Q206" s="125"/>
      <c r="R206" s="125"/>
      <c r="S206" s="125"/>
      <c r="T206" s="125"/>
      <c r="U206" s="125"/>
      <c r="V206" s="125"/>
      <c r="W206" s="125"/>
      <c r="X206" s="125"/>
      <c r="Y206" s="125"/>
      <c r="Z206" s="125"/>
    </row>
    <row r="207" ht="15.75" customHeight="1">
      <c r="A207" s="125"/>
      <c r="B207" s="125"/>
      <c r="C207" s="125"/>
      <c r="D207" s="125"/>
      <c r="E207" s="125"/>
      <c r="F207" s="125"/>
      <c r="G207" s="125"/>
      <c r="H207" s="125"/>
      <c r="I207" s="125"/>
      <c r="J207" s="125"/>
      <c r="K207" s="125"/>
      <c r="L207" s="125"/>
      <c r="M207" s="125"/>
      <c r="N207" s="125"/>
      <c r="O207" s="125"/>
      <c r="P207" s="125"/>
      <c r="Q207" s="125"/>
      <c r="R207" s="125"/>
      <c r="S207" s="125"/>
      <c r="T207" s="125"/>
      <c r="U207" s="125"/>
      <c r="V207" s="125"/>
      <c r="W207" s="125"/>
      <c r="X207" s="125"/>
      <c r="Y207" s="125"/>
      <c r="Z207" s="125"/>
    </row>
    <row r="208" ht="15.75" customHeight="1">
      <c r="A208" s="125"/>
      <c r="B208" s="125"/>
      <c r="C208" s="125"/>
      <c r="D208" s="125"/>
      <c r="E208" s="125"/>
      <c r="F208" s="125"/>
      <c r="G208" s="125"/>
      <c r="H208" s="125"/>
      <c r="I208" s="125"/>
      <c r="J208" s="125"/>
      <c r="K208" s="125"/>
      <c r="L208" s="125"/>
      <c r="M208" s="125"/>
      <c r="N208" s="125"/>
      <c r="O208" s="125"/>
      <c r="P208" s="125"/>
      <c r="Q208" s="125"/>
      <c r="R208" s="125"/>
      <c r="S208" s="125"/>
      <c r="T208" s="125"/>
      <c r="U208" s="125"/>
      <c r="V208" s="125"/>
      <c r="W208" s="125"/>
      <c r="X208" s="125"/>
      <c r="Y208" s="125"/>
      <c r="Z208" s="125"/>
    </row>
    <row r="209" ht="15.75" customHeight="1">
      <c r="A209" s="125"/>
      <c r="B209" s="125"/>
      <c r="C209" s="125"/>
      <c r="D209" s="125"/>
      <c r="E209" s="125"/>
      <c r="F209" s="125"/>
      <c r="G209" s="125"/>
      <c r="H209" s="125"/>
      <c r="I209" s="125"/>
      <c r="J209" s="125"/>
      <c r="K209" s="125"/>
      <c r="L209" s="125"/>
      <c r="M209" s="125"/>
      <c r="N209" s="125"/>
      <c r="O209" s="125"/>
      <c r="P209" s="125"/>
      <c r="Q209" s="125"/>
      <c r="R209" s="125"/>
      <c r="S209" s="125"/>
      <c r="T209" s="125"/>
      <c r="U209" s="125"/>
      <c r="V209" s="125"/>
      <c r="W209" s="125"/>
      <c r="X209" s="125"/>
      <c r="Y209" s="125"/>
      <c r="Z209" s="125"/>
    </row>
    <row r="210" ht="15.75" customHeight="1">
      <c r="A210" s="125"/>
      <c r="B210" s="125"/>
      <c r="C210" s="125"/>
      <c r="D210" s="125"/>
      <c r="E210" s="125"/>
      <c r="F210" s="125"/>
      <c r="G210" s="125"/>
      <c r="H210" s="125"/>
      <c r="I210" s="125"/>
      <c r="J210" s="125"/>
      <c r="K210" s="125"/>
      <c r="L210" s="125"/>
      <c r="M210" s="125"/>
      <c r="N210" s="125"/>
      <c r="O210" s="125"/>
      <c r="P210" s="125"/>
      <c r="Q210" s="125"/>
      <c r="R210" s="125"/>
      <c r="S210" s="125"/>
      <c r="T210" s="125"/>
      <c r="U210" s="125"/>
      <c r="V210" s="125"/>
      <c r="W210" s="125"/>
      <c r="X210" s="125"/>
      <c r="Y210" s="125"/>
      <c r="Z210" s="125"/>
    </row>
    <row r="211" ht="15.75" customHeight="1">
      <c r="A211" s="125"/>
      <c r="B211" s="125"/>
      <c r="C211" s="125"/>
      <c r="D211" s="125"/>
      <c r="E211" s="125"/>
      <c r="F211" s="125"/>
      <c r="G211" s="125"/>
      <c r="H211" s="125"/>
      <c r="I211" s="125"/>
      <c r="J211" s="125"/>
      <c r="K211" s="125"/>
      <c r="L211" s="125"/>
      <c r="M211" s="125"/>
      <c r="N211" s="125"/>
      <c r="O211" s="125"/>
      <c r="P211" s="125"/>
      <c r="Q211" s="125"/>
      <c r="R211" s="125"/>
      <c r="S211" s="125"/>
      <c r="T211" s="125"/>
      <c r="U211" s="125"/>
      <c r="V211" s="125"/>
      <c r="W211" s="125"/>
      <c r="X211" s="125"/>
      <c r="Y211" s="125"/>
      <c r="Z211" s="125"/>
    </row>
    <row r="212" ht="15.75" customHeight="1">
      <c r="A212" s="125"/>
      <c r="B212" s="125"/>
      <c r="C212" s="125"/>
      <c r="D212" s="125"/>
      <c r="E212" s="125"/>
      <c r="F212" s="125"/>
      <c r="G212" s="125"/>
      <c r="H212" s="125"/>
      <c r="I212" s="125"/>
      <c r="J212" s="125"/>
      <c r="K212" s="125"/>
      <c r="L212" s="125"/>
      <c r="M212" s="125"/>
      <c r="N212" s="125"/>
      <c r="O212" s="125"/>
      <c r="P212" s="125"/>
      <c r="Q212" s="125"/>
      <c r="R212" s="125"/>
      <c r="S212" s="125"/>
      <c r="T212" s="125"/>
      <c r="U212" s="125"/>
      <c r="V212" s="125"/>
      <c r="W212" s="125"/>
      <c r="X212" s="125"/>
      <c r="Y212" s="125"/>
      <c r="Z212" s="125"/>
    </row>
    <row r="213" ht="15.75" customHeight="1">
      <c r="A213" s="125"/>
      <c r="B213" s="125"/>
      <c r="C213" s="125"/>
      <c r="D213" s="125"/>
      <c r="E213" s="125"/>
      <c r="F213" s="125"/>
      <c r="G213" s="125"/>
      <c r="H213" s="125"/>
      <c r="I213" s="125"/>
      <c r="J213" s="125"/>
      <c r="K213" s="125"/>
      <c r="L213" s="125"/>
      <c r="M213" s="125"/>
      <c r="N213" s="125"/>
      <c r="O213" s="125"/>
      <c r="P213" s="125"/>
      <c r="Q213" s="125"/>
      <c r="R213" s="125"/>
      <c r="S213" s="125"/>
      <c r="T213" s="125"/>
      <c r="U213" s="125"/>
      <c r="V213" s="125"/>
      <c r="W213" s="125"/>
      <c r="X213" s="125"/>
      <c r="Y213" s="125"/>
      <c r="Z213" s="125"/>
    </row>
    <row r="214" ht="15.75" customHeight="1">
      <c r="A214" s="125"/>
      <c r="B214" s="125"/>
      <c r="C214" s="125"/>
      <c r="D214" s="125"/>
      <c r="E214" s="125"/>
      <c r="F214" s="125"/>
      <c r="G214" s="125"/>
      <c r="H214" s="125"/>
      <c r="I214" s="125"/>
      <c r="J214" s="125"/>
      <c r="K214" s="125"/>
      <c r="L214" s="125"/>
      <c r="M214" s="125"/>
      <c r="N214" s="125"/>
      <c r="O214" s="125"/>
      <c r="P214" s="125"/>
      <c r="Q214" s="125"/>
      <c r="R214" s="125"/>
      <c r="S214" s="125"/>
      <c r="T214" s="125"/>
      <c r="U214" s="125"/>
      <c r="V214" s="125"/>
      <c r="W214" s="125"/>
      <c r="X214" s="125"/>
      <c r="Y214" s="125"/>
      <c r="Z214" s="125"/>
    </row>
    <row r="215" ht="15.75" customHeight="1">
      <c r="A215" s="125"/>
      <c r="B215" s="125"/>
      <c r="C215" s="125"/>
      <c r="D215" s="125"/>
      <c r="E215" s="125"/>
      <c r="F215" s="125"/>
      <c r="G215" s="125"/>
      <c r="H215" s="125"/>
      <c r="I215" s="125"/>
      <c r="J215" s="125"/>
      <c r="K215" s="125"/>
      <c r="L215" s="125"/>
      <c r="M215" s="125"/>
      <c r="N215" s="125"/>
      <c r="O215" s="125"/>
      <c r="P215" s="125"/>
      <c r="Q215" s="125"/>
      <c r="R215" s="125"/>
      <c r="S215" s="125"/>
      <c r="T215" s="125"/>
      <c r="U215" s="125"/>
      <c r="V215" s="125"/>
      <c r="W215" s="125"/>
      <c r="X215" s="125"/>
      <c r="Y215" s="125"/>
      <c r="Z215" s="125"/>
    </row>
    <row r="216" ht="15.75" customHeight="1">
      <c r="A216" s="125"/>
      <c r="B216" s="125"/>
      <c r="C216" s="125"/>
      <c r="D216" s="125"/>
      <c r="E216" s="125"/>
      <c r="F216" s="125"/>
      <c r="G216" s="125"/>
      <c r="H216" s="125"/>
      <c r="I216" s="125"/>
      <c r="J216" s="125"/>
      <c r="K216" s="125"/>
      <c r="L216" s="125"/>
      <c r="M216" s="125"/>
      <c r="N216" s="125"/>
      <c r="O216" s="125"/>
      <c r="P216" s="125"/>
      <c r="Q216" s="125"/>
      <c r="R216" s="125"/>
      <c r="S216" s="125"/>
      <c r="T216" s="125"/>
      <c r="U216" s="125"/>
      <c r="V216" s="125"/>
      <c r="W216" s="125"/>
      <c r="X216" s="125"/>
      <c r="Y216" s="125"/>
      <c r="Z216" s="125"/>
    </row>
    <row r="217" ht="15.75" customHeight="1">
      <c r="A217" s="125"/>
      <c r="B217" s="125"/>
      <c r="C217" s="125"/>
      <c r="D217" s="125"/>
      <c r="E217" s="125"/>
      <c r="F217" s="125"/>
      <c r="G217" s="125"/>
      <c r="H217" s="125"/>
      <c r="I217" s="125"/>
      <c r="J217" s="125"/>
      <c r="K217" s="125"/>
      <c r="L217" s="125"/>
      <c r="M217" s="125"/>
      <c r="N217" s="125"/>
      <c r="O217" s="125"/>
      <c r="P217" s="125"/>
      <c r="Q217" s="125"/>
      <c r="R217" s="125"/>
      <c r="S217" s="125"/>
      <c r="T217" s="125"/>
      <c r="U217" s="125"/>
      <c r="V217" s="125"/>
      <c r="W217" s="125"/>
      <c r="X217" s="125"/>
      <c r="Y217" s="125"/>
      <c r="Z217" s="125"/>
    </row>
    <row r="218" ht="15.75" customHeight="1">
      <c r="A218" s="125"/>
      <c r="B218" s="125"/>
      <c r="C218" s="125"/>
      <c r="D218" s="125"/>
      <c r="E218" s="125"/>
      <c r="F218" s="125"/>
      <c r="G218" s="125"/>
      <c r="H218" s="125"/>
      <c r="I218" s="125"/>
      <c r="J218" s="125"/>
      <c r="K218" s="125"/>
      <c r="L218" s="125"/>
      <c r="M218" s="125"/>
      <c r="N218" s="125"/>
      <c r="O218" s="125"/>
      <c r="P218" s="125"/>
      <c r="Q218" s="125"/>
      <c r="R218" s="125"/>
      <c r="S218" s="125"/>
      <c r="T218" s="125"/>
      <c r="U218" s="125"/>
      <c r="V218" s="125"/>
      <c r="W218" s="125"/>
      <c r="X218" s="125"/>
      <c r="Y218" s="125"/>
      <c r="Z218" s="125"/>
    </row>
    <row r="219" ht="15.75" customHeight="1">
      <c r="A219" s="125"/>
      <c r="B219" s="125"/>
      <c r="C219" s="125"/>
      <c r="D219" s="125"/>
      <c r="E219" s="125"/>
      <c r="F219" s="125"/>
      <c r="G219" s="125"/>
      <c r="H219" s="125"/>
      <c r="I219" s="125"/>
      <c r="J219" s="125"/>
      <c r="K219" s="125"/>
      <c r="L219" s="125"/>
      <c r="M219" s="125"/>
      <c r="N219" s="125"/>
      <c r="O219" s="125"/>
      <c r="P219" s="125"/>
      <c r="Q219" s="125"/>
      <c r="R219" s="125"/>
      <c r="S219" s="125"/>
      <c r="T219" s="125"/>
      <c r="U219" s="125"/>
      <c r="V219" s="125"/>
      <c r="W219" s="125"/>
      <c r="X219" s="125"/>
      <c r="Y219" s="125"/>
      <c r="Z219" s="125"/>
    </row>
    <row r="220" ht="15.75" customHeight="1">
      <c r="A220" s="125"/>
      <c r="B220" s="125"/>
      <c r="C220" s="125"/>
      <c r="D220" s="125"/>
      <c r="E220" s="125"/>
      <c r="F220" s="125"/>
      <c r="G220" s="125"/>
      <c r="H220" s="125"/>
      <c r="I220" s="125"/>
      <c r="J220" s="125"/>
      <c r="K220" s="125"/>
      <c r="L220" s="125"/>
      <c r="M220" s="125"/>
      <c r="N220" s="125"/>
      <c r="O220" s="125"/>
      <c r="P220" s="125"/>
      <c r="Q220" s="125"/>
      <c r="R220" s="125"/>
      <c r="S220" s="125"/>
      <c r="T220" s="125"/>
      <c r="U220" s="125"/>
      <c r="V220" s="125"/>
      <c r="W220" s="125"/>
      <c r="X220" s="125"/>
      <c r="Y220" s="125"/>
      <c r="Z220" s="12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D$1000"/>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6" width="12.63"/>
  </cols>
  <sheetData>
    <row r="1" ht="15.75" customHeight="1">
      <c r="A1" s="138" t="s">
        <v>0</v>
      </c>
      <c r="B1" s="139" t="s">
        <v>1</v>
      </c>
      <c r="C1" s="139" t="s">
        <v>2</v>
      </c>
      <c r="D1" s="139" t="s">
        <v>3</v>
      </c>
      <c r="E1" s="139" t="s">
        <v>4</v>
      </c>
      <c r="F1" s="139" t="s">
        <v>5</v>
      </c>
      <c r="G1" s="139" t="s">
        <v>6</v>
      </c>
      <c r="H1" s="139" t="s">
        <v>7</v>
      </c>
      <c r="I1" s="139" t="s">
        <v>8</v>
      </c>
      <c r="J1" s="139" t="s">
        <v>9</v>
      </c>
      <c r="K1" s="139" t="s">
        <v>10</v>
      </c>
      <c r="L1" s="139" t="s">
        <v>11</v>
      </c>
      <c r="M1" s="139" t="s">
        <v>12</v>
      </c>
      <c r="N1" s="139" t="s">
        <v>13</v>
      </c>
      <c r="O1" s="139" t="s">
        <v>14</v>
      </c>
      <c r="P1" s="139" t="s">
        <v>15</v>
      </c>
      <c r="Q1" s="139" t="s">
        <v>16</v>
      </c>
      <c r="R1" s="139" t="s">
        <v>17</v>
      </c>
      <c r="S1" s="139" t="s">
        <v>18</v>
      </c>
      <c r="T1" s="139" t="s">
        <v>19</v>
      </c>
      <c r="U1" s="139"/>
      <c r="V1" s="139"/>
      <c r="W1" s="139"/>
      <c r="X1" s="139"/>
      <c r="Y1" s="139"/>
      <c r="Z1" s="139"/>
      <c r="AA1" s="139"/>
      <c r="AB1" s="139"/>
      <c r="AC1" s="139"/>
      <c r="AD1" s="139"/>
      <c r="AE1" s="139"/>
      <c r="AF1" s="139"/>
      <c r="AG1" s="139"/>
      <c r="AH1" s="139"/>
      <c r="AI1" s="139"/>
      <c r="AJ1" s="140"/>
    </row>
    <row r="2" ht="15.75" customHeight="1">
      <c r="A2" s="141" t="s">
        <v>34</v>
      </c>
      <c r="B2" s="142" t="s">
        <v>35</v>
      </c>
      <c r="C2" s="142" t="s">
        <v>149</v>
      </c>
      <c r="D2" s="142" t="s">
        <v>150</v>
      </c>
      <c r="E2" s="142" t="s">
        <v>49</v>
      </c>
      <c r="F2" s="142"/>
      <c r="G2" s="142" t="s">
        <v>50</v>
      </c>
      <c r="H2" s="142" t="s">
        <v>39</v>
      </c>
      <c r="I2" s="142" t="s">
        <v>151</v>
      </c>
      <c r="J2" s="142" t="s">
        <v>52</v>
      </c>
      <c r="K2" s="142" t="s">
        <v>152</v>
      </c>
      <c r="L2" s="142"/>
      <c r="M2" s="143">
        <v>45977.0</v>
      </c>
      <c r="N2" s="142"/>
      <c r="O2" s="142"/>
      <c r="P2" s="142" t="s">
        <v>55</v>
      </c>
      <c r="Q2" s="142" t="s">
        <v>55</v>
      </c>
      <c r="R2" s="142"/>
      <c r="S2" s="142" t="s">
        <v>112</v>
      </c>
      <c r="T2" s="142"/>
      <c r="U2" s="142"/>
      <c r="V2" s="142"/>
      <c r="W2" s="142"/>
      <c r="X2" s="142"/>
      <c r="Y2" s="142"/>
      <c r="Z2" s="142"/>
      <c r="AA2" s="142"/>
      <c r="AB2" s="142"/>
      <c r="AC2" s="142"/>
      <c r="AD2" s="142"/>
      <c r="AE2" s="142"/>
      <c r="AF2" s="142"/>
      <c r="AG2" s="142"/>
      <c r="AH2" s="142"/>
      <c r="AI2" s="142"/>
      <c r="AJ2" s="144"/>
    </row>
    <row r="3" ht="15.75" customHeight="1">
      <c r="A3" s="141" t="s">
        <v>34</v>
      </c>
      <c r="B3" s="142" t="s">
        <v>35</v>
      </c>
      <c r="C3" s="142" t="s">
        <v>153</v>
      </c>
      <c r="D3" s="142" t="s">
        <v>154</v>
      </c>
      <c r="E3" s="142" t="s">
        <v>49</v>
      </c>
      <c r="F3" s="142"/>
      <c r="G3" s="142" t="s">
        <v>50</v>
      </c>
      <c r="H3" s="142" t="s">
        <v>39</v>
      </c>
      <c r="I3" s="142" t="s">
        <v>51</v>
      </c>
      <c r="J3" s="142" t="s">
        <v>52</v>
      </c>
      <c r="K3" s="142" t="s">
        <v>155</v>
      </c>
      <c r="L3" s="142"/>
      <c r="M3" s="142" t="s">
        <v>156</v>
      </c>
      <c r="N3" s="142"/>
      <c r="O3" s="142"/>
      <c r="P3" s="142" t="s">
        <v>55</v>
      </c>
      <c r="Q3" s="142" t="s">
        <v>55</v>
      </c>
      <c r="R3" s="142"/>
      <c r="S3" s="142" t="s">
        <v>157</v>
      </c>
      <c r="T3" s="142"/>
      <c r="U3" s="142"/>
      <c r="V3" s="142"/>
      <c r="W3" s="142"/>
      <c r="X3" s="142"/>
      <c r="Y3" s="142"/>
      <c r="Z3" s="142"/>
      <c r="AA3" s="142"/>
      <c r="AB3" s="142"/>
      <c r="AC3" s="142"/>
      <c r="AD3" s="142"/>
      <c r="AE3" s="142"/>
      <c r="AF3" s="142"/>
      <c r="AG3" s="142"/>
      <c r="AH3" s="142"/>
      <c r="AI3" s="142"/>
      <c r="AJ3" s="144"/>
    </row>
    <row r="4" ht="15.75" customHeight="1">
      <c r="A4" s="141" t="s">
        <v>34</v>
      </c>
      <c r="B4" s="142" t="s">
        <v>35</v>
      </c>
      <c r="C4" s="142" t="s">
        <v>36</v>
      </c>
      <c r="D4" s="142" t="s">
        <v>158</v>
      </c>
      <c r="E4" s="142" t="s">
        <v>49</v>
      </c>
      <c r="F4" s="142"/>
      <c r="G4" s="142" t="s">
        <v>38</v>
      </c>
      <c r="H4" s="142" t="s">
        <v>51</v>
      </c>
      <c r="I4" s="142" t="s">
        <v>51</v>
      </c>
      <c r="J4" s="142" t="s">
        <v>40</v>
      </c>
      <c r="K4" s="142" t="s">
        <v>159</v>
      </c>
      <c r="L4" s="142"/>
      <c r="M4" s="142"/>
      <c r="N4" s="142"/>
      <c r="O4" s="142"/>
      <c r="P4" s="142" t="s">
        <v>160</v>
      </c>
      <c r="Q4" s="142" t="s">
        <v>161</v>
      </c>
      <c r="R4" s="142"/>
      <c r="S4" s="142"/>
      <c r="T4" s="142" t="s">
        <v>33</v>
      </c>
      <c r="U4" s="142"/>
      <c r="V4" s="142"/>
      <c r="W4" s="142"/>
      <c r="X4" s="142"/>
      <c r="Y4" s="142"/>
      <c r="Z4" s="142"/>
      <c r="AA4" s="142"/>
      <c r="AB4" s="142"/>
      <c r="AC4" s="142"/>
      <c r="AD4" s="142"/>
      <c r="AE4" s="142"/>
      <c r="AF4" s="142"/>
      <c r="AG4" s="142"/>
      <c r="AH4" s="142"/>
      <c r="AI4" s="142"/>
      <c r="AJ4" s="144"/>
    </row>
    <row r="5" ht="15.75" customHeight="1">
      <c r="A5" s="141" t="s">
        <v>34</v>
      </c>
      <c r="B5" s="142" t="s">
        <v>35</v>
      </c>
      <c r="C5" s="142" t="s">
        <v>162</v>
      </c>
      <c r="D5" s="142" t="s">
        <v>163</v>
      </c>
      <c r="E5" s="142" t="s">
        <v>49</v>
      </c>
      <c r="F5" s="142"/>
      <c r="G5" s="142" t="s">
        <v>50</v>
      </c>
      <c r="H5" s="142"/>
      <c r="I5" s="142" t="s">
        <v>151</v>
      </c>
      <c r="J5" s="142" t="s">
        <v>52</v>
      </c>
      <c r="K5" s="142" t="s">
        <v>164</v>
      </c>
      <c r="L5" s="142"/>
      <c r="M5" s="142"/>
      <c r="N5" s="142"/>
      <c r="O5" s="145" t="s">
        <v>165</v>
      </c>
      <c r="P5" s="142" t="s">
        <v>166</v>
      </c>
      <c r="Q5" s="142" t="s">
        <v>166</v>
      </c>
      <c r="R5" s="142" t="s">
        <v>167</v>
      </c>
      <c r="S5" s="142"/>
      <c r="T5" s="142"/>
      <c r="U5" s="142"/>
      <c r="V5" s="142"/>
      <c r="W5" s="142"/>
      <c r="X5" s="142"/>
      <c r="Y5" s="142"/>
      <c r="Z5" s="142"/>
      <c r="AA5" s="142"/>
      <c r="AB5" s="142"/>
      <c r="AC5" s="142"/>
      <c r="AD5" s="142"/>
      <c r="AE5" s="142"/>
      <c r="AF5" s="142"/>
      <c r="AG5" s="142"/>
      <c r="AH5" s="142"/>
      <c r="AI5" s="142"/>
      <c r="AJ5" s="144"/>
    </row>
    <row r="6" ht="15.75" customHeight="1">
      <c r="A6" s="141" t="s">
        <v>34</v>
      </c>
      <c r="B6" s="142" t="s">
        <v>35</v>
      </c>
      <c r="C6" s="142" t="s">
        <v>168</v>
      </c>
      <c r="D6" s="142" t="s">
        <v>169</v>
      </c>
      <c r="E6" s="142" t="s">
        <v>49</v>
      </c>
      <c r="F6" s="142"/>
      <c r="G6" s="142" t="s">
        <v>50</v>
      </c>
      <c r="H6" s="142"/>
      <c r="I6" s="142" t="s">
        <v>151</v>
      </c>
      <c r="J6" s="142" t="s">
        <v>52</v>
      </c>
      <c r="K6" s="142" t="s">
        <v>170</v>
      </c>
      <c r="L6" s="142"/>
      <c r="M6" s="142"/>
      <c r="N6" s="142"/>
      <c r="O6" s="142"/>
      <c r="P6" s="142" t="s">
        <v>166</v>
      </c>
      <c r="Q6" s="142" t="s">
        <v>166</v>
      </c>
      <c r="R6" s="142" t="s">
        <v>171</v>
      </c>
      <c r="S6" s="142"/>
      <c r="T6" s="142"/>
      <c r="U6" s="142"/>
      <c r="V6" s="142"/>
      <c r="W6" s="142"/>
      <c r="X6" s="142"/>
      <c r="Y6" s="142"/>
      <c r="Z6" s="142"/>
      <c r="AA6" s="142"/>
      <c r="AB6" s="142"/>
      <c r="AC6" s="142"/>
      <c r="AD6" s="142"/>
      <c r="AE6" s="142"/>
      <c r="AF6" s="142"/>
      <c r="AG6" s="142"/>
      <c r="AH6" s="142"/>
      <c r="AI6" s="142"/>
      <c r="AJ6" s="144"/>
    </row>
    <row r="7" ht="15.75" customHeight="1">
      <c r="A7" s="141" t="s">
        <v>34</v>
      </c>
      <c r="B7" s="142" t="s">
        <v>35</v>
      </c>
      <c r="C7" s="142" t="s">
        <v>172</v>
      </c>
      <c r="D7" s="142" t="s">
        <v>173</v>
      </c>
      <c r="E7" s="142" t="s">
        <v>49</v>
      </c>
      <c r="F7" s="142"/>
      <c r="G7" s="142" t="s">
        <v>50</v>
      </c>
      <c r="H7" s="142"/>
      <c r="I7" s="142" t="s">
        <v>151</v>
      </c>
      <c r="J7" s="142" t="s">
        <v>52</v>
      </c>
      <c r="K7" s="142" t="s">
        <v>174</v>
      </c>
      <c r="L7" s="142"/>
      <c r="M7" s="143">
        <v>45991.0</v>
      </c>
      <c r="N7" s="142"/>
      <c r="O7" s="142" t="s">
        <v>1596</v>
      </c>
      <c r="P7" s="142" t="s">
        <v>176</v>
      </c>
      <c r="Q7" s="142" t="s">
        <v>161</v>
      </c>
      <c r="R7" s="142"/>
      <c r="S7" s="142" t="s">
        <v>177</v>
      </c>
      <c r="T7" s="142" t="s">
        <v>33</v>
      </c>
      <c r="U7" s="142"/>
      <c r="V7" s="142"/>
      <c r="W7" s="142"/>
      <c r="X7" s="142"/>
      <c r="Y7" s="142"/>
      <c r="Z7" s="142"/>
      <c r="AA7" s="142"/>
      <c r="AB7" s="142"/>
      <c r="AC7" s="142"/>
      <c r="AD7" s="142"/>
      <c r="AE7" s="142"/>
      <c r="AF7" s="142"/>
      <c r="AG7" s="142"/>
      <c r="AH7" s="142"/>
      <c r="AI7" s="142"/>
      <c r="AJ7" s="144"/>
    </row>
    <row r="8" ht="15.75" customHeight="1">
      <c r="A8" s="141" t="s">
        <v>34</v>
      </c>
      <c r="B8" s="142" t="s">
        <v>35</v>
      </c>
      <c r="C8" s="142" t="s">
        <v>178</v>
      </c>
      <c r="D8" s="142" t="s">
        <v>179</v>
      </c>
      <c r="E8" s="142" t="s">
        <v>49</v>
      </c>
      <c r="F8" s="142"/>
      <c r="G8" s="142" t="s">
        <v>38</v>
      </c>
      <c r="H8" s="142" t="s">
        <v>51</v>
      </c>
      <c r="I8" s="142" t="s">
        <v>151</v>
      </c>
      <c r="J8" s="142" t="s">
        <v>40</v>
      </c>
      <c r="K8" s="142" t="s">
        <v>180</v>
      </c>
      <c r="L8" s="142"/>
      <c r="M8" s="142"/>
      <c r="N8" s="142"/>
      <c r="O8" s="142"/>
      <c r="P8" s="142" t="s">
        <v>91</v>
      </c>
      <c r="Q8" s="142" t="s">
        <v>161</v>
      </c>
      <c r="R8" s="142"/>
      <c r="S8" s="142"/>
      <c r="T8" s="142" t="s">
        <v>33</v>
      </c>
      <c r="U8" s="142"/>
      <c r="V8" s="142"/>
      <c r="W8" s="142"/>
      <c r="X8" s="142"/>
      <c r="Y8" s="142"/>
      <c r="Z8" s="142"/>
      <c r="AA8" s="142"/>
      <c r="AB8" s="142"/>
      <c r="AC8" s="142"/>
      <c r="AD8" s="142"/>
      <c r="AE8" s="142"/>
      <c r="AF8" s="142"/>
      <c r="AG8" s="142"/>
      <c r="AH8" s="142"/>
      <c r="AI8" s="142"/>
      <c r="AJ8" s="144"/>
    </row>
    <row r="9" ht="15.75" customHeight="1">
      <c r="A9" s="141" t="s">
        <v>34</v>
      </c>
      <c r="B9" s="142" t="s">
        <v>35</v>
      </c>
      <c r="C9" s="142" t="s">
        <v>181</v>
      </c>
      <c r="D9" s="142" t="s">
        <v>182</v>
      </c>
      <c r="E9" s="142" t="s">
        <v>49</v>
      </c>
      <c r="F9" s="142"/>
      <c r="G9" s="142" t="s">
        <v>50</v>
      </c>
      <c r="H9" s="142"/>
      <c r="I9" s="142" t="s">
        <v>151</v>
      </c>
      <c r="J9" s="142" t="s">
        <v>52</v>
      </c>
      <c r="K9" s="142" t="s">
        <v>183</v>
      </c>
      <c r="L9" s="142"/>
      <c r="M9" s="142"/>
      <c r="N9" s="142"/>
      <c r="O9" s="142"/>
      <c r="P9" s="142" t="s">
        <v>184</v>
      </c>
      <c r="Q9" s="142" t="s">
        <v>184</v>
      </c>
      <c r="R9" s="142" t="s">
        <v>167</v>
      </c>
      <c r="S9" s="142"/>
      <c r="T9" s="142"/>
      <c r="U9" s="142"/>
      <c r="V9" s="142"/>
      <c r="W9" s="142"/>
      <c r="X9" s="142"/>
      <c r="Y9" s="142"/>
      <c r="Z9" s="142"/>
      <c r="AA9" s="142"/>
      <c r="AB9" s="142"/>
      <c r="AC9" s="142"/>
      <c r="AD9" s="142"/>
      <c r="AE9" s="142"/>
      <c r="AF9" s="142"/>
      <c r="AG9" s="142"/>
      <c r="AH9" s="142"/>
      <c r="AI9" s="142"/>
      <c r="AJ9" s="144"/>
    </row>
    <row r="10" ht="15.75" customHeight="1">
      <c r="A10" s="141" t="s">
        <v>34</v>
      </c>
      <c r="B10" s="142" t="s">
        <v>35</v>
      </c>
      <c r="C10" s="142" t="s">
        <v>185</v>
      </c>
      <c r="D10" s="142" t="s">
        <v>186</v>
      </c>
      <c r="E10" s="142" t="s">
        <v>49</v>
      </c>
      <c r="F10" s="142"/>
      <c r="G10" s="142" t="s">
        <v>26</v>
      </c>
      <c r="H10" s="142"/>
      <c r="I10" s="142" t="s">
        <v>151</v>
      </c>
      <c r="J10" s="142" t="s">
        <v>187</v>
      </c>
      <c r="K10" s="142" t="s">
        <v>188</v>
      </c>
      <c r="L10" s="142"/>
      <c r="M10" s="142"/>
      <c r="N10" s="142"/>
      <c r="O10" s="142"/>
      <c r="P10" s="142"/>
      <c r="Q10" s="142" t="s">
        <v>161</v>
      </c>
      <c r="R10" s="142" t="s">
        <v>167</v>
      </c>
      <c r="S10" s="142" t="s">
        <v>189</v>
      </c>
      <c r="T10" s="142"/>
      <c r="U10" s="142"/>
      <c r="V10" s="142"/>
      <c r="W10" s="142"/>
      <c r="X10" s="142"/>
      <c r="Y10" s="142"/>
      <c r="Z10" s="142"/>
      <c r="AA10" s="142"/>
      <c r="AB10" s="142"/>
      <c r="AC10" s="142"/>
      <c r="AD10" s="142"/>
      <c r="AE10" s="142"/>
      <c r="AF10" s="142"/>
      <c r="AG10" s="142"/>
      <c r="AH10" s="142"/>
      <c r="AI10" s="142"/>
      <c r="AJ10" s="144"/>
    </row>
    <row r="11" ht="15.75" customHeight="1">
      <c r="A11" s="141" t="s">
        <v>34</v>
      </c>
      <c r="B11" s="142" t="s">
        <v>35</v>
      </c>
      <c r="C11" s="142" t="s">
        <v>190</v>
      </c>
      <c r="D11" s="142" t="s">
        <v>191</v>
      </c>
      <c r="E11" s="142" t="s">
        <v>49</v>
      </c>
      <c r="F11" s="142"/>
      <c r="G11" s="142" t="s">
        <v>50</v>
      </c>
      <c r="H11" s="142"/>
      <c r="I11" s="142" t="s">
        <v>151</v>
      </c>
      <c r="J11" s="142" t="s">
        <v>52</v>
      </c>
      <c r="K11" s="142" t="s">
        <v>192</v>
      </c>
      <c r="L11" s="142"/>
      <c r="M11" s="142"/>
      <c r="N11" s="142"/>
      <c r="O11" s="142" t="s">
        <v>192</v>
      </c>
      <c r="P11" s="142" t="s">
        <v>193</v>
      </c>
      <c r="Q11" s="142" t="s">
        <v>193</v>
      </c>
      <c r="R11" s="142" t="s">
        <v>167</v>
      </c>
      <c r="S11" s="142"/>
      <c r="T11" s="142"/>
      <c r="U11" s="142"/>
      <c r="V11" s="142"/>
      <c r="W11" s="142"/>
      <c r="X11" s="142"/>
      <c r="Y11" s="142"/>
      <c r="Z11" s="142"/>
      <c r="AA11" s="142"/>
      <c r="AB11" s="142"/>
      <c r="AC11" s="142"/>
      <c r="AD11" s="142"/>
      <c r="AE11" s="142"/>
      <c r="AF11" s="142"/>
      <c r="AG11" s="142"/>
      <c r="AH11" s="142"/>
      <c r="AI11" s="142"/>
      <c r="AJ11" s="144"/>
    </row>
    <row r="12" ht="15.75" customHeight="1">
      <c r="A12" s="141" t="s">
        <v>34</v>
      </c>
      <c r="B12" s="142" t="s">
        <v>35</v>
      </c>
      <c r="C12" s="142" t="s">
        <v>194</v>
      </c>
      <c r="D12" s="142" t="s">
        <v>195</v>
      </c>
      <c r="E12" s="142" t="s">
        <v>49</v>
      </c>
      <c r="F12" s="142"/>
      <c r="G12" s="142" t="s">
        <v>50</v>
      </c>
      <c r="H12" s="142"/>
      <c r="I12" s="142" t="s">
        <v>151</v>
      </c>
      <c r="J12" s="142" t="s">
        <v>52</v>
      </c>
      <c r="K12" s="142" t="s">
        <v>196</v>
      </c>
      <c r="L12" s="142"/>
      <c r="M12" s="142"/>
      <c r="N12" s="142"/>
      <c r="O12" s="142"/>
      <c r="P12" s="142" t="s">
        <v>166</v>
      </c>
      <c r="Q12" s="142" t="s">
        <v>166</v>
      </c>
      <c r="R12" s="142" t="s">
        <v>167</v>
      </c>
      <c r="S12" s="142"/>
      <c r="T12" s="142"/>
      <c r="U12" s="142"/>
      <c r="V12" s="142"/>
      <c r="W12" s="142"/>
      <c r="X12" s="142"/>
      <c r="Y12" s="142"/>
      <c r="Z12" s="142"/>
      <c r="AA12" s="142"/>
      <c r="AB12" s="142"/>
      <c r="AC12" s="142"/>
      <c r="AD12" s="142"/>
      <c r="AE12" s="142"/>
      <c r="AF12" s="142"/>
      <c r="AG12" s="142"/>
      <c r="AH12" s="142"/>
      <c r="AI12" s="142"/>
      <c r="AJ12" s="144"/>
    </row>
    <row r="13" ht="15.75" customHeight="1">
      <c r="A13" s="141" t="s">
        <v>34</v>
      </c>
      <c r="B13" s="142" t="s">
        <v>77</v>
      </c>
      <c r="C13" s="142" t="s">
        <v>78</v>
      </c>
      <c r="D13" s="142" t="s">
        <v>197</v>
      </c>
      <c r="E13" s="142" t="s">
        <v>49</v>
      </c>
      <c r="F13" s="142"/>
      <c r="G13" s="142" t="s">
        <v>80</v>
      </c>
      <c r="H13" s="142"/>
      <c r="I13" s="142" t="s">
        <v>51</v>
      </c>
      <c r="J13" s="142" t="s">
        <v>77</v>
      </c>
      <c r="K13" s="142" t="s">
        <v>198</v>
      </c>
      <c r="L13" s="142"/>
      <c r="M13" s="142"/>
      <c r="N13" s="142"/>
      <c r="O13" s="142"/>
      <c r="P13" s="142" t="s">
        <v>91</v>
      </c>
      <c r="Q13" s="142"/>
      <c r="R13" s="142"/>
      <c r="S13" s="142"/>
      <c r="T13" s="142"/>
      <c r="U13" s="142"/>
      <c r="V13" s="142"/>
      <c r="W13" s="142"/>
      <c r="X13" s="142"/>
      <c r="Y13" s="142"/>
      <c r="Z13" s="142"/>
      <c r="AA13" s="142"/>
      <c r="AB13" s="142"/>
      <c r="AC13" s="142"/>
      <c r="AD13" s="142"/>
      <c r="AE13" s="142"/>
      <c r="AF13" s="142"/>
      <c r="AG13" s="142"/>
      <c r="AH13" s="142"/>
      <c r="AI13" s="142"/>
      <c r="AJ13" s="144"/>
    </row>
    <row r="14" ht="15.75" customHeight="1">
      <c r="A14" s="141" t="s">
        <v>34</v>
      </c>
      <c r="B14" s="142" t="s">
        <v>77</v>
      </c>
      <c r="C14" s="142" t="s">
        <v>78</v>
      </c>
      <c r="D14" s="142" t="s">
        <v>199</v>
      </c>
      <c r="E14" s="142" t="s">
        <v>49</v>
      </c>
      <c r="F14" s="142"/>
      <c r="G14" s="142" t="s">
        <v>80</v>
      </c>
      <c r="H14" s="142"/>
      <c r="I14" s="142" t="s">
        <v>51</v>
      </c>
      <c r="J14" s="142" t="s">
        <v>77</v>
      </c>
      <c r="K14" s="142" t="s">
        <v>200</v>
      </c>
      <c r="L14" s="142"/>
      <c r="M14" s="142"/>
      <c r="N14" s="142"/>
      <c r="O14" s="142"/>
      <c r="P14" s="142" t="s">
        <v>91</v>
      </c>
      <c r="Q14" s="142"/>
      <c r="R14" s="142"/>
      <c r="S14" s="142"/>
      <c r="T14" s="142"/>
      <c r="U14" s="142"/>
      <c r="V14" s="142"/>
      <c r="W14" s="142"/>
      <c r="X14" s="142"/>
      <c r="Y14" s="142"/>
      <c r="Z14" s="142"/>
      <c r="AA14" s="142"/>
      <c r="AB14" s="142"/>
      <c r="AC14" s="142"/>
      <c r="AD14" s="142"/>
      <c r="AE14" s="142"/>
      <c r="AF14" s="142"/>
      <c r="AG14" s="142"/>
      <c r="AH14" s="142"/>
      <c r="AI14" s="142"/>
      <c r="AJ14" s="144"/>
    </row>
    <row r="15" ht="15.75" customHeight="1">
      <c r="A15" s="141" t="s">
        <v>34</v>
      </c>
      <c r="B15" s="142" t="s">
        <v>77</v>
      </c>
      <c r="C15" s="142" t="s">
        <v>201</v>
      </c>
      <c r="D15" s="142" t="s">
        <v>202</v>
      </c>
      <c r="E15" s="142" t="s">
        <v>49</v>
      </c>
      <c r="F15" s="142"/>
      <c r="G15" s="142" t="s">
        <v>80</v>
      </c>
      <c r="H15" s="142"/>
      <c r="I15" s="142" t="s">
        <v>51</v>
      </c>
      <c r="J15" s="142" t="s">
        <v>77</v>
      </c>
      <c r="K15" s="142" t="s">
        <v>203</v>
      </c>
      <c r="L15" s="142"/>
      <c r="M15" s="142"/>
      <c r="N15" s="142"/>
      <c r="O15" s="142"/>
      <c r="P15" s="142" t="s">
        <v>91</v>
      </c>
      <c r="Q15" s="142"/>
      <c r="R15" s="142"/>
      <c r="S15" s="142"/>
      <c r="T15" s="142"/>
      <c r="U15" s="142"/>
      <c r="V15" s="142"/>
      <c r="W15" s="142"/>
      <c r="X15" s="142"/>
      <c r="Y15" s="142"/>
      <c r="Z15" s="142"/>
      <c r="AA15" s="142"/>
      <c r="AB15" s="142"/>
      <c r="AC15" s="142"/>
      <c r="AD15" s="142"/>
      <c r="AE15" s="142"/>
      <c r="AF15" s="142"/>
      <c r="AG15" s="142"/>
      <c r="AH15" s="142"/>
      <c r="AI15" s="142"/>
      <c r="AJ15" s="144"/>
    </row>
    <row r="16" ht="15.75" customHeight="1">
      <c r="A16" s="141" t="s">
        <v>34</v>
      </c>
      <c r="B16" s="142" t="s">
        <v>77</v>
      </c>
      <c r="C16" s="142" t="s">
        <v>78</v>
      </c>
      <c r="D16" s="142" t="s">
        <v>204</v>
      </c>
      <c r="E16" s="142" t="s">
        <v>49</v>
      </c>
      <c r="F16" s="142"/>
      <c r="G16" s="142" t="s">
        <v>80</v>
      </c>
      <c r="H16" s="142"/>
      <c r="I16" s="142" t="s">
        <v>151</v>
      </c>
      <c r="J16" s="142" t="s">
        <v>77</v>
      </c>
      <c r="K16" s="142" t="s">
        <v>205</v>
      </c>
      <c r="L16" s="142"/>
      <c r="M16" s="142"/>
      <c r="N16" s="142"/>
      <c r="O16" s="142"/>
      <c r="P16" s="142" t="s">
        <v>91</v>
      </c>
      <c r="Q16" s="142"/>
      <c r="R16" s="142"/>
      <c r="S16" s="142"/>
      <c r="T16" s="142"/>
      <c r="U16" s="142"/>
      <c r="V16" s="142"/>
      <c r="W16" s="142"/>
      <c r="X16" s="142"/>
      <c r="Y16" s="142"/>
      <c r="Z16" s="142"/>
      <c r="AA16" s="142"/>
      <c r="AB16" s="142"/>
      <c r="AC16" s="142"/>
      <c r="AD16" s="142"/>
      <c r="AE16" s="142"/>
      <c r="AF16" s="142"/>
      <c r="AG16" s="142"/>
      <c r="AH16" s="142"/>
      <c r="AI16" s="142"/>
      <c r="AJ16" s="144"/>
    </row>
    <row r="17" ht="15.75" customHeight="1">
      <c r="A17" s="141" t="s">
        <v>34</v>
      </c>
      <c r="B17" s="142" t="s">
        <v>77</v>
      </c>
      <c r="C17" s="142" t="s">
        <v>78</v>
      </c>
      <c r="D17" s="142" t="s">
        <v>206</v>
      </c>
      <c r="E17" s="142" t="s">
        <v>49</v>
      </c>
      <c r="F17" s="142"/>
      <c r="G17" s="142" t="s">
        <v>80</v>
      </c>
      <c r="H17" s="142"/>
      <c r="I17" s="142" t="s">
        <v>151</v>
      </c>
      <c r="J17" s="142" t="s">
        <v>77</v>
      </c>
      <c r="K17" s="142" t="s">
        <v>198</v>
      </c>
      <c r="L17" s="142"/>
      <c r="M17" s="142"/>
      <c r="N17" s="142"/>
      <c r="O17" s="142"/>
      <c r="P17" s="142" t="s">
        <v>91</v>
      </c>
      <c r="Q17" s="142"/>
      <c r="R17" s="142"/>
      <c r="S17" s="142"/>
      <c r="T17" s="142"/>
      <c r="U17" s="142"/>
      <c r="V17" s="142"/>
      <c r="W17" s="142"/>
      <c r="X17" s="142"/>
      <c r="Y17" s="142"/>
      <c r="Z17" s="142"/>
      <c r="AA17" s="142"/>
      <c r="AB17" s="142"/>
      <c r="AC17" s="142"/>
      <c r="AD17" s="142"/>
      <c r="AE17" s="142"/>
      <c r="AF17" s="142"/>
      <c r="AG17" s="142"/>
      <c r="AH17" s="142"/>
      <c r="AI17" s="142"/>
      <c r="AJ17" s="144"/>
    </row>
    <row r="18" ht="15.75" customHeight="1">
      <c r="A18" s="141" t="s">
        <v>34</v>
      </c>
      <c r="B18" s="142" t="s">
        <v>77</v>
      </c>
      <c r="C18" s="142" t="s">
        <v>78</v>
      </c>
      <c r="D18" s="142" t="s">
        <v>207</v>
      </c>
      <c r="E18" s="142" t="s">
        <v>49</v>
      </c>
      <c r="F18" s="142"/>
      <c r="G18" s="142" t="s">
        <v>80</v>
      </c>
      <c r="H18" s="142"/>
      <c r="I18" s="142" t="s">
        <v>151</v>
      </c>
      <c r="J18" s="142" t="s">
        <v>208</v>
      </c>
      <c r="K18" s="142" t="s">
        <v>81</v>
      </c>
      <c r="L18" s="142"/>
      <c r="M18" s="142"/>
      <c r="N18" s="142"/>
      <c r="O18" s="142"/>
      <c r="P18" s="142" t="s">
        <v>91</v>
      </c>
      <c r="Q18" s="142"/>
      <c r="R18" s="142"/>
      <c r="S18" s="142"/>
      <c r="T18" s="142"/>
      <c r="U18" s="142"/>
      <c r="V18" s="142"/>
      <c r="W18" s="142"/>
      <c r="X18" s="142"/>
      <c r="Y18" s="142"/>
      <c r="Z18" s="142"/>
      <c r="AA18" s="142"/>
      <c r="AB18" s="142"/>
      <c r="AC18" s="142"/>
      <c r="AD18" s="142"/>
      <c r="AE18" s="142"/>
      <c r="AF18" s="142"/>
      <c r="AG18" s="142"/>
      <c r="AH18" s="142"/>
      <c r="AI18" s="142"/>
      <c r="AJ18" s="144"/>
    </row>
    <row r="19" ht="15.75" customHeight="1">
      <c r="A19" s="141" t="s">
        <v>34</v>
      </c>
      <c r="B19" s="142" t="s">
        <v>77</v>
      </c>
      <c r="C19" s="142" t="s">
        <v>209</v>
      </c>
      <c r="D19" s="142" t="s">
        <v>210</v>
      </c>
      <c r="E19" s="142" t="s">
        <v>49</v>
      </c>
      <c r="F19" s="142"/>
      <c r="G19" s="142" t="s">
        <v>80</v>
      </c>
      <c r="H19" s="142"/>
      <c r="I19" s="142" t="s">
        <v>151</v>
      </c>
      <c r="J19" s="142" t="s">
        <v>77</v>
      </c>
      <c r="K19" s="142" t="s">
        <v>211</v>
      </c>
      <c r="L19" s="142"/>
      <c r="M19" s="142"/>
      <c r="N19" s="142"/>
      <c r="O19" s="142"/>
      <c r="P19" s="142" t="s">
        <v>91</v>
      </c>
      <c r="Q19" s="142"/>
      <c r="R19" s="142"/>
      <c r="S19" s="142"/>
      <c r="T19" s="142"/>
      <c r="U19" s="142"/>
      <c r="V19" s="142"/>
      <c r="W19" s="142"/>
      <c r="X19" s="142"/>
      <c r="Y19" s="142"/>
      <c r="Z19" s="142"/>
      <c r="AA19" s="142"/>
      <c r="AB19" s="142"/>
      <c r="AC19" s="142"/>
      <c r="AD19" s="142"/>
      <c r="AE19" s="142"/>
      <c r="AF19" s="142"/>
      <c r="AG19" s="142"/>
      <c r="AH19" s="142"/>
      <c r="AI19" s="142"/>
      <c r="AJ19" s="144"/>
    </row>
    <row r="20" ht="15.75" customHeight="1">
      <c r="A20" s="141" t="s">
        <v>34</v>
      </c>
      <c r="B20" s="142" t="s">
        <v>77</v>
      </c>
      <c r="C20" s="142" t="s">
        <v>212</v>
      </c>
      <c r="D20" s="142" t="s">
        <v>213</v>
      </c>
      <c r="E20" s="142" t="s">
        <v>49</v>
      </c>
      <c r="F20" s="142"/>
      <c r="G20" s="142" t="s">
        <v>80</v>
      </c>
      <c r="H20" s="142"/>
      <c r="I20" s="142" t="s">
        <v>151</v>
      </c>
      <c r="J20" s="142" t="s">
        <v>77</v>
      </c>
      <c r="K20" s="142" t="s">
        <v>211</v>
      </c>
      <c r="L20" s="142"/>
      <c r="M20" s="142"/>
      <c r="N20" s="142"/>
      <c r="O20" s="142"/>
      <c r="P20" s="142" t="s">
        <v>91</v>
      </c>
      <c r="Q20" s="142"/>
      <c r="R20" s="142"/>
      <c r="S20" s="142"/>
      <c r="T20" s="142"/>
      <c r="U20" s="142"/>
      <c r="V20" s="142"/>
      <c r="W20" s="142"/>
      <c r="X20" s="142"/>
      <c r="Y20" s="142"/>
      <c r="Z20" s="142"/>
      <c r="AA20" s="142"/>
      <c r="AB20" s="142"/>
      <c r="AC20" s="142"/>
      <c r="AD20" s="142"/>
      <c r="AE20" s="142"/>
      <c r="AF20" s="142"/>
      <c r="AG20" s="142"/>
      <c r="AH20" s="142"/>
      <c r="AI20" s="142"/>
      <c r="AJ20" s="144"/>
    </row>
    <row r="21" ht="15.75" customHeight="1">
      <c r="A21" s="141" t="s">
        <v>34</v>
      </c>
      <c r="B21" s="142" t="s">
        <v>77</v>
      </c>
      <c r="C21" s="142" t="s">
        <v>214</v>
      </c>
      <c r="D21" s="142" t="s">
        <v>215</v>
      </c>
      <c r="E21" s="142" t="s">
        <v>49</v>
      </c>
      <c r="F21" s="142"/>
      <c r="G21" s="142" t="s">
        <v>80</v>
      </c>
      <c r="H21" s="142"/>
      <c r="I21" s="142" t="s">
        <v>151</v>
      </c>
      <c r="J21" s="142" t="s">
        <v>77</v>
      </c>
      <c r="K21" s="142" t="s">
        <v>216</v>
      </c>
      <c r="L21" s="142"/>
      <c r="M21" s="142"/>
      <c r="N21" s="142"/>
      <c r="O21" s="142"/>
      <c r="P21" s="142" t="s">
        <v>91</v>
      </c>
      <c r="Q21" s="142"/>
      <c r="R21" s="142"/>
      <c r="S21" s="142"/>
      <c r="T21" s="142"/>
      <c r="U21" s="142"/>
      <c r="V21" s="142"/>
      <c r="W21" s="142"/>
      <c r="X21" s="142"/>
      <c r="Y21" s="142"/>
      <c r="Z21" s="142"/>
      <c r="AA21" s="142"/>
      <c r="AB21" s="142"/>
      <c r="AC21" s="142"/>
      <c r="AD21" s="142"/>
      <c r="AE21" s="142"/>
      <c r="AF21" s="142"/>
      <c r="AG21" s="142"/>
      <c r="AH21" s="142"/>
      <c r="AI21" s="142"/>
      <c r="AJ21" s="144"/>
    </row>
    <row r="22" ht="15.75" customHeight="1">
      <c r="A22" s="141" t="s">
        <v>34</v>
      </c>
      <c r="B22" s="142" t="s">
        <v>77</v>
      </c>
      <c r="C22" s="142" t="s">
        <v>120</v>
      </c>
      <c r="D22" s="142" t="s">
        <v>217</v>
      </c>
      <c r="E22" s="142" t="s">
        <v>49</v>
      </c>
      <c r="F22" s="142"/>
      <c r="G22" s="142" t="s">
        <v>80</v>
      </c>
      <c r="H22" s="142"/>
      <c r="I22" s="142" t="s">
        <v>151</v>
      </c>
      <c r="J22" s="142" t="s">
        <v>77</v>
      </c>
      <c r="K22" s="142" t="s">
        <v>218</v>
      </c>
      <c r="L22" s="142"/>
      <c r="M22" s="142"/>
      <c r="N22" s="142"/>
      <c r="O22" s="142"/>
      <c r="P22" s="142" t="s">
        <v>91</v>
      </c>
      <c r="Q22" s="142"/>
      <c r="R22" s="142"/>
      <c r="S22" s="142"/>
      <c r="T22" s="142"/>
      <c r="U22" s="142"/>
      <c r="V22" s="142"/>
      <c r="W22" s="142"/>
      <c r="X22" s="142"/>
      <c r="Y22" s="142"/>
      <c r="Z22" s="142"/>
      <c r="AA22" s="142"/>
      <c r="AB22" s="142"/>
      <c r="AC22" s="142"/>
      <c r="AD22" s="142"/>
      <c r="AE22" s="142"/>
      <c r="AF22" s="142"/>
      <c r="AG22" s="142"/>
      <c r="AH22" s="142"/>
      <c r="AI22" s="142"/>
      <c r="AJ22" s="144"/>
    </row>
    <row r="23" ht="15.75" customHeight="1">
      <c r="A23" s="141" t="s">
        <v>34</v>
      </c>
      <c r="B23" s="142" t="s">
        <v>77</v>
      </c>
      <c r="C23" s="142" t="s">
        <v>219</v>
      </c>
      <c r="D23" s="142" t="s">
        <v>220</v>
      </c>
      <c r="E23" s="142" t="s">
        <v>49</v>
      </c>
      <c r="F23" s="142"/>
      <c r="G23" s="142" t="s">
        <v>80</v>
      </c>
      <c r="H23" s="142"/>
      <c r="I23" s="142" t="s">
        <v>151</v>
      </c>
      <c r="J23" s="142" t="s">
        <v>77</v>
      </c>
      <c r="K23" s="142" t="s">
        <v>198</v>
      </c>
      <c r="L23" s="142"/>
      <c r="M23" s="142"/>
      <c r="N23" s="142"/>
      <c r="O23" s="142"/>
      <c r="P23" s="142" t="s">
        <v>91</v>
      </c>
      <c r="Q23" s="142"/>
      <c r="R23" s="142"/>
      <c r="S23" s="142"/>
      <c r="T23" s="142"/>
      <c r="U23" s="142"/>
      <c r="V23" s="142"/>
      <c r="W23" s="142"/>
      <c r="X23" s="142"/>
      <c r="Y23" s="142"/>
      <c r="Z23" s="142"/>
      <c r="AA23" s="142"/>
      <c r="AB23" s="142"/>
      <c r="AC23" s="142"/>
      <c r="AD23" s="142"/>
      <c r="AE23" s="142"/>
      <c r="AF23" s="142"/>
      <c r="AG23" s="142"/>
      <c r="AH23" s="142"/>
      <c r="AI23" s="142"/>
      <c r="AJ23" s="144"/>
    </row>
    <row r="24" ht="15.75" customHeight="1">
      <c r="A24" s="141" t="s">
        <v>34</v>
      </c>
      <c r="B24" s="142" t="s">
        <v>126</v>
      </c>
      <c r="C24" s="142" t="s">
        <v>221</v>
      </c>
      <c r="D24" s="142" t="s">
        <v>222</v>
      </c>
      <c r="E24" s="142" t="s">
        <v>49</v>
      </c>
      <c r="F24" s="142"/>
      <c r="G24" s="142" t="s">
        <v>223</v>
      </c>
      <c r="H24" s="142" t="s">
        <v>51</v>
      </c>
      <c r="I24" s="142" t="s">
        <v>27</v>
      </c>
      <c r="J24" s="142" t="s">
        <v>224</v>
      </c>
      <c r="K24" s="142" t="s">
        <v>188</v>
      </c>
      <c r="L24" s="142"/>
      <c r="M24" s="142"/>
      <c r="N24" s="142"/>
      <c r="O24" s="142" t="s">
        <v>225</v>
      </c>
      <c r="P24" s="142" t="s">
        <v>226</v>
      </c>
      <c r="Q24" s="142" t="s">
        <v>136</v>
      </c>
      <c r="R24" s="142" t="s">
        <v>227</v>
      </c>
      <c r="S24" s="142" t="s">
        <v>228</v>
      </c>
      <c r="T24" s="142" t="s">
        <v>33</v>
      </c>
      <c r="U24" s="142"/>
      <c r="V24" s="142"/>
      <c r="W24" s="142"/>
      <c r="X24" s="142"/>
      <c r="Y24" s="142"/>
      <c r="Z24" s="142"/>
      <c r="AA24" s="142"/>
      <c r="AB24" s="142"/>
      <c r="AC24" s="142"/>
      <c r="AD24" s="142"/>
      <c r="AE24" s="142"/>
      <c r="AF24" s="142"/>
      <c r="AG24" s="142"/>
      <c r="AH24" s="142"/>
      <c r="AI24" s="142"/>
      <c r="AJ24" s="144"/>
    </row>
    <row r="25" ht="15.75" customHeight="1">
      <c r="A25" s="141" t="s">
        <v>34</v>
      </c>
      <c r="B25" s="142" t="s">
        <v>126</v>
      </c>
      <c r="C25" s="142" t="s">
        <v>229</v>
      </c>
      <c r="D25" s="142" t="s">
        <v>230</v>
      </c>
      <c r="E25" s="142" t="s">
        <v>49</v>
      </c>
      <c r="F25" s="142"/>
      <c r="G25" s="142" t="s">
        <v>129</v>
      </c>
      <c r="H25" s="142"/>
      <c r="I25" s="142" t="s">
        <v>151</v>
      </c>
      <c r="J25" s="142" t="s">
        <v>139</v>
      </c>
      <c r="K25" s="142" t="s">
        <v>188</v>
      </c>
      <c r="L25" s="142"/>
      <c r="M25" s="142"/>
      <c r="N25" s="142"/>
      <c r="O25" s="142"/>
      <c r="P25" s="142" t="s">
        <v>91</v>
      </c>
      <c r="Q25" s="142" t="s">
        <v>231</v>
      </c>
      <c r="R25" s="142" t="s">
        <v>167</v>
      </c>
      <c r="S25" s="142"/>
      <c r="T25" s="142"/>
      <c r="U25" s="142"/>
      <c r="V25" s="142"/>
      <c r="W25" s="142"/>
      <c r="X25" s="142"/>
      <c r="Y25" s="142"/>
      <c r="Z25" s="142"/>
      <c r="AA25" s="142"/>
      <c r="AB25" s="142"/>
      <c r="AC25" s="142"/>
      <c r="AD25" s="142"/>
      <c r="AE25" s="142"/>
      <c r="AF25" s="142"/>
      <c r="AG25" s="142"/>
      <c r="AH25" s="142"/>
      <c r="AI25" s="142"/>
      <c r="AJ25" s="144"/>
    </row>
    <row r="26" ht="15.75" customHeight="1">
      <c r="A26" s="141" t="s">
        <v>34</v>
      </c>
      <c r="B26" s="142" t="s">
        <v>126</v>
      </c>
      <c r="C26" s="142" t="s">
        <v>232</v>
      </c>
      <c r="D26" s="142" t="s">
        <v>233</v>
      </c>
      <c r="E26" s="142" t="s">
        <v>49</v>
      </c>
      <c r="F26" s="142"/>
      <c r="G26" s="142" t="s">
        <v>129</v>
      </c>
      <c r="H26" s="142"/>
      <c r="I26" s="142" t="s">
        <v>151</v>
      </c>
      <c r="J26" s="142" t="s">
        <v>139</v>
      </c>
      <c r="K26" s="142" t="s">
        <v>234</v>
      </c>
      <c r="L26" s="142"/>
      <c r="M26" s="142"/>
      <c r="N26" s="142"/>
      <c r="O26" s="142"/>
      <c r="P26" s="142" t="s">
        <v>91</v>
      </c>
      <c r="Q26" s="142" t="s">
        <v>161</v>
      </c>
      <c r="R26" s="142" t="s">
        <v>167</v>
      </c>
      <c r="S26" s="142"/>
      <c r="T26" s="142"/>
      <c r="U26" s="142"/>
      <c r="V26" s="142"/>
      <c r="W26" s="142"/>
      <c r="X26" s="142"/>
      <c r="Y26" s="142"/>
      <c r="Z26" s="142"/>
      <c r="AA26" s="142"/>
      <c r="AB26" s="142"/>
      <c r="AC26" s="142"/>
      <c r="AD26" s="142"/>
      <c r="AE26" s="142"/>
      <c r="AF26" s="142"/>
      <c r="AG26" s="142"/>
      <c r="AH26" s="142"/>
      <c r="AI26" s="142"/>
      <c r="AJ26" s="144"/>
    </row>
    <row r="27" ht="15.75" customHeight="1">
      <c r="A27" s="141" t="s">
        <v>34</v>
      </c>
      <c r="B27" s="142" t="s">
        <v>126</v>
      </c>
      <c r="C27" s="142" t="s">
        <v>235</v>
      </c>
      <c r="D27" s="142" t="s">
        <v>236</v>
      </c>
      <c r="E27" s="142" t="s">
        <v>49</v>
      </c>
      <c r="F27" s="142"/>
      <c r="G27" s="142" t="s">
        <v>223</v>
      </c>
      <c r="H27" s="142"/>
      <c r="I27" s="142" t="s">
        <v>27</v>
      </c>
      <c r="J27" s="142" t="s">
        <v>224</v>
      </c>
      <c r="K27" s="142" t="s">
        <v>237</v>
      </c>
      <c r="L27" s="142"/>
      <c r="M27" s="142"/>
      <c r="N27" s="142"/>
      <c r="O27" s="142"/>
      <c r="P27" s="142" t="s">
        <v>238</v>
      </c>
      <c r="Q27" s="142" t="s">
        <v>166</v>
      </c>
      <c r="R27" s="142" t="s">
        <v>171</v>
      </c>
      <c r="S27" s="142" t="s">
        <v>239</v>
      </c>
      <c r="T27" s="142"/>
      <c r="U27" s="142"/>
      <c r="V27" s="142"/>
      <c r="W27" s="142"/>
      <c r="X27" s="142"/>
      <c r="Y27" s="142"/>
      <c r="Z27" s="142"/>
      <c r="AA27" s="142"/>
      <c r="AB27" s="142"/>
      <c r="AC27" s="142"/>
      <c r="AD27" s="142"/>
      <c r="AE27" s="142"/>
      <c r="AF27" s="142"/>
      <c r="AG27" s="142"/>
      <c r="AH27" s="142"/>
      <c r="AI27" s="142"/>
      <c r="AJ27" s="144"/>
    </row>
    <row r="28" ht="15.75" customHeight="1">
      <c r="A28" s="141" t="s">
        <v>34</v>
      </c>
      <c r="B28" s="142" t="s">
        <v>240</v>
      </c>
      <c r="C28" s="142" t="s">
        <v>241</v>
      </c>
      <c r="D28" s="142" t="s">
        <v>242</v>
      </c>
      <c r="E28" s="142" t="s">
        <v>49</v>
      </c>
      <c r="F28" s="142"/>
      <c r="G28" s="142" t="s">
        <v>243</v>
      </c>
      <c r="H28" s="142"/>
      <c r="I28" s="142" t="s">
        <v>151</v>
      </c>
      <c r="J28" s="142"/>
      <c r="K28" s="142" t="s">
        <v>244</v>
      </c>
      <c r="L28" s="142"/>
      <c r="M28" s="142" t="s">
        <v>49</v>
      </c>
      <c r="N28" s="142"/>
      <c r="O28" s="142"/>
      <c r="P28" s="142" t="s">
        <v>245</v>
      </c>
      <c r="Q28" s="142" t="s">
        <v>102</v>
      </c>
      <c r="R28" s="142"/>
      <c r="S28" s="142" t="s">
        <v>246</v>
      </c>
      <c r="T28" s="142"/>
      <c r="U28" s="142"/>
      <c r="V28" s="142"/>
      <c r="W28" s="142"/>
      <c r="X28" s="142"/>
      <c r="Y28" s="142"/>
      <c r="Z28" s="142"/>
      <c r="AA28" s="142"/>
      <c r="AB28" s="142"/>
      <c r="AC28" s="142"/>
      <c r="AD28" s="142"/>
      <c r="AE28" s="142"/>
      <c r="AF28" s="142"/>
      <c r="AG28" s="142"/>
      <c r="AH28" s="142"/>
      <c r="AI28" s="142"/>
      <c r="AJ28" s="144"/>
    </row>
    <row r="29" ht="15.75" customHeight="1">
      <c r="A29" s="141" t="s">
        <v>34</v>
      </c>
      <c r="B29" s="142" t="s">
        <v>86</v>
      </c>
      <c r="C29" s="142" t="s">
        <v>247</v>
      </c>
      <c r="D29" s="142" t="s">
        <v>248</v>
      </c>
      <c r="E29" s="142" t="s">
        <v>49</v>
      </c>
      <c r="F29" s="142" t="s">
        <v>249</v>
      </c>
      <c r="G29" s="142" t="s">
        <v>89</v>
      </c>
      <c r="H29" s="142"/>
      <c r="I29" s="142" t="s">
        <v>51</v>
      </c>
      <c r="J29" s="142" t="s">
        <v>86</v>
      </c>
      <c r="K29" s="142" t="s">
        <v>90</v>
      </c>
      <c r="L29" s="142"/>
      <c r="M29" s="142"/>
      <c r="N29" s="142"/>
      <c r="O29" s="142"/>
      <c r="P29" s="142" t="s">
        <v>91</v>
      </c>
      <c r="Q29" s="142"/>
      <c r="R29" s="142" t="s">
        <v>227</v>
      </c>
      <c r="S29" s="142"/>
      <c r="T29" s="142"/>
      <c r="U29" s="142"/>
      <c r="V29" s="142"/>
      <c r="W29" s="142"/>
      <c r="X29" s="142"/>
      <c r="Y29" s="142"/>
      <c r="Z29" s="142"/>
      <c r="AA29" s="142"/>
      <c r="AB29" s="142"/>
      <c r="AC29" s="142"/>
      <c r="AD29" s="142"/>
      <c r="AE29" s="142"/>
      <c r="AF29" s="142"/>
      <c r="AG29" s="142"/>
      <c r="AH29" s="142"/>
      <c r="AI29" s="142"/>
      <c r="AJ29" s="144"/>
    </row>
    <row r="30" ht="15.75" customHeight="1">
      <c r="A30" s="141" t="s">
        <v>250</v>
      </c>
      <c r="B30" s="142" t="s">
        <v>263</v>
      </c>
      <c r="C30" s="142" t="s">
        <v>313</v>
      </c>
      <c r="D30" s="142" t="s">
        <v>314</v>
      </c>
      <c r="E30" s="142" t="s">
        <v>49</v>
      </c>
      <c r="F30" s="142" t="s">
        <v>315</v>
      </c>
      <c r="G30" s="142" t="s">
        <v>316</v>
      </c>
      <c r="H30" s="142" t="s">
        <v>39</v>
      </c>
      <c r="I30" s="142" t="s">
        <v>151</v>
      </c>
      <c r="J30" s="142" t="s">
        <v>317</v>
      </c>
      <c r="K30" s="142"/>
      <c r="L30" s="142"/>
      <c r="M30" s="142"/>
      <c r="N30" s="142"/>
      <c r="O30" s="142"/>
      <c r="P30" s="142" t="s">
        <v>318</v>
      </c>
      <c r="Q30" s="142" t="s">
        <v>315</v>
      </c>
      <c r="R30" s="142"/>
      <c r="S30" s="142"/>
      <c r="T30" s="142"/>
      <c r="U30" s="142"/>
      <c r="V30" s="142"/>
      <c r="W30" s="142"/>
      <c r="X30" s="142"/>
      <c r="Y30" s="142"/>
      <c r="Z30" s="142"/>
      <c r="AA30" s="142"/>
      <c r="AB30" s="142"/>
      <c r="AC30" s="142"/>
      <c r="AD30" s="142"/>
      <c r="AE30" s="142"/>
      <c r="AF30" s="142"/>
      <c r="AG30" s="142"/>
      <c r="AH30" s="142"/>
      <c r="AI30" s="142"/>
      <c r="AJ30" s="144"/>
    </row>
    <row r="31" ht="15.75" customHeight="1">
      <c r="A31" s="141" t="s">
        <v>250</v>
      </c>
      <c r="B31" s="142" t="s">
        <v>250</v>
      </c>
      <c r="C31" s="142" t="s">
        <v>319</v>
      </c>
      <c r="D31" s="142" t="s">
        <v>320</v>
      </c>
      <c r="E31" s="142" t="s">
        <v>49</v>
      </c>
      <c r="F31" s="142" t="s">
        <v>1597</v>
      </c>
      <c r="G31" s="142" t="s">
        <v>322</v>
      </c>
      <c r="H31" s="142" t="s">
        <v>39</v>
      </c>
      <c r="I31" s="142" t="s">
        <v>151</v>
      </c>
      <c r="J31" s="142"/>
      <c r="K31" s="142"/>
      <c r="L31" s="142"/>
      <c r="M31" s="142"/>
      <c r="N31" s="142"/>
      <c r="O31" s="142"/>
      <c r="P31" s="142"/>
      <c r="Q31" s="142" t="s">
        <v>323</v>
      </c>
      <c r="R31" s="142"/>
      <c r="S31" s="142"/>
      <c r="T31" s="142"/>
      <c r="U31" s="142"/>
      <c r="V31" s="142"/>
      <c r="W31" s="142"/>
      <c r="X31" s="142"/>
      <c r="Y31" s="142"/>
      <c r="Z31" s="142"/>
      <c r="AA31" s="142"/>
      <c r="AB31" s="142"/>
      <c r="AC31" s="142"/>
      <c r="AD31" s="142"/>
      <c r="AE31" s="142"/>
      <c r="AF31" s="142"/>
      <c r="AG31" s="142"/>
      <c r="AH31" s="142"/>
      <c r="AI31" s="142"/>
      <c r="AJ31" s="144"/>
    </row>
    <row r="32" ht="15.75" customHeight="1">
      <c r="A32" s="141" t="s">
        <v>250</v>
      </c>
      <c r="B32" s="142" t="s">
        <v>324</v>
      </c>
      <c r="C32" s="142" t="s">
        <v>325</v>
      </c>
      <c r="D32" s="142" t="s">
        <v>326</v>
      </c>
      <c r="E32" s="142" t="s">
        <v>49</v>
      </c>
      <c r="F32" s="142"/>
      <c r="G32" s="142" t="s">
        <v>327</v>
      </c>
      <c r="H32" s="142"/>
      <c r="I32" s="142" t="s">
        <v>151</v>
      </c>
      <c r="J32" s="142"/>
      <c r="K32" s="142"/>
      <c r="L32" s="142"/>
      <c r="M32" s="142"/>
      <c r="N32" s="142"/>
      <c r="O32" s="142"/>
      <c r="P32" s="142"/>
      <c r="Q32" s="142" t="s">
        <v>328</v>
      </c>
      <c r="R32" s="142"/>
      <c r="S32" s="142"/>
      <c r="T32" s="142"/>
      <c r="U32" s="142"/>
      <c r="V32" s="142"/>
      <c r="W32" s="142"/>
      <c r="X32" s="142"/>
      <c r="Y32" s="142"/>
      <c r="Z32" s="142"/>
      <c r="AA32" s="142"/>
      <c r="AB32" s="142"/>
      <c r="AC32" s="142"/>
      <c r="AD32" s="142"/>
      <c r="AE32" s="142"/>
      <c r="AF32" s="142"/>
      <c r="AG32" s="142"/>
      <c r="AH32" s="142"/>
      <c r="AI32" s="142"/>
      <c r="AJ32" s="144"/>
    </row>
    <row r="33" ht="15.75" customHeight="1">
      <c r="A33" s="141" t="s">
        <v>329</v>
      </c>
      <c r="B33" s="142"/>
      <c r="C33" s="142" t="s">
        <v>346</v>
      </c>
      <c r="D33" s="142" t="s">
        <v>347</v>
      </c>
      <c r="E33" s="142" t="s">
        <v>49</v>
      </c>
      <c r="F33" s="142"/>
      <c r="G33" s="142" t="s">
        <v>338</v>
      </c>
      <c r="H33" s="142" t="s">
        <v>39</v>
      </c>
      <c r="I33" s="142"/>
      <c r="J33" s="142" t="s">
        <v>329</v>
      </c>
      <c r="K33" s="142" t="s">
        <v>348</v>
      </c>
      <c r="L33" s="142"/>
      <c r="M33" s="142"/>
      <c r="N33" s="142"/>
      <c r="O33" s="142"/>
      <c r="P33" s="142"/>
      <c r="Q33" s="142" t="s">
        <v>349</v>
      </c>
      <c r="R33" s="142"/>
      <c r="S33" s="142"/>
      <c r="T33" s="146">
        <v>45999.0</v>
      </c>
      <c r="U33" s="142"/>
      <c r="V33" s="142"/>
      <c r="W33" s="142"/>
      <c r="X33" s="142"/>
      <c r="Y33" s="142"/>
      <c r="Z33" s="142"/>
      <c r="AA33" s="142"/>
      <c r="AB33" s="142"/>
      <c r="AC33" s="142"/>
      <c r="AD33" s="142"/>
      <c r="AE33" s="142"/>
      <c r="AF33" s="142"/>
      <c r="AG33" s="142"/>
      <c r="AH33" s="142"/>
      <c r="AI33" s="142"/>
      <c r="AJ33" s="144"/>
    </row>
    <row r="34" ht="15.75" customHeight="1">
      <c r="A34" s="141" t="s">
        <v>329</v>
      </c>
      <c r="B34" s="142"/>
      <c r="C34" s="142" t="s">
        <v>1429</v>
      </c>
      <c r="D34" s="142" t="s">
        <v>1430</v>
      </c>
      <c r="E34" s="142" t="s">
        <v>49</v>
      </c>
      <c r="F34" s="142"/>
      <c r="G34" s="142" t="s">
        <v>1432</v>
      </c>
      <c r="H34" s="142"/>
      <c r="I34" s="142" t="s">
        <v>151</v>
      </c>
      <c r="J34" s="142" t="s">
        <v>498</v>
      </c>
      <c r="K34" s="142"/>
      <c r="L34" s="142"/>
      <c r="M34" s="142"/>
      <c r="N34" s="142"/>
      <c r="O34" s="142"/>
      <c r="P34" s="142" t="s">
        <v>323</v>
      </c>
      <c r="Q34" s="142" t="s">
        <v>161</v>
      </c>
      <c r="R34" s="142"/>
      <c r="S34" s="142" t="s">
        <v>189</v>
      </c>
      <c r="T34" s="142"/>
      <c r="U34" s="142"/>
      <c r="V34" s="142"/>
      <c r="W34" s="142"/>
      <c r="X34" s="142"/>
      <c r="Y34" s="142"/>
      <c r="Z34" s="142"/>
      <c r="AA34" s="142"/>
      <c r="AB34" s="142"/>
      <c r="AC34" s="142"/>
      <c r="AD34" s="142"/>
      <c r="AE34" s="142"/>
      <c r="AF34" s="142"/>
      <c r="AG34" s="142"/>
      <c r="AH34" s="142"/>
      <c r="AI34" s="142"/>
      <c r="AJ34" s="144"/>
    </row>
    <row r="35" ht="15.75" customHeight="1">
      <c r="A35" s="141" t="s">
        <v>398</v>
      </c>
      <c r="B35" s="142" t="s">
        <v>399</v>
      </c>
      <c r="C35" s="142" t="s">
        <v>413</v>
      </c>
      <c r="D35" s="142"/>
      <c r="E35" s="142" t="s">
        <v>49</v>
      </c>
      <c r="F35" s="142" t="s">
        <v>414</v>
      </c>
      <c r="G35" s="142" t="s">
        <v>415</v>
      </c>
      <c r="H35" s="142" t="s">
        <v>51</v>
      </c>
      <c r="I35" s="142"/>
      <c r="J35" s="142" t="s">
        <v>416</v>
      </c>
      <c r="K35" s="142" t="s">
        <v>409</v>
      </c>
      <c r="L35" s="142"/>
      <c r="M35" s="142"/>
      <c r="N35" s="142"/>
      <c r="O35" s="142"/>
      <c r="P35" s="142" t="s">
        <v>323</v>
      </c>
      <c r="Q35" s="142"/>
      <c r="R35" s="142"/>
      <c r="S35" s="142"/>
      <c r="T35" s="142"/>
      <c r="U35" s="142"/>
      <c r="V35" s="142"/>
      <c r="W35" s="142"/>
      <c r="X35" s="142"/>
      <c r="Y35" s="142"/>
      <c r="Z35" s="142"/>
      <c r="AA35" s="142"/>
      <c r="AB35" s="142"/>
      <c r="AC35" s="142"/>
      <c r="AD35" s="142"/>
      <c r="AE35" s="142"/>
      <c r="AF35" s="142"/>
      <c r="AG35" s="142"/>
      <c r="AH35" s="142"/>
      <c r="AI35" s="142"/>
      <c r="AJ35" s="144"/>
    </row>
    <row r="36" ht="15.75" customHeight="1">
      <c r="A36" s="141" t="s">
        <v>398</v>
      </c>
      <c r="B36" s="142" t="s">
        <v>399</v>
      </c>
      <c r="C36" s="142" t="s">
        <v>420</v>
      </c>
      <c r="D36" s="142" t="s">
        <v>421</v>
      </c>
      <c r="E36" s="142" t="s">
        <v>49</v>
      </c>
      <c r="F36" s="142"/>
      <c r="G36" s="142" t="s">
        <v>422</v>
      </c>
      <c r="H36" s="142"/>
      <c r="I36" s="142" t="s">
        <v>151</v>
      </c>
      <c r="J36" s="142" t="s">
        <v>399</v>
      </c>
      <c r="K36" s="142" t="s">
        <v>423</v>
      </c>
      <c r="L36" s="142"/>
      <c r="M36" s="142"/>
      <c r="N36" s="142"/>
      <c r="O36" s="142"/>
      <c r="P36" s="142" t="s">
        <v>424</v>
      </c>
      <c r="Q36" s="142"/>
      <c r="R36" s="142"/>
      <c r="S36" s="142"/>
      <c r="T36" s="142"/>
      <c r="U36" s="142"/>
      <c r="V36" s="142"/>
      <c r="W36" s="142"/>
      <c r="X36" s="142"/>
      <c r="Y36" s="142"/>
      <c r="Z36" s="142"/>
      <c r="AA36" s="142"/>
      <c r="AB36" s="142"/>
      <c r="AC36" s="142"/>
      <c r="AD36" s="142"/>
      <c r="AE36" s="142"/>
      <c r="AF36" s="142"/>
      <c r="AG36" s="142"/>
      <c r="AH36" s="142"/>
      <c r="AI36" s="142"/>
      <c r="AJ36" s="144"/>
    </row>
    <row r="37" ht="15.75" customHeight="1">
      <c r="A37" s="141" t="s">
        <v>398</v>
      </c>
      <c r="B37" s="142" t="s">
        <v>399</v>
      </c>
      <c r="C37" s="142" t="s">
        <v>425</v>
      </c>
      <c r="D37" s="142" t="s">
        <v>426</v>
      </c>
      <c r="E37" s="142" t="s">
        <v>49</v>
      </c>
      <c r="F37" s="142"/>
      <c r="G37" s="142" t="s">
        <v>407</v>
      </c>
      <c r="H37" s="142"/>
      <c r="I37" s="142" t="s">
        <v>151</v>
      </c>
      <c r="J37" s="142" t="s">
        <v>428</v>
      </c>
      <c r="K37" s="142" t="s">
        <v>429</v>
      </c>
      <c r="L37" s="142"/>
      <c r="M37" s="142"/>
      <c r="N37" s="142"/>
      <c r="O37" s="142" t="s">
        <v>430</v>
      </c>
      <c r="P37" s="142" t="s">
        <v>431</v>
      </c>
      <c r="Q37" s="142"/>
      <c r="R37" s="142"/>
      <c r="S37" s="142"/>
      <c r="T37" s="142"/>
      <c r="U37" s="142"/>
      <c r="V37" s="142"/>
      <c r="W37" s="142"/>
      <c r="X37" s="142"/>
      <c r="Y37" s="142"/>
      <c r="Z37" s="142"/>
      <c r="AA37" s="142"/>
      <c r="AB37" s="142"/>
      <c r="AC37" s="142"/>
      <c r="AD37" s="142"/>
      <c r="AE37" s="142"/>
      <c r="AF37" s="142"/>
      <c r="AG37" s="142"/>
      <c r="AH37" s="142"/>
      <c r="AI37" s="142"/>
      <c r="AJ37" s="144"/>
    </row>
    <row r="38" ht="15.75" customHeight="1">
      <c r="A38" s="141" t="s">
        <v>398</v>
      </c>
      <c r="B38" s="142" t="s">
        <v>399</v>
      </c>
      <c r="C38" s="142" t="s">
        <v>1598</v>
      </c>
      <c r="D38" s="142" t="s">
        <v>1599</v>
      </c>
      <c r="E38" s="142" t="s">
        <v>49</v>
      </c>
      <c r="F38" s="142"/>
      <c r="G38" s="142" t="s">
        <v>442</v>
      </c>
      <c r="H38" s="142"/>
      <c r="I38" s="142" t="s">
        <v>27</v>
      </c>
      <c r="J38" s="142" t="s">
        <v>465</v>
      </c>
      <c r="K38" s="142" t="s">
        <v>1600</v>
      </c>
      <c r="L38" s="142"/>
      <c r="M38" s="142"/>
      <c r="N38" s="142"/>
      <c r="O38" s="142" t="s">
        <v>444</v>
      </c>
      <c r="P38" s="142" t="s">
        <v>323</v>
      </c>
      <c r="Q38" s="142" t="s">
        <v>466</v>
      </c>
      <c r="R38" s="142"/>
      <c r="S38" s="142"/>
      <c r="T38" s="142"/>
      <c r="U38" s="142"/>
      <c r="V38" s="142"/>
      <c r="W38" s="142"/>
      <c r="X38" s="142"/>
      <c r="Y38" s="142"/>
      <c r="Z38" s="142"/>
      <c r="AA38" s="142"/>
      <c r="AB38" s="142"/>
      <c r="AC38" s="142"/>
      <c r="AD38" s="142"/>
      <c r="AE38" s="142"/>
      <c r="AF38" s="142"/>
      <c r="AG38" s="142"/>
      <c r="AH38" s="142"/>
      <c r="AI38" s="142"/>
      <c r="AJ38" s="144"/>
    </row>
    <row r="39" ht="15.75" customHeight="1">
      <c r="A39" s="141" t="s">
        <v>398</v>
      </c>
      <c r="B39" s="142" t="s">
        <v>399</v>
      </c>
      <c r="C39" s="142" t="s">
        <v>448</v>
      </c>
      <c r="D39" s="142" t="s">
        <v>449</v>
      </c>
      <c r="E39" s="142" t="s">
        <v>49</v>
      </c>
      <c r="F39" s="142"/>
      <c r="G39" s="142" t="s">
        <v>427</v>
      </c>
      <c r="H39" s="142"/>
      <c r="I39" s="142" t="s">
        <v>151</v>
      </c>
      <c r="J39" s="142" t="s">
        <v>428</v>
      </c>
      <c r="K39" s="142" t="s">
        <v>450</v>
      </c>
      <c r="L39" s="142"/>
      <c r="M39" s="142"/>
      <c r="N39" s="142"/>
      <c r="O39" s="142"/>
      <c r="P39" s="142" t="s">
        <v>451</v>
      </c>
      <c r="Q39" s="145" t="s">
        <v>452</v>
      </c>
      <c r="R39" s="142"/>
      <c r="S39" s="142"/>
      <c r="T39" s="142"/>
      <c r="U39" s="142"/>
      <c r="V39" s="142"/>
      <c r="W39" s="142"/>
      <c r="X39" s="142"/>
      <c r="Y39" s="142"/>
      <c r="Z39" s="142"/>
      <c r="AA39" s="142"/>
      <c r="AB39" s="142"/>
      <c r="AC39" s="142"/>
      <c r="AD39" s="142"/>
      <c r="AE39" s="142"/>
      <c r="AF39" s="142"/>
      <c r="AG39" s="142"/>
      <c r="AH39" s="142"/>
      <c r="AI39" s="142"/>
      <c r="AJ39" s="144"/>
    </row>
    <row r="40" ht="15.75" customHeight="1">
      <c r="A40" s="141" t="s">
        <v>398</v>
      </c>
      <c r="B40" s="142" t="s">
        <v>399</v>
      </c>
      <c r="C40" s="142" t="s">
        <v>453</v>
      </c>
      <c r="D40" s="142" t="s">
        <v>454</v>
      </c>
      <c r="E40" s="142" t="s">
        <v>49</v>
      </c>
      <c r="F40" s="142"/>
      <c r="G40" s="142" t="s">
        <v>455</v>
      </c>
      <c r="H40" s="142"/>
      <c r="I40" s="142" t="s">
        <v>51</v>
      </c>
      <c r="J40" s="142" t="s">
        <v>399</v>
      </c>
      <c r="K40" s="142" t="s">
        <v>1601</v>
      </c>
      <c r="L40" s="142"/>
      <c r="M40" s="142"/>
      <c r="N40" s="142"/>
      <c r="O40" s="142"/>
      <c r="P40" s="142" t="s">
        <v>457</v>
      </c>
      <c r="Q40" s="142"/>
      <c r="R40" s="142"/>
      <c r="S40" s="142"/>
      <c r="T40" s="142"/>
      <c r="U40" s="142"/>
      <c r="V40" s="142"/>
      <c r="W40" s="142"/>
      <c r="X40" s="142"/>
      <c r="Y40" s="142"/>
      <c r="Z40" s="142"/>
      <c r="AA40" s="142"/>
      <c r="AB40" s="142"/>
      <c r="AC40" s="142"/>
      <c r="AD40" s="142"/>
      <c r="AE40" s="142"/>
      <c r="AF40" s="142"/>
      <c r="AG40" s="142"/>
      <c r="AH40" s="142"/>
      <c r="AI40" s="142"/>
      <c r="AJ40" s="144"/>
    </row>
    <row r="41" ht="15.75" customHeight="1">
      <c r="A41" s="141" t="s">
        <v>398</v>
      </c>
      <c r="B41" s="142" t="s">
        <v>399</v>
      </c>
      <c r="C41" s="142" t="s">
        <v>462</v>
      </c>
      <c r="D41" s="142" t="s">
        <v>463</v>
      </c>
      <c r="E41" s="142" t="s">
        <v>49</v>
      </c>
      <c r="F41" s="142" t="s">
        <v>464</v>
      </c>
      <c r="G41" s="142" t="s">
        <v>407</v>
      </c>
      <c r="H41" s="142"/>
      <c r="I41" s="142" t="s">
        <v>51</v>
      </c>
      <c r="J41" s="142" t="s">
        <v>465</v>
      </c>
      <c r="K41" s="142"/>
      <c r="L41" s="142"/>
      <c r="M41" s="142"/>
      <c r="N41" s="142"/>
      <c r="O41" s="142"/>
      <c r="P41" s="142"/>
      <c r="Q41" s="142" t="s">
        <v>466</v>
      </c>
      <c r="R41" s="142"/>
      <c r="S41" s="142"/>
      <c r="T41" s="142"/>
      <c r="U41" s="142"/>
      <c r="V41" s="142"/>
      <c r="W41" s="142"/>
      <c r="X41" s="142"/>
      <c r="Y41" s="142"/>
      <c r="Z41" s="142"/>
      <c r="AA41" s="142"/>
      <c r="AB41" s="142"/>
      <c r="AC41" s="142"/>
      <c r="AD41" s="142"/>
      <c r="AE41" s="142"/>
      <c r="AF41" s="142"/>
      <c r="AG41" s="142"/>
      <c r="AH41" s="142"/>
      <c r="AI41" s="142"/>
      <c r="AJ41" s="144"/>
    </row>
    <row r="42" ht="15.75" customHeight="1">
      <c r="A42" s="141" t="s">
        <v>398</v>
      </c>
      <c r="B42" s="142" t="s">
        <v>399</v>
      </c>
      <c r="C42" s="142" t="s">
        <v>467</v>
      </c>
      <c r="D42" s="142" t="s">
        <v>468</v>
      </c>
      <c r="E42" s="142" t="s">
        <v>49</v>
      </c>
      <c r="F42" s="142" t="s">
        <v>464</v>
      </c>
      <c r="G42" s="142" t="s">
        <v>407</v>
      </c>
      <c r="H42" s="142"/>
      <c r="I42" s="142" t="s">
        <v>51</v>
      </c>
      <c r="J42" s="142" t="s">
        <v>469</v>
      </c>
      <c r="K42" s="142" t="s">
        <v>470</v>
      </c>
      <c r="L42" s="142"/>
      <c r="M42" s="142"/>
      <c r="N42" s="142"/>
      <c r="O42" s="142"/>
      <c r="P42" s="142" t="s">
        <v>471</v>
      </c>
      <c r="Q42" s="142" t="s">
        <v>323</v>
      </c>
      <c r="R42" s="142"/>
      <c r="S42" s="142"/>
      <c r="T42" s="142"/>
      <c r="U42" s="142"/>
      <c r="V42" s="142"/>
      <c r="W42" s="142"/>
      <c r="X42" s="142"/>
      <c r="Y42" s="142"/>
      <c r="Z42" s="142"/>
      <c r="AA42" s="142"/>
      <c r="AB42" s="142"/>
      <c r="AC42" s="142"/>
      <c r="AD42" s="142"/>
      <c r="AE42" s="142"/>
      <c r="AF42" s="142"/>
      <c r="AG42" s="142"/>
      <c r="AH42" s="142"/>
      <c r="AI42" s="142"/>
      <c r="AJ42" s="144"/>
    </row>
    <row r="43" ht="15.75" customHeight="1">
      <c r="A43" s="141" t="s">
        <v>398</v>
      </c>
      <c r="B43" s="142" t="s">
        <v>399</v>
      </c>
      <c r="C43" s="142" t="s">
        <v>1602</v>
      </c>
      <c r="D43" s="142"/>
      <c r="E43" s="142" t="s">
        <v>49</v>
      </c>
      <c r="F43" s="142"/>
      <c r="G43" s="142"/>
      <c r="H43" s="142"/>
      <c r="I43" s="142"/>
      <c r="J43" s="142" t="s">
        <v>28</v>
      </c>
      <c r="K43" s="142"/>
      <c r="L43" s="142"/>
      <c r="M43" s="142"/>
      <c r="N43" s="142"/>
      <c r="O43" s="142" t="s">
        <v>1603</v>
      </c>
      <c r="P43" s="142"/>
      <c r="Q43" s="142"/>
      <c r="R43" s="142"/>
      <c r="S43" s="142"/>
      <c r="T43" s="142"/>
      <c r="U43" s="142"/>
      <c r="V43" s="142"/>
      <c r="W43" s="142"/>
      <c r="X43" s="142"/>
      <c r="Y43" s="142"/>
      <c r="Z43" s="142"/>
      <c r="AA43" s="142"/>
      <c r="AB43" s="142"/>
      <c r="AC43" s="142"/>
      <c r="AD43" s="142"/>
      <c r="AE43" s="142"/>
      <c r="AF43" s="142"/>
      <c r="AG43" s="142"/>
      <c r="AH43" s="142"/>
      <c r="AI43" s="142"/>
      <c r="AJ43" s="144"/>
    </row>
    <row r="44" ht="15.75" customHeight="1">
      <c r="A44" s="141" t="s">
        <v>398</v>
      </c>
      <c r="B44" s="142" t="s">
        <v>399</v>
      </c>
      <c r="C44" s="142" t="s">
        <v>1604</v>
      </c>
      <c r="D44" s="142" t="s">
        <v>1605</v>
      </c>
      <c r="E44" s="142" t="s">
        <v>49</v>
      </c>
      <c r="F44" s="142"/>
      <c r="G44" s="142" t="s">
        <v>1606</v>
      </c>
      <c r="H44" s="142"/>
      <c r="I44" s="142"/>
      <c r="J44" s="142" t="s">
        <v>465</v>
      </c>
      <c r="K44" s="142"/>
      <c r="L44" s="142"/>
      <c r="M44" s="142"/>
      <c r="N44" s="142"/>
      <c r="O44" s="142" t="s">
        <v>1607</v>
      </c>
      <c r="P44" s="142"/>
      <c r="Q44" s="142" t="s">
        <v>1608</v>
      </c>
      <c r="R44" s="142"/>
      <c r="S44" s="142"/>
      <c r="T44" s="142"/>
      <c r="U44" s="142"/>
      <c r="V44" s="142"/>
      <c r="W44" s="142"/>
      <c r="X44" s="142"/>
      <c r="Y44" s="142"/>
      <c r="Z44" s="142"/>
      <c r="AA44" s="142"/>
      <c r="AB44" s="142"/>
      <c r="AC44" s="142"/>
      <c r="AD44" s="142"/>
      <c r="AE44" s="142"/>
      <c r="AF44" s="142"/>
      <c r="AG44" s="142"/>
      <c r="AH44" s="142"/>
      <c r="AI44" s="142"/>
      <c r="AJ44" s="144"/>
    </row>
    <row r="45" ht="15.75" customHeight="1">
      <c r="A45" s="141" t="s">
        <v>398</v>
      </c>
      <c r="B45" s="142" t="s">
        <v>399</v>
      </c>
      <c r="C45" s="142" t="s">
        <v>491</v>
      </c>
      <c r="D45" s="142"/>
      <c r="E45" s="142" t="s">
        <v>49</v>
      </c>
      <c r="F45" s="142" t="s">
        <v>464</v>
      </c>
      <c r="G45" s="142" t="s">
        <v>407</v>
      </c>
      <c r="H45" s="142" t="s">
        <v>39</v>
      </c>
      <c r="I45" s="142" t="s">
        <v>151</v>
      </c>
      <c r="J45" s="142"/>
      <c r="K45" s="142"/>
      <c r="L45" s="142"/>
      <c r="M45" s="142"/>
      <c r="N45" s="142"/>
      <c r="O45" s="142"/>
      <c r="P45" s="142"/>
      <c r="Q45" s="142" t="s">
        <v>328</v>
      </c>
      <c r="R45" s="142"/>
      <c r="S45" s="142"/>
      <c r="T45" s="142"/>
      <c r="U45" s="142"/>
      <c r="V45" s="142"/>
      <c r="W45" s="142"/>
      <c r="X45" s="142"/>
      <c r="Y45" s="142"/>
      <c r="Z45" s="142"/>
      <c r="AA45" s="142"/>
      <c r="AB45" s="142"/>
      <c r="AC45" s="142"/>
      <c r="AD45" s="142"/>
      <c r="AE45" s="142"/>
      <c r="AF45" s="142"/>
      <c r="AG45" s="142"/>
      <c r="AH45" s="142"/>
      <c r="AI45" s="142"/>
      <c r="AJ45" s="144"/>
    </row>
    <row r="46" ht="15.75" customHeight="1">
      <c r="A46" s="141" t="s">
        <v>398</v>
      </c>
      <c r="B46" s="142" t="s">
        <v>399</v>
      </c>
      <c r="C46" s="142" t="s">
        <v>497</v>
      </c>
      <c r="D46" s="142"/>
      <c r="E46" s="142" t="s">
        <v>49</v>
      </c>
      <c r="F46" s="142"/>
      <c r="G46" s="142"/>
      <c r="H46" s="142" t="s">
        <v>39</v>
      </c>
      <c r="I46" s="142" t="s">
        <v>151</v>
      </c>
      <c r="J46" s="142" t="s">
        <v>498</v>
      </c>
      <c r="K46" s="142"/>
      <c r="L46" s="142"/>
      <c r="M46" s="142"/>
      <c r="N46" s="142"/>
      <c r="O46" s="142"/>
      <c r="P46" s="142" t="s">
        <v>328</v>
      </c>
      <c r="Q46" s="142" t="s">
        <v>499</v>
      </c>
      <c r="R46" s="142"/>
      <c r="S46" s="142"/>
      <c r="T46" s="142"/>
      <c r="U46" s="142"/>
      <c r="V46" s="142"/>
      <c r="W46" s="142"/>
      <c r="X46" s="142"/>
      <c r="Y46" s="142"/>
      <c r="Z46" s="142"/>
      <c r="AA46" s="142"/>
      <c r="AB46" s="142"/>
      <c r="AC46" s="142"/>
      <c r="AD46" s="142"/>
      <c r="AE46" s="142"/>
      <c r="AF46" s="142"/>
      <c r="AG46" s="142"/>
      <c r="AH46" s="142"/>
      <c r="AI46" s="142"/>
      <c r="AJ46" s="144"/>
    </row>
    <row r="47" ht="15.75" customHeight="1">
      <c r="A47" s="141" t="s">
        <v>398</v>
      </c>
      <c r="B47" s="142" t="s">
        <v>399</v>
      </c>
      <c r="C47" s="142" t="s">
        <v>532</v>
      </c>
      <c r="D47" s="142"/>
      <c r="E47" s="142" t="s">
        <v>49</v>
      </c>
      <c r="F47" s="142"/>
      <c r="G47" s="142" t="s">
        <v>427</v>
      </c>
      <c r="H47" s="142"/>
      <c r="I47" s="142" t="s">
        <v>151</v>
      </c>
      <c r="J47" s="142" t="s">
        <v>428</v>
      </c>
      <c r="K47" s="142"/>
      <c r="L47" s="142"/>
      <c r="M47" s="142"/>
      <c r="N47" s="142"/>
      <c r="O47" s="142"/>
      <c r="P47" s="142" t="s">
        <v>533</v>
      </c>
      <c r="Q47" s="142" t="s">
        <v>534</v>
      </c>
      <c r="R47" s="142"/>
      <c r="S47" s="142"/>
      <c r="T47" s="142"/>
      <c r="U47" s="142"/>
      <c r="V47" s="142"/>
      <c r="W47" s="142"/>
      <c r="X47" s="142"/>
      <c r="Y47" s="142"/>
      <c r="Z47" s="142"/>
      <c r="AA47" s="142"/>
      <c r="AB47" s="142"/>
      <c r="AC47" s="142"/>
      <c r="AD47" s="142"/>
      <c r="AE47" s="142"/>
      <c r="AF47" s="142"/>
      <c r="AG47" s="142"/>
      <c r="AH47" s="142"/>
      <c r="AI47" s="142"/>
      <c r="AJ47" s="144"/>
    </row>
    <row r="48" ht="15.75" customHeight="1">
      <c r="A48" s="141" t="s">
        <v>398</v>
      </c>
      <c r="B48" s="142" t="s">
        <v>399</v>
      </c>
      <c r="C48" s="142" t="s">
        <v>555</v>
      </c>
      <c r="D48" s="142" t="s">
        <v>555</v>
      </c>
      <c r="E48" s="142" t="s">
        <v>49</v>
      </c>
      <c r="F48" s="142"/>
      <c r="G48" s="142" t="s">
        <v>427</v>
      </c>
      <c r="H48" s="142"/>
      <c r="I48" s="142" t="s">
        <v>51</v>
      </c>
      <c r="J48" s="142" t="s">
        <v>28</v>
      </c>
      <c r="K48" s="142" t="s">
        <v>556</v>
      </c>
      <c r="L48" s="142"/>
      <c r="M48" s="142"/>
      <c r="N48" s="142" t="s">
        <v>557</v>
      </c>
      <c r="O48" s="142"/>
      <c r="P48" s="142"/>
      <c r="Q48" s="142" t="s">
        <v>558</v>
      </c>
      <c r="R48" s="142"/>
      <c r="S48" s="142"/>
      <c r="T48" s="142"/>
      <c r="U48" s="142"/>
      <c r="V48" s="142"/>
      <c r="W48" s="142"/>
      <c r="X48" s="142"/>
      <c r="Y48" s="142"/>
      <c r="Z48" s="142"/>
      <c r="AA48" s="142"/>
      <c r="AB48" s="142"/>
      <c r="AC48" s="142"/>
      <c r="AD48" s="142"/>
      <c r="AE48" s="142"/>
      <c r="AF48" s="142"/>
      <c r="AG48" s="142"/>
      <c r="AH48" s="142"/>
      <c r="AI48" s="142"/>
      <c r="AJ48" s="144"/>
    </row>
    <row r="49" ht="15.75" customHeight="1">
      <c r="A49" s="141" t="s">
        <v>398</v>
      </c>
      <c r="B49" s="142" t="s">
        <v>399</v>
      </c>
      <c r="C49" s="142" t="s">
        <v>564</v>
      </c>
      <c r="D49" s="142" t="s">
        <v>565</v>
      </c>
      <c r="E49" s="142" t="s">
        <v>49</v>
      </c>
      <c r="F49" s="142" t="s">
        <v>566</v>
      </c>
      <c r="G49" s="142" t="s">
        <v>427</v>
      </c>
      <c r="H49" s="142"/>
      <c r="I49" s="142" t="s">
        <v>151</v>
      </c>
      <c r="J49" s="142" t="s">
        <v>567</v>
      </c>
      <c r="K49" s="142" t="s">
        <v>568</v>
      </c>
      <c r="L49" s="142"/>
      <c r="M49" s="142" t="s">
        <v>569</v>
      </c>
      <c r="N49" s="142"/>
      <c r="O49" s="142"/>
      <c r="P49" s="142" t="s">
        <v>323</v>
      </c>
      <c r="Q49" s="142" t="s">
        <v>570</v>
      </c>
      <c r="R49" s="142"/>
      <c r="S49" s="142"/>
      <c r="T49" s="142"/>
      <c r="U49" s="142"/>
      <c r="V49" s="142"/>
      <c r="W49" s="142"/>
      <c r="X49" s="142"/>
      <c r="Y49" s="142"/>
      <c r="Z49" s="142"/>
      <c r="AA49" s="142"/>
      <c r="AB49" s="142"/>
      <c r="AC49" s="142"/>
      <c r="AD49" s="142"/>
      <c r="AE49" s="142"/>
      <c r="AF49" s="142"/>
      <c r="AG49" s="142"/>
      <c r="AH49" s="142"/>
      <c r="AI49" s="142"/>
      <c r="AJ49" s="144"/>
    </row>
    <row r="50" ht="15.75" customHeight="1">
      <c r="A50" s="141" t="s">
        <v>398</v>
      </c>
      <c r="B50" s="142" t="s">
        <v>399</v>
      </c>
      <c r="C50" s="142" t="s">
        <v>571</v>
      </c>
      <c r="D50" s="142" t="s">
        <v>572</v>
      </c>
      <c r="E50" s="142" t="s">
        <v>49</v>
      </c>
      <c r="F50" s="142" t="s">
        <v>566</v>
      </c>
      <c r="G50" s="142" t="s">
        <v>544</v>
      </c>
      <c r="H50" s="142"/>
      <c r="I50" s="142" t="s">
        <v>151</v>
      </c>
      <c r="J50" s="142" t="s">
        <v>567</v>
      </c>
      <c r="K50" s="142"/>
      <c r="L50" s="142"/>
      <c r="M50" s="142" t="s">
        <v>569</v>
      </c>
      <c r="N50" s="142"/>
      <c r="O50" s="142"/>
      <c r="P50" s="142" t="s">
        <v>323</v>
      </c>
      <c r="Q50" s="142" t="s">
        <v>570</v>
      </c>
      <c r="R50" s="142"/>
      <c r="S50" s="142"/>
      <c r="T50" s="142"/>
      <c r="U50" s="142"/>
      <c r="V50" s="142"/>
      <c r="W50" s="142"/>
      <c r="X50" s="142"/>
      <c r="Y50" s="142"/>
      <c r="Z50" s="142"/>
      <c r="AA50" s="142"/>
      <c r="AB50" s="142"/>
      <c r="AC50" s="142"/>
      <c r="AD50" s="142"/>
      <c r="AE50" s="142"/>
      <c r="AF50" s="142"/>
      <c r="AG50" s="142"/>
      <c r="AH50" s="142"/>
      <c r="AI50" s="142"/>
      <c r="AJ50" s="144"/>
    </row>
    <row r="51" ht="15.75" customHeight="1">
      <c r="A51" s="141" t="s">
        <v>398</v>
      </c>
      <c r="B51" s="142" t="s">
        <v>399</v>
      </c>
      <c r="C51" s="142" t="s">
        <v>573</v>
      </c>
      <c r="D51" s="142" t="s">
        <v>574</v>
      </c>
      <c r="E51" s="142" t="s">
        <v>49</v>
      </c>
      <c r="F51" s="142" t="s">
        <v>575</v>
      </c>
      <c r="G51" s="142" t="s">
        <v>544</v>
      </c>
      <c r="H51" s="142"/>
      <c r="I51" s="142" t="s">
        <v>151</v>
      </c>
      <c r="J51" s="142" t="s">
        <v>567</v>
      </c>
      <c r="K51" s="142"/>
      <c r="L51" s="142"/>
      <c r="M51" s="142" t="s">
        <v>569</v>
      </c>
      <c r="N51" s="142"/>
      <c r="O51" s="142"/>
      <c r="P51" s="142" t="s">
        <v>323</v>
      </c>
      <c r="Q51" s="142" t="s">
        <v>576</v>
      </c>
      <c r="R51" s="142"/>
      <c r="S51" s="142"/>
      <c r="T51" s="142"/>
      <c r="U51" s="142"/>
      <c r="V51" s="142"/>
      <c r="W51" s="142"/>
      <c r="X51" s="142"/>
      <c r="Y51" s="142"/>
      <c r="Z51" s="142"/>
      <c r="AA51" s="142"/>
      <c r="AB51" s="142"/>
      <c r="AC51" s="142"/>
      <c r="AD51" s="142"/>
      <c r="AE51" s="142"/>
      <c r="AF51" s="142"/>
      <c r="AG51" s="142"/>
      <c r="AH51" s="142"/>
      <c r="AI51" s="142"/>
      <c r="AJ51" s="144"/>
    </row>
    <row r="52" ht="15.75" customHeight="1">
      <c r="A52" s="141" t="s">
        <v>398</v>
      </c>
      <c r="B52" s="142" t="s">
        <v>399</v>
      </c>
      <c r="C52" s="142" t="s">
        <v>577</v>
      </c>
      <c r="D52" s="142" t="s">
        <v>578</v>
      </c>
      <c r="E52" s="142" t="s">
        <v>49</v>
      </c>
      <c r="F52" s="142" t="s">
        <v>579</v>
      </c>
      <c r="G52" s="142" t="s">
        <v>506</v>
      </c>
      <c r="H52" s="142"/>
      <c r="I52" s="142"/>
      <c r="J52" s="142" t="s">
        <v>416</v>
      </c>
      <c r="K52" s="142" t="s">
        <v>580</v>
      </c>
      <c r="L52" s="142"/>
      <c r="M52" s="142"/>
      <c r="N52" s="142"/>
      <c r="O52" s="142"/>
      <c r="P52" s="142" t="s">
        <v>496</v>
      </c>
      <c r="Q52" s="142"/>
      <c r="R52" s="142"/>
      <c r="S52" s="142"/>
      <c r="T52" s="142"/>
      <c r="U52" s="142"/>
      <c r="V52" s="142"/>
      <c r="W52" s="142"/>
      <c r="X52" s="142"/>
      <c r="Y52" s="142"/>
      <c r="Z52" s="142"/>
      <c r="AA52" s="142"/>
      <c r="AB52" s="142"/>
      <c r="AC52" s="142"/>
      <c r="AD52" s="142"/>
      <c r="AE52" s="142"/>
      <c r="AF52" s="142"/>
      <c r="AG52" s="142"/>
      <c r="AH52" s="142"/>
      <c r="AI52" s="142"/>
      <c r="AJ52" s="144"/>
    </row>
    <row r="53" ht="15.75" customHeight="1">
      <c r="A53" s="141" t="s">
        <v>398</v>
      </c>
      <c r="B53" s="142" t="s">
        <v>399</v>
      </c>
      <c r="C53" s="142" t="s">
        <v>581</v>
      </c>
      <c r="D53" s="142" t="s">
        <v>582</v>
      </c>
      <c r="E53" s="142" t="s">
        <v>49</v>
      </c>
      <c r="F53" s="142" t="s">
        <v>566</v>
      </c>
      <c r="G53" s="142" t="s">
        <v>427</v>
      </c>
      <c r="H53" s="142"/>
      <c r="I53" s="142" t="s">
        <v>151</v>
      </c>
      <c r="J53" s="142" t="s">
        <v>498</v>
      </c>
      <c r="K53" s="142" t="s">
        <v>583</v>
      </c>
      <c r="L53" s="142"/>
      <c r="M53" s="142" t="s">
        <v>569</v>
      </c>
      <c r="N53" s="142"/>
      <c r="O53" s="142"/>
      <c r="P53" s="142" t="s">
        <v>323</v>
      </c>
      <c r="Q53" s="142" t="s">
        <v>570</v>
      </c>
      <c r="R53" s="142"/>
      <c r="S53" s="142"/>
      <c r="T53" s="142"/>
      <c r="U53" s="142"/>
      <c r="V53" s="142"/>
      <c r="W53" s="142"/>
      <c r="X53" s="142"/>
      <c r="Y53" s="142"/>
      <c r="Z53" s="142"/>
      <c r="AA53" s="142"/>
      <c r="AB53" s="142"/>
      <c r="AC53" s="142"/>
      <c r="AD53" s="142"/>
      <c r="AE53" s="142"/>
      <c r="AF53" s="142"/>
      <c r="AG53" s="142"/>
      <c r="AH53" s="142"/>
      <c r="AI53" s="142"/>
      <c r="AJ53" s="144"/>
    </row>
    <row r="54" ht="15.75" customHeight="1">
      <c r="A54" s="141" t="s">
        <v>398</v>
      </c>
      <c r="B54" s="142" t="s">
        <v>399</v>
      </c>
      <c r="C54" s="142" t="s">
        <v>584</v>
      </c>
      <c r="D54" s="142"/>
      <c r="E54" s="142" t="s">
        <v>49</v>
      </c>
      <c r="F54" s="142" t="s">
        <v>579</v>
      </c>
      <c r="G54" s="142" t="s">
        <v>506</v>
      </c>
      <c r="H54" s="142"/>
      <c r="I54" s="142"/>
      <c r="J54" s="142" t="s">
        <v>498</v>
      </c>
      <c r="K54" s="142"/>
      <c r="L54" s="142"/>
      <c r="M54" s="142"/>
      <c r="N54" s="142"/>
      <c r="O54" s="142"/>
      <c r="P54" s="142" t="s">
        <v>496</v>
      </c>
      <c r="Q54" s="142"/>
      <c r="R54" s="142"/>
      <c r="S54" s="142"/>
      <c r="T54" s="142"/>
      <c r="U54" s="142"/>
      <c r="V54" s="142"/>
      <c r="W54" s="142"/>
      <c r="X54" s="142"/>
      <c r="Y54" s="142"/>
      <c r="Z54" s="142"/>
      <c r="AA54" s="142"/>
      <c r="AB54" s="142"/>
      <c r="AC54" s="142"/>
      <c r="AD54" s="142"/>
      <c r="AE54" s="142"/>
      <c r="AF54" s="142"/>
      <c r="AG54" s="142"/>
      <c r="AH54" s="142"/>
      <c r="AI54" s="142"/>
      <c r="AJ54" s="144"/>
    </row>
    <row r="55" ht="15.75" customHeight="1">
      <c r="A55" s="141" t="s">
        <v>398</v>
      </c>
      <c r="B55" s="142" t="s">
        <v>513</v>
      </c>
      <c r="C55" s="142" t="s">
        <v>586</v>
      </c>
      <c r="D55" s="142"/>
      <c r="E55" s="142" t="s">
        <v>49</v>
      </c>
      <c r="F55" s="142" t="s">
        <v>558</v>
      </c>
      <c r="G55" s="142"/>
      <c r="H55" s="142"/>
      <c r="I55" s="142" t="s">
        <v>151</v>
      </c>
      <c r="J55" s="142" t="s">
        <v>513</v>
      </c>
      <c r="K55" s="142"/>
      <c r="L55" s="142"/>
      <c r="M55" s="142"/>
      <c r="N55" s="142"/>
      <c r="O55" s="142"/>
      <c r="P55" s="142"/>
      <c r="Q55" s="142" t="s">
        <v>1609</v>
      </c>
      <c r="R55" s="142"/>
      <c r="S55" s="142"/>
      <c r="T55" s="142"/>
      <c r="U55" s="142"/>
      <c r="V55" s="142"/>
      <c r="W55" s="142"/>
      <c r="X55" s="142"/>
      <c r="Y55" s="142"/>
      <c r="Z55" s="142"/>
      <c r="AA55" s="142"/>
      <c r="AB55" s="142"/>
      <c r="AC55" s="142"/>
      <c r="AD55" s="142"/>
      <c r="AE55" s="142"/>
      <c r="AF55" s="142"/>
      <c r="AG55" s="142"/>
      <c r="AH55" s="142"/>
      <c r="AI55" s="142"/>
      <c r="AJ55" s="144"/>
    </row>
    <row r="56" ht="15.75" customHeight="1">
      <c r="A56" s="141" t="s">
        <v>398</v>
      </c>
      <c r="B56" s="142" t="s">
        <v>513</v>
      </c>
      <c r="C56" s="142" t="s">
        <v>588</v>
      </c>
      <c r="D56" s="142"/>
      <c r="E56" s="142" t="s">
        <v>49</v>
      </c>
      <c r="F56" s="142"/>
      <c r="G56" s="142"/>
      <c r="H56" s="142"/>
      <c r="I56" s="142"/>
      <c r="J56" s="142" t="s">
        <v>513</v>
      </c>
      <c r="K56" s="142" t="s">
        <v>589</v>
      </c>
      <c r="L56" s="142"/>
      <c r="M56" s="142"/>
      <c r="N56" s="142"/>
      <c r="O56" s="142" t="s">
        <v>590</v>
      </c>
      <c r="P56" s="142"/>
      <c r="Q56" s="142"/>
      <c r="R56" s="142"/>
      <c r="S56" s="142"/>
      <c r="T56" s="142"/>
      <c r="U56" s="142"/>
      <c r="V56" s="142"/>
      <c r="W56" s="142"/>
      <c r="X56" s="142"/>
      <c r="Y56" s="142"/>
      <c r="Z56" s="142"/>
      <c r="AA56" s="142"/>
      <c r="AB56" s="142"/>
      <c r="AC56" s="142"/>
      <c r="AD56" s="142"/>
      <c r="AE56" s="142"/>
      <c r="AF56" s="142"/>
      <c r="AG56" s="142"/>
      <c r="AH56" s="142"/>
      <c r="AI56" s="142"/>
      <c r="AJ56" s="144"/>
    </row>
    <row r="57" ht="15.75" customHeight="1">
      <c r="A57" s="141" t="s">
        <v>398</v>
      </c>
      <c r="B57" s="142" t="s">
        <v>399</v>
      </c>
      <c r="C57" s="142" t="s">
        <v>591</v>
      </c>
      <c r="D57" s="142" t="s">
        <v>592</v>
      </c>
      <c r="E57" s="142" t="s">
        <v>49</v>
      </c>
      <c r="F57" s="142"/>
      <c r="G57" s="142" t="s">
        <v>593</v>
      </c>
      <c r="H57" s="142" t="s">
        <v>161</v>
      </c>
      <c r="I57" s="142" t="s">
        <v>151</v>
      </c>
      <c r="J57" s="142" t="s">
        <v>594</v>
      </c>
      <c r="K57" s="142" t="s">
        <v>595</v>
      </c>
      <c r="L57" s="142"/>
      <c r="M57" s="142" t="s">
        <v>569</v>
      </c>
      <c r="N57" s="142"/>
      <c r="O57" s="142" t="s">
        <v>1610</v>
      </c>
      <c r="P57" s="142" t="s">
        <v>323</v>
      </c>
      <c r="Q57" s="142" t="s">
        <v>161</v>
      </c>
      <c r="R57" s="142" t="s">
        <v>167</v>
      </c>
      <c r="S57" s="142"/>
      <c r="T57" s="142"/>
      <c r="U57" s="142"/>
      <c r="V57" s="142"/>
      <c r="W57" s="142"/>
      <c r="X57" s="142"/>
      <c r="Y57" s="142"/>
      <c r="Z57" s="142"/>
      <c r="AA57" s="142"/>
      <c r="AB57" s="142"/>
      <c r="AC57" s="142"/>
      <c r="AD57" s="142"/>
      <c r="AE57" s="142"/>
      <c r="AF57" s="142"/>
      <c r="AG57" s="142"/>
      <c r="AH57" s="142"/>
      <c r="AI57" s="142"/>
      <c r="AJ57" s="144"/>
    </row>
    <row r="58" ht="15.75" customHeight="1">
      <c r="A58" s="141" t="s">
        <v>398</v>
      </c>
      <c r="B58" s="142" t="s">
        <v>399</v>
      </c>
      <c r="C58" s="142" t="s">
        <v>597</v>
      </c>
      <c r="D58" s="142" t="s">
        <v>598</v>
      </c>
      <c r="E58" s="142" t="s">
        <v>49</v>
      </c>
      <c r="F58" s="142" t="s">
        <v>566</v>
      </c>
      <c r="G58" s="142" t="s">
        <v>427</v>
      </c>
      <c r="H58" s="142"/>
      <c r="I58" s="142" t="s">
        <v>151</v>
      </c>
      <c r="J58" s="142" t="s">
        <v>465</v>
      </c>
      <c r="K58" s="142" t="s">
        <v>599</v>
      </c>
      <c r="L58" s="142"/>
      <c r="M58" s="142" t="s">
        <v>569</v>
      </c>
      <c r="N58" s="142"/>
      <c r="O58" s="142"/>
      <c r="P58" s="142" t="s">
        <v>323</v>
      </c>
      <c r="Q58" s="142" t="s">
        <v>161</v>
      </c>
      <c r="R58" s="142"/>
      <c r="S58" s="142"/>
      <c r="T58" s="142"/>
      <c r="U58" s="142"/>
      <c r="V58" s="142"/>
      <c r="W58" s="142"/>
      <c r="X58" s="142"/>
      <c r="Y58" s="142"/>
      <c r="Z58" s="142"/>
      <c r="AA58" s="142"/>
      <c r="AB58" s="142"/>
      <c r="AC58" s="142"/>
      <c r="AD58" s="142"/>
      <c r="AE58" s="142"/>
      <c r="AF58" s="142"/>
      <c r="AG58" s="142"/>
      <c r="AH58" s="142"/>
      <c r="AI58" s="142"/>
      <c r="AJ58" s="144"/>
    </row>
    <row r="59" ht="15.75" customHeight="1">
      <c r="A59" s="141" t="s">
        <v>398</v>
      </c>
      <c r="B59" s="142" t="s">
        <v>399</v>
      </c>
      <c r="C59" s="142" t="s">
        <v>600</v>
      </c>
      <c r="D59" s="142" t="s">
        <v>601</v>
      </c>
      <c r="E59" s="142" t="s">
        <v>49</v>
      </c>
      <c r="F59" s="142" t="s">
        <v>566</v>
      </c>
      <c r="G59" s="142" t="s">
        <v>427</v>
      </c>
      <c r="H59" s="142"/>
      <c r="I59" s="142" t="s">
        <v>151</v>
      </c>
      <c r="J59" s="142" t="s">
        <v>465</v>
      </c>
      <c r="K59" s="142" t="s">
        <v>602</v>
      </c>
      <c r="L59" s="142"/>
      <c r="M59" s="142" t="s">
        <v>569</v>
      </c>
      <c r="N59" s="142"/>
      <c r="O59" s="142"/>
      <c r="P59" s="142" t="s">
        <v>323</v>
      </c>
      <c r="Q59" s="142" t="s">
        <v>161</v>
      </c>
      <c r="R59" s="142"/>
      <c r="S59" s="142"/>
      <c r="T59" s="142"/>
      <c r="U59" s="142"/>
      <c r="V59" s="142"/>
      <c r="W59" s="142"/>
      <c r="X59" s="142"/>
      <c r="Y59" s="142"/>
      <c r="Z59" s="142"/>
      <c r="AA59" s="142"/>
      <c r="AB59" s="142"/>
      <c r="AC59" s="142"/>
      <c r="AD59" s="142"/>
      <c r="AE59" s="142"/>
      <c r="AF59" s="142"/>
      <c r="AG59" s="142"/>
      <c r="AH59" s="142"/>
      <c r="AI59" s="142"/>
      <c r="AJ59" s="144"/>
    </row>
    <row r="60" ht="15.75" customHeight="1">
      <c r="A60" s="141" t="s">
        <v>398</v>
      </c>
      <c r="B60" s="142" t="s">
        <v>399</v>
      </c>
      <c r="C60" s="142" t="s">
        <v>603</v>
      </c>
      <c r="D60" s="142" t="s">
        <v>604</v>
      </c>
      <c r="E60" s="142" t="s">
        <v>49</v>
      </c>
      <c r="F60" s="142" t="s">
        <v>566</v>
      </c>
      <c r="G60" s="142" t="s">
        <v>427</v>
      </c>
      <c r="H60" s="142"/>
      <c r="I60" s="142" t="s">
        <v>151</v>
      </c>
      <c r="J60" s="142" t="s">
        <v>465</v>
      </c>
      <c r="K60" s="142" t="s">
        <v>602</v>
      </c>
      <c r="L60" s="142"/>
      <c r="M60" s="142" t="s">
        <v>569</v>
      </c>
      <c r="N60" s="142"/>
      <c r="O60" s="142"/>
      <c r="P60" s="142" t="s">
        <v>323</v>
      </c>
      <c r="Q60" s="142" t="s">
        <v>161</v>
      </c>
      <c r="R60" s="142"/>
      <c r="S60" s="142"/>
      <c r="T60" s="142"/>
      <c r="U60" s="142"/>
      <c r="V60" s="142"/>
      <c r="W60" s="142"/>
      <c r="X60" s="142"/>
      <c r="Y60" s="142"/>
      <c r="Z60" s="142"/>
      <c r="AA60" s="142"/>
      <c r="AB60" s="142"/>
      <c r="AC60" s="142"/>
      <c r="AD60" s="142"/>
      <c r="AE60" s="142"/>
      <c r="AF60" s="142"/>
      <c r="AG60" s="142"/>
      <c r="AH60" s="142"/>
      <c r="AI60" s="142"/>
      <c r="AJ60" s="144"/>
    </row>
    <row r="61" ht="15.75" customHeight="1">
      <c r="A61" s="141" t="s">
        <v>398</v>
      </c>
      <c r="B61" s="142" t="s">
        <v>399</v>
      </c>
      <c r="C61" s="142" t="s">
        <v>605</v>
      </c>
      <c r="D61" s="142" t="s">
        <v>606</v>
      </c>
      <c r="E61" s="142" t="s">
        <v>49</v>
      </c>
      <c r="F61" s="142" t="s">
        <v>566</v>
      </c>
      <c r="G61" s="142" t="s">
        <v>427</v>
      </c>
      <c r="H61" s="142"/>
      <c r="I61" s="142" t="s">
        <v>151</v>
      </c>
      <c r="J61" s="142" t="s">
        <v>465</v>
      </c>
      <c r="K61" s="142"/>
      <c r="L61" s="142"/>
      <c r="M61" s="142" t="s">
        <v>569</v>
      </c>
      <c r="N61" s="142"/>
      <c r="O61" s="142"/>
      <c r="P61" s="142" t="s">
        <v>323</v>
      </c>
      <c r="Q61" s="142" t="s">
        <v>161</v>
      </c>
      <c r="R61" s="142"/>
      <c r="S61" s="142"/>
      <c r="T61" s="142"/>
      <c r="U61" s="142"/>
      <c r="V61" s="142"/>
      <c r="W61" s="142"/>
      <c r="X61" s="142"/>
      <c r="Y61" s="142"/>
      <c r="Z61" s="142"/>
      <c r="AA61" s="142"/>
      <c r="AB61" s="142"/>
      <c r="AC61" s="142"/>
      <c r="AD61" s="142"/>
      <c r="AE61" s="142"/>
      <c r="AF61" s="142"/>
      <c r="AG61" s="142"/>
      <c r="AH61" s="142"/>
      <c r="AI61" s="142"/>
      <c r="AJ61" s="144"/>
    </row>
    <row r="62" ht="15.75" customHeight="1">
      <c r="A62" s="141" t="s">
        <v>398</v>
      </c>
      <c r="B62" s="142" t="s">
        <v>399</v>
      </c>
      <c r="C62" s="142" t="s">
        <v>607</v>
      </c>
      <c r="D62" s="142" t="s">
        <v>608</v>
      </c>
      <c r="E62" s="142" t="s">
        <v>49</v>
      </c>
      <c r="F62" s="142" t="s">
        <v>579</v>
      </c>
      <c r="G62" s="142" t="s">
        <v>610</v>
      </c>
      <c r="H62" s="142"/>
      <c r="I62" s="142"/>
      <c r="J62" s="142" t="s">
        <v>611</v>
      </c>
      <c r="K62" s="142"/>
      <c r="L62" s="142"/>
      <c r="M62" s="142"/>
      <c r="N62" s="142"/>
      <c r="O62" s="142"/>
      <c r="P62" s="142" t="s">
        <v>496</v>
      </c>
      <c r="Q62" s="142"/>
      <c r="R62" s="142"/>
      <c r="S62" s="142"/>
      <c r="T62" s="142"/>
      <c r="U62" s="142"/>
      <c r="V62" s="142"/>
      <c r="W62" s="142"/>
      <c r="X62" s="142"/>
      <c r="Y62" s="142"/>
      <c r="Z62" s="142"/>
      <c r="AA62" s="142"/>
      <c r="AB62" s="142"/>
      <c r="AC62" s="142"/>
      <c r="AD62" s="142"/>
      <c r="AE62" s="142"/>
      <c r="AF62" s="142"/>
      <c r="AG62" s="142"/>
      <c r="AH62" s="142"/>
      <c r="AI62" s="142"/>
      <c r="AJ62" s="144"/>
    </row>
    <row r="63" ht="15.75" customHeight="1">
      <c r="A63" s="141" t="s">
        <v>398</v>
      </c>
      <c r="B63" s="142" t="s">
        <v>399</v>
      </c>
      <c r="C63" s="142" t="s">
        <v>1611</v>
      </c>
      <c r="D63" s="142" t="s">
        <v>613</v>
      </c>
      <c r="E63" s="142" t="s">
        <v>49</v>
      </c>
      <c r="F63" s="142" t="s">
        <v>614</v>
      </c>
      <c r="G63" s="142" t="s">
        <v>427</v>
      </c>
      <c r="H63" s="142"/>
      <c r="I63" s="142" t="s">
        <v>151</v>
      </c>
      <c r="J63" s="142" t="s">
        <v>615</v>
      </c>
      <c r="K63" s="142" t="s">
        <v>616</v>
      </c>
      <c r="L63" s="142"/>
      <c r="M63" s="142"/>
      <c r="N63" s="142"/>
      <c r="O63" s="142"/>
      <c r="P63" s="142" t="s">
        <v>617</v>
      </c>
      <c r="Q63" s="142" t="s">
        <v>451</v>
      </c>
      <c r="R63" s="142"/>
      <c r="S63" s="142"/>
      <c r="T63" s="142"/>
      <c r="U63" s="142"/>
      <c r="V63" s="142"/>
      <c r="W63" s="142"/>
      <c r="X63" s="142"/>
      <c r="Y63" s="142"/>
      <c r="Z63" s="142"/>
      <c r="AA63" s="142"/>
      <c r="AB63" s="142"/>
      <c r="AC63" s="142"/>
      <c r="AD63" s="142"/>
      <c r="AE63" s="142"/>
      <c r="AF63" s="142"/>
      <c r="AG63" s="142"/>
      <c r="AH63" s="142"/>
      <c r="AI63" s="142"/>
      <c r="AJ63" s="144"/>
    </row>
    <row r="64" ht="15.75" customHeight="1">
      <c r="A64" s="141" t="s">
        <v>618</v>
      </c>
      <c r="B64" s="142"/>
      <c r="C64" s="142" t="s">
        <v>619</v>
      </c>
      <c r="D64" s="142" t="s">
        <v>620</v>
      </c>
      <c r="E64" s="142" t="s">
        <v>49</v>
      </c>
      <c r="F64" s="142" t="s">
        <v>621</v>
      </c>
      <c r="G64" s="142" t="s">
        <v>622</v>
      </c>
      <c r="H64" s="142"/>
      <c r="I64" s="142" t="s">
        <v>151</v>
      </c>
      <c r="J64" s="142" t="s">
        <v>618</v>
      </c>
      <c r="K64" s="142" t="s">
        <v>623</v>
      </c>
      <c r="L64" s="142" t="s">
        <v>1612</v>
      </c>
      <c r="M64" s="142"/>
      <c r="N64" s="142"/>
      <c r="O64" s="142"/>
      <c r="P64" s="142"/>
      <c r="Q64" s="142" t="s">
        <v>323</v>
      </c>
      <c r="R64" s="142"/>
      <c r="S64" s="142"/>
      <c r="T64" s="142"/>
      <c r="U64" s="142"/>
      <c r="V64" s="142"/>
      <c r="W64" s="142"/>
      <c r="X64" s="142"/>
      <c r="Y64" s="142"/>
      <c r="Z64" s="142"/>
      <c r="AA64" s="142"/>
      <c r="AB64" s="142"/>
      <c r="AC64" s="142"/>
      <c r="AD64" s="142"/>
      <c r="AE64" s="142"/>
      <c r="AF64" s="142"/>
      <c r="AG64" s="142"/>
      <c r="AH64" s="142"/>
      <c r="AI64" s="142"/>
      <c r="AJ64" s="144"/>
    </row>
    <row r="65" ht="15.75" customHeight="1">
      <c r="A65" s="141" t="s">
        <v>618</v>
      </c>
      <c r="B65" s="142"/>
      <c r="C65" s="142" t="s">
        <v>646</v>
      </c>
      <c r="D65" s="142" t="s">
        <v>647</v>
      </c>
      <c r="E65" s="142" t="s">
        <v>49</v>
      </c>
      <c r="F65" s="142"/>
      <c r="G65" s="142" t="s">
        <v>648</v>
      </c>
      <c r="H65" s="142"/>
      <c r="I65" s="142" t="s">
        <v>151</v>
      </c>
      <c r="J65" s="142" t="s">
        <v>618</v>
      </c>
      <c r="K65" s="142" t="s">
        <v>623</v>
      </c>
      <c r="L65" s="142"/>
      <c r="M65" s="142"/>
      <c r="N65" s="142"/>
      <c r="O65" s="142" t="s">
        <v>649</v>
      </c>
      <c r="P65" s="142" t="s">
        <v>323</v>
      </c>
      <c r="Q65" s="142" t="s">
        <v>323</v>
      </c>
      <c r="R65" s="142"/>
      <c r="S65" s="142"/>
      <c r="T65" s="142"/>
      <c r="U65" s="142"/>
      <c r="V65" s="142"/>
      <c r="W65" s="142"/>
      <c r="X65" s="142"/>
      <c r="Y65" s="142"/>
      <c r="Z65" s="142"/>
      <c r="AA65" s="142"/>
      <c r="AB65" s="142"/>
      <c r="AC65" s="142"/>
      <c r="AD65" s="142"/>
      <c r="AE65" s="142"/>
      <c r="AF65" s="142"/>
      <c r="AG65" s="142"/>
      <c r="AH65" s="142"/>
      <c r="AI65" s="142"/>
      <c r="AJ65" s="144"/>
    </row>
    <row r="66" ht="15.75" customHeight="1">
      <c r="A66" s="141" t="s">
        <v>618</v>
      </c>
      <c r="B66" s="142"/>
      <c r="C66" s="142" t="s">
        <v>650</v>
      </c>
      <c r="D66" s="142" t="s">
        <v>651</v>
      </c>
      <c r="E66" s="142" t="s">
        <v>49</v>
      </c>
      <c r="F66" s="142"/>
      <c r="G66" s="142" t="s">
        <v>648</v>
      </c>
      <c r="H66" s="142"/>
      <c r="I66" s="142" t="s">
        <v>151</v>
      </c>
      <c r="J66" s="142" t="s">
        <v>618</v>
      </c>
      <c r="K66" s="142" t="s">
        <v>623</v>
      </c>
      <c r="L66" s="142"/>
      <c r="M66" s="142"/>
      <c r="N66" s="142"/>
      <c r="O66" s="142" t="s">
        <v>649</v>
      </c>
      <c r="P66" s="142" t="s">
        <v>323</v>
      </c>
      <c r="Q66" s="142" t="s">
        <v>323</v>
      </c>
      <c r="R66" s="142"/>
      <c r="S66" s="142"/>
      <c r="T66" s="142"/>
      <c r="U66" s="142"/>
      <c r="V66" s="142"/>
      <c r="W66" s="142"/>
      <c r="X66" s="142"/>
      <c r="Y66" s="142"/>
      <c r="Z66" s="142"/>
      <c r="AA66" s="142"/>
      <c r="AB66" s="142"/>
      <c r="AC66" s="142"/>
      <c r="AD66" s="142"/>
      <c r="AE66" s="142"/>
      <c r="AF66" s="142"/>
      <c r="AG66" s="142"/>
      <c r="AH66" s="142"/>
      <c r="AI66" s="142"/>
      <c r="AJ66" s="144"/>
    </row>
    <row r="67" ht="15.75" customHeight="1">
      <c r="A67" s="141" t="s">
        <v>618</v>
      </c>
      <c r="B67" s="142" t="s">
        <v>652</v>
      </c>
      <c r="C67" s="142" t="s">
        <v>653</v>
      </c>
      <c r="D67" s="142" t="s">
        <v>654</v>
      </c>
      <c r="E67" s="142" t="s">
        <v>49</v>
      </c>
      <c r="F67" s="142"/>
      <c r="G67" s="142" t="s">
        <v>655</v>
      </c>
      <c r="H67" s="142"/>
      <c r="I67" s="142" t="s">
        <v>151</v>
      </c>
      <c r="J67" s="142" t="s">
        <v>652</v>
      </c>
      <c r="K67" s="142"/>
      <c r="L67" s="142"/>
      <c r="M67" s="142"/>
      <c r="N67" s="142"/>
      <c r="O67" s="142"/>
      <c r="P67" s="142"/>
      <c r="Q67" s="142" t="s">
        <v>161</v>
      </c>
      <c r="R67" s="142"/>
      <c r="S67" s="142"/>
      <c r="T67" s="142"/>
      <c r="U67" s="142"/>
      <c r="V67" s="142"/>
      <c r="W67" s="142"/>
      <c r="X67" s="142"/>
      <c r="Y67" s="142"/>
      <c r="Z67" s="142"/>
      <c r="AA67" s="142"/>
      <c r="AB67" s="142"/>
      <c r="AC67" s="142"/>
      <c r="AD67" s="142"/>
      <c r="AE67" s="142"/>
      <c r="AF67" s="142"/>
      <c r="AG67" s="142"/>
      <c r="AH67" s="142"/>
      <c r="AI67" s="142"/>
      <c r="AJ67" s="144"/>
    </row>
    <row r="68" ht="15.75" customHeight="1">
      <c r="A68" s="141" t="s">
        <v>618</v>
      </c>
      <c r="B68" s="142"/>
      <c r="C68" s="142" t="s">
        <v>656</v>
      </c>
      <c r="D68" s="142" t="s">
        <v>657</v>
      </c>
      <c r="E68" s="142" t="s">
        <v>49</v>
      </c>
      <c r="F68" s="142" t="s">
        <v>658</v>
      </c>
      <c r="G68" s="142" t="s">
        <v>622</v>
      </c>
      <c r="H68" s="142"/>
      <c r="I68" s="142" t="s">
        <v>151</v>
      </c>
      <c r="J68" s="142" t="s">
        <v>659</v>
      </c>
      <c r="K68" s="142"/>
      <c r="L68" s="142"/>
      <c r="M68" s="142"/>
      <c r="N68" s="142"/>
      <c r="O68" s="142"/>
      <c r="P68" s="142"/>
      <c r="Q68" s="142" t="s">
        <v>161</v>
      </c>
      <c r="R68" s="142"/>
      <c r="S68" s="142"/>
      <c r="T68" s="142"/>
      <c r="U68" s="142"/>
      <c r="V68" s="142"/>
      <c r="W68" s="142"/>
      <c r="X68" s="142"/>
      <c r="Y68" s="142"/>
      <c r="Z68" s="142"/>
      <c r="AA68" s="142"/>
      <c r="AB68" s="142"/>
      <c r="AC68" s="142"/>
      <c r="AD68" s="142"/>
      <c r="AE68" s="142"/>
      <c r="AF68" s="142"/>
      <c r="AG68" s="142"/>
      <c r="AH68" s="142"/>
      <c r="AI68" s="142"/>
      <c r="AJ68" s="144"/>
    </row>
    <row r="69" ht="15.75" customHeight="1">
      <c r="A69" s="141" t="s">
        <v>618</v>
      </c>
      <c r="B69" s="142"/>
      <c r="C69" s="142" t="s">
        <v>660</v>
      </c>
      <c r="D69" s="142" t="s">
        <v>661</v>
      </c>
      <c r="E69" s="142" t="s">
        <v>49</v>
      </c>
      <c r="F69" s="142"/>
      <c r="G69" s="142" t="s">
        <v>648</v>
      </c>
      <c r="H69" s="142"/>
      <c r="I69" s="142"/>
      <c r="J69" s="142" t="s">
        <v>618</v>
      </c>
      <c r="K69" s="142" t="s">
        <v>662</v>
      </c>
      <c r="L69" s="142"/>
      <c r="M69" s="142"/>
      <c r="N69" s="142"/>
      <c r="O69" s="142"/>
      <c r="P69" s="142" t="s">
        <v>323</v>
      </c>
      <c r="Q69" s="142" t="s">
        <v>323</v>
      </c>
      <c r="R69" s="142"/>
      <c r="S69" s="142"/>
      <c r="T69" s="142"/>
      <c r="U69" s="142"/>
      <c r="V69" s="142"/>
      <c r="W69" s="142"/>
      <c r="X69" s="142"/>
      <c r="Y69" s="142"/>
      <c r="Z69" s="142"/>
      <c r="AA69" s="142"/>
      <c r="AB69" s="142"/>
      <c r="AC69" s="142"/>
      <c r="AD69" s="142"/>
      <c r="AE69" s="142"/>
      <c r="AF69" s="142"/>
      <c r="AG69" s="142"/>
      <c r="AH69" s="142"/>
      <c r="AI69" s="142"/>
      <c r="AJ69" s="144"/>
    </row>
    <row r="70" ht="15.75" customHeight="1">
      <c r="A70" s="141" t="s">
        <v>21</v>
      </c>
      <c r="B70" s="142"/>
      <c r="C70" s="142" t="s">
        <v>668</v>
      </c>
      <c r="D70" s="142" t="s">
        <v>669</v>
      </c>
      <c r="E70" s="142" t="s">
        <v>49</v>
      </c>
      <c r="F70" s="142"/>
      <c r="G70" s="142"/>
      <c r="H70" s="142"/>
      <c r="I70" s="142" t="s">
        <v>51</v>
      </c>
      <c r="J70" s="142"/>
      <c r="K70" s="142"/>
      <c r="L70" s="142"/>
      <c r="M70" s="142"/>
      <c r="N70" s="142"/>
      <c r="O70" s="142"/>
      <c r="P70" s="142"/>
      <c r="Q70" s="142" t="s">
        <v>670</v>
      </c>
      <c r="R70" s="142"/>
      <c r="S70" s="142"/>
      <c r="T70" s="142"/>
      <c r="U70" s="142"/>
      <c r="V70" s="142"/>
      <c r="W70" s="142"/>
      <c r="X70" s="142"/>
      <c r="Y70" s="142"/>
      <c r="Z70" s="142"/>
      <c r="AA70" s="142"/>
      <c r="AB70" s="142"/>
      <c r="AC70" s="142"/>
      <c r="AD70" s="142"/>
      <c r="AE70" s="142"/>
      <c r="AF70" s="142"/>
      <c r="AG70" s="142"/>
      <c r="AH70" s="142"/>
      <c r="AI70" s="142"/>
      <c r="AJ70" s="144"/>
    </row>
    <row r="71" ht="15.75" customHeight="1">
      <c r="A71" s="141" t="s">
        <v>21</v>
      </c>
      <c r="B71" s="142"/>
      <c r="C71" s="142" t="s">
        <v>693</v>
      </c>
      <c r="D71" s="142" t="s">
        <v>694</v>
      </c>
      <c r="E71" s="142" t="s">
        <v>49</v>
      </c>
      <c r="F71" s="142"/>
      <c r="G71" s="142" t="s">
        <v>263</v>
      </c>
      <c r="H71" s="142"/>
      <c r="I71" s="142" t="s">
        <v>151</v>
      </c>
      <c r="J71" s="142"/>
      <c r="K71" s="142"/>
      <c r="L71" s="142"/>
      <c r="M71" s="142"/>
      <c r="N71" s="142"/>
      <c r="O71" s="142"/>
      <c r="P71" s="142" t="s">
        <v>323</v>
      </c>
      <c r="Q71" s="142" t="s">
        <v>323</v>
      </c>
      <c r="R71" s="142"/>
      <c r="S71" s="142"/>
      <c r="T71" s="142"/>
      <c r="U71" s="142"/>
      <c r="V71" s="142"/>
      <c r="W71" s="142"/>
      <c r="X71" s="142"/>
      <c r="Y71" s="142"/>
      <c r="Z71" s="142"/>
      <c r="AA71" s="142"/>
      <c r="AB71" s="142"/>
      <c r="AC71" s="142"/>
      <c r="AD71" s="142"/>
      <c r="AE71" s="142"/>
      <c r="AF71" s="142"/>
      <c r="AG71" s="142"/>
      <c r="AH71" s="142"/>
      <c r="AI71" s="142"/>
      <c r="AJ71" s="144"/>
    </row>
    <row r="72" ht="15.75" customHeight="1">
      <c r="A72" s="141" t="s">
        <v>21</v>
      </c>
      <c r="B72" s="142"/>
      <c r="C72" s="142" t="s">
        <v>695</v>
      </c>
      <c r="D72" s="142" t="s">
        <v>696</v>
      </c>
      <c r="E72" s="142" t="s">
        <v>49</v>
      </c>
      <c r="F72" s="142"/>
      <c r="G72" s="142" t="s">
        <v>697</v>
      </c>
      <c r="H72" s="142"/>
      <c r="I72" s="142"/>
      <c r="J72" s="142"/>
      <c r="K72" s="142"/>
      <c r="L72" s="142"/>
      <c r="M72" s="142"/>
      <c r="N72" s="142"/>
      <c r="O72" s="142"/>
      <c r="P72" s="142"/>
      <c r="Q72" s="142"/>
      <c r="R72" s="142"/>
      <c r="S72" s="142"/>
      <c r="T72" s="142"/>
      <c r="U72" s="142"/>
      <c r="V72" s="142"/>
      <c r="W72" s="142"/>
      <c r="X72" s="142"/>
      <c r="Y72" s="142"/>
      <c r="Z72" s="142"/>
      <c r="AA72" s="142"/>
      <c r="AB72" s="142"/>
      <c r="AC72" s="142"/>
      <c r="AD72" s="142"/>
      <c r="AE72" s="142"/>
      <c r="AF72" s="142"/>
      <c r="AG72" s="142"/>
      <c r="AH72" s="142"/>
      <c r="AI72" s="142"/>
      <c r="AJ72" s="144"/>
    </row>
    <row r="73" ht="15.75" customHeight="1">
      <c r="A73" s="141" t="s">
        <v>21</v>
      </c>
      <c r="B73" s="142"/>
      <c r="C73" s="142" t="s">
        <v>698</v>
      </c>
      <c r="D73" s="142" t="s">
        <v>699</v>
      </c>
      <c r="E73" s="142" t="s">
        <v>49</v>
      </c>
      <c r="F73" s="142"/>
      <c r="G73" s="142" t="s">
        <v>263</v>
      </c>
      <c r="H73" s="142"/>
      <c r="I73" s="142" t="s">
        <v>151</v>
      </c>
      <c r="J73" s="142"/>
      <c r="K73" s="142"/>
      <c r="L73" s="142"/>
      <c r="M73" s="142"/>
      <c r="N73" s="142"/>
      <c r="O73" s="142"/>
      <c r="P73" s="142" t="s">
        <v>323</v>
      </c>
      <c r="Q73" s="142" t="s">
        <v>323</v>
      </c>
      <c r="R73" s="142"/>
      <c r="S73" s="142"/>
      <c r="T73" s="142"/>
      <c r="U73" s="142"/>
      <c r="V73" s="142"/>
      <c r="W73" s="142"/>
      <c r="X73" s="142"/>
      <c r="Y73" s="142"/>
      <c r="Z73" s="142"/>
      <c r="AA73" s="142"/>
      <c r="AB73" s="142"/>
      <c r="AC73" s="142"/>
      <c r="AD73" s="142"/>
      <c r="AE73" s="142"/>
      <c r="AF73" s="142"/>
      <c r="AG73" s="142"/>
      <c r="AH73" s="142"/>
      <c r="AI73" s="142"/>
      <c r="AJ73" s="144"/>
    </row>
    <row r="74" ht="15.75" customHeight="1">
      <c r="A74" s="141" t="s">
        <v>700</v>
      </c>
      <c r="B74" s="142" t="s">
        <v>700</v>
      </c>
      <c r="C74" s="142" t="s">
        <v>701</v>
      </c>
      <c r="D74" s="142" t="s">
        <v>702</v>
      </c>
      <c r="E74" s="142" t="s">
        <v>49</v>
      </c>
      <c r="F74" s="142"/>
      <c r="G74" s="142" t="s">
        <v>703</v>
      </c>
      <c r="H74" s="142"/>
      <c r="I74" s="142" t="s">
        <v>151</v>
      </c>
      <c r="J74" s="142"/>
      <c r="K74" s="142"/>
      <c r="L74" s="142"/>
      <c r="M74" s="142"/>
      <c r="N74" s="142"/>
      <c r="O74" s="142"/>
      <c r="P74" s="142"/>
      <c r="Q74" s="142" t="s">
        <v>161</v>
      </c>
      <c r="R74" s="142"/>
      <c r="S74" s="142"/>
      <c r="T74" s="142"/>
      <c r="U74" s="142"/>
      <c r="V74" s="142"/>
      <c r="W74" s="142"/>
      <c r="X74" s="142"/>
      <c r="Y74" s="142"/>
      <c r="Z74" s="142"/>
      <c r="AA74" s="142"/>
      <c r="AB74" s="142"/>
      <c r="AC74" s="142"/>
      <c r="AD74" s="142"/>
      <c r="AE74" s="142"/>
      <c r="AF74" s="142"/>
      <c r="AG74" s="142"/>
      <c r="AH74" s="142"/>
      <c r="AI74" s="142"/>
      <c r="AJ74" s="144"/>
    </row>
    <row r="75" ht="15.75" customHeight="1">
      <c r="A75" s="141" t="s">
        <v>700</v>
      </c>
      <c r="B75" s="142" t="s">
        <v>704</v>
      </c>
      <c r="C75" s="142" t="s">
        <v>705</v>
      </c>
      <c r="D75" s="142" t="s">
        <v>706</v>
      </c>
      <c r="E75" s="142" t="s">
        <v>49</v>
      </c>
      <c r="F75" s="142"/>
      <c r="G75" s="142" t="s">
        <v>707</v>
      </c>
      <c r="H75" s="142"/>
      <c r="I75" s="142" t="s">
        <v>151</v>
      </c>
      <c r="J75" s="142"/>
      <c r="K75" s="142"/>
      <c r="L75" s="142"/>
      <c r="M75" s="142"/>
      <c r="N75" s="142"/>
      <c r="O75" s="142"/>
      <c r="P75" s="142"/>
      <c r="Q75" s="142" t="s">
        <v>323</v>
      </c>
      <c r="R75" s="142"/>
      <c r="S75" s="142"/>
      <c r="T75" s="142"/>
      <c r="U75" s="142"/>
      <c r="V75" s="142"/>
      <c r="W75" s="142"/>
      <c r="X75" s="142"/>
      <c r="Y75" s="142"/>
      <c r="Z75" s="142"/>
      <c r="AA75" s="142"/>
      <c r="AB75" s="142"/>
      <c r="AC75" s="142"/>
      <c r="AD75" s="142"/>
      <c r="AE75" s="142"/>
      <c r="AF75" s="142"/>
      <c r="AG75" s="142"/>
      <c r="AH75" s="142"/>
      <c r="AI75" s="142"/>
      <c r="AJ75" s="144"/>
    </row>
    <row r="76" ht="15.75" customHeight="1">
      <c r="A76" s="141" t="s">
        <v>700</v>
      </c>
      <c r="B76" s="142" t="s">
        <v>713</v>
      </c>
      <c r="C76" s="142" t="s">
        <v>714</v>
      </c>
      <c r="D76" s="142" t="s">
        <v>715</v>
      </c>
      <c r="E76" s="142" t="s">
        <v>49</v>
      </c>
      <c r="F76" s="142"/>
      <c r="G76" s="142" t="s">
        <v>716</v>
      </c>
      <c r="H76" s="142"/>
      <c r="I76" s="142" t="s">
        <v>151</v>
      </c>
      <c r="J76" s="142" t="s">
        <v>717</v>
      </c>
      <c r="K76" s="142"/>
      <c r="L76" s="142"/>
      <c r="M76" s="142" t="s">
        <v>49</v>
      </c>
      <c r="N76" s="142"/>
      <c r="O76" s="145" t="s">
        <v>718</v>
      </c>
      <c r="P76" s="142" t="s">
        <v>161</v>
      </c>
      <c r="Q76" s="142" t="s">
        <v>719</v>
      </c>
      <c r="R76" s="142"/>
      <c r="S76" s="142"/>
      <c r="T76" s="142"/>
      <c r="U76" s="142"/>
      <c r="V76" s="142"/>
      <c r="W76" s="142"/>
      <c r="X76" s="142"/>
      <c r="Y76" s="142"/>
      <c r="Z76" s="142"/>
      <c r="AA76" s="142"/>
      <c r="AB76" s="142"/>
      <c r="AC76" s="142"/>
      <c r="AD76" s="142"/>
      <c r="AE76" s="142"/>
      <c r="AF76" s="142"/>
      <c r="AG76" s="142"/>
      <c r="AH76" s="142"/>
      <c r="AI76" s="142"/>
      <c r="AJ76" s="144"/>
    </row>
    <row r="77" ht="15.75" customHeight="1">
      <c r="A77" s="141" t="s">
        <v>700</v>
      </c>
      <c r="B77" s="142" t="s">
        <v>700</v>
      </c>
      <c r="C77" s="142" t="s">
        <v>720</v>
      </c>
      <c r="D77" s="142" t="s">
        <v>721</v>
      </c>
      <c r="E77" s="142" t="s">
        <v>49</v>
      </c>
      <c r="F77" s="142"/>
      <c r="G77" s="142" t="s">
        <v>722</v>
      </c>
      <c r="H77" s="142"/>
      <c r="I77" s="142" t="s">
        <v>151</v>
      </c>
      <c r="J77" s="142"/>
      <c r="K77" s="142"/>
      <c r="L77" s="142"/>
      <c r="M77" s="142"/>
      <c r="N77" s="142"/>
      <c r="O77" s="142" t="s">
        <v>723</v>
      </c>
      <c r="P77" s="142"/>
      <c r="Q77" s="142" t="s">
        <v>161</v>
      </c>
      <c r="R77" s="142"/>
      <c r="S77" s="142" t="s">
        <v>724</v>
      </c>
      <c r="T77" s="142"/>
      <c r="U77" s="142"/>
      <c r="V77" s="142"/>
      <c r="W77" s="142"/>
      <c r="X77" s="142"/>
      <c r="Y77" s="142"/>
      <c r="Z77" s="142"/>
      <c r="AA77" s="142"/>
      <c r="AB77" s="142"/>
      <c r="AC77" s="142"/>
      <c r="AD77" s="142"/>
      <c r="AE77" s="142"/>
      <c r="AF77" s="142"/>
      <c r="AG77" s="142"/>
      <c r="AH77" s="142"/>
      <c r="AI77" s="142"/>
      <c r="AJ77" s="144"/>
    </row>
    <row r="78" ht="15.75" customHeight="1">
      <c r="A78" s="141" t="s">
        <v>700</v>
      </c>
      <c r="B78" s="142" t="s">
        <v>700</v>
      </c>
      <c r="C78" s="142" t="s">
        <v>770</v>
      </c>
      <c r="D78" s="142" t="s">
        <v>771</v>
      </c>
      <c r="E78" s="142" t="s">
        <v>49</v>
      </c>
      <c r="F78" s="142"/>
      <c r="G78" s="142" t="s">
        <v>772</v>
      </c>
      <c r="H78" s="142"/>
      <c r="I78" s="142" t="s">
        <v>51</v>
      </c>
      <c r="J78" s="142"/>
      <c r="K78" s="142"/>
      <c r="L78" s="142"/>
      <c r="M78" s="142"/>
      <c r="N78" s="142"/>
      <c r="O78" s="142"/>
      <c r="P78" s="142"/>
      <c r="Q78" s="142" t="s">
        <v>323</v>
      </c>
      <c r="R78" s="142"/>
      <c r="S78" s="142"/>
      <c r="T78" s="142"/>
      <c r="U78" s="142"/>
      <c r="V78" s="142"/>
      <c r="W78" s="142"/>
      <c r="X78" s="142"/>
      <c r="Y78" s="142"/>
      <c r="Z78" s="142"/>
      <c r="AA78" s="142"/>
      <c r="AB78" s="142"/>
      <c r="AC78" s="142"/>
      <c r="AD78" s="142"/>
      <c r="AE78" s="142"/>
      <c r="AF78" s="142"/>
      <c r="AG78" s="142"/>
      <c r="AH78" s="142"/>
      <c r="AI78" s="142"/>
      <c r="AJ78" s="144"/>
    </row>
    <row r="79" ht="15.75" customHeight="1">
      <c r="A79" s="141" t="s">
        <v>700</v>
      </c>
      <c r="B79" s="142" t="s">
        <v>700</v>
      </c>
      <c r="C79" s="142" t="s">
        <v>773</v>
      </c>
      <c r="D79" s="142" t="s">
        <v>774</v>
      </c>
      <c r="E79" s="142" t="s">
        <v>49</v>
      </c>
      <c r="F79" s="142"/>
      <c r="G79" s="142" t="s">
        <v>775</v>
      </c>
      <c r="H79" s="142"/>
      <c r="I79" s="142" t="s">
        <v>151</v>
      </c>
      <c r="J79" s="142"/>
      <c r="K79" s="142"/>
      <c r="L79" s="142"/>
      <c r="M79" s="142"/>
      <c r="N79" s="142"/>
      <c r="O79" s="142"/>
      <c r="P79" s="142"/>
      <c r="Q79" s="142" t="s">
        <v>323</v>
      </c>
      <c r="R79" s="142"/>
      <c r="S79" s="142"/>
      <c r="T79" s="142"/>
      <c r="U79" s="142"/>
      <c r="V79" s="142"/>
      <c r="W79" s="142"/>
      <c r="X79" s="142"/>
      <c r="Y79" s="142"/>
      <c r="Z79" s="142"/>
      <c r="AA79" s="142"/>
      <c r="AB79" s="142"/>
      <c r="AC79" s="142"/>
      <c r="AD79" s="142"/>
      <c r="AE79" s="142"/>
      <c r="AF79" s="142"/>
      <c r="AG79" s="142"/>
      <c r="AH79" s="142"/>
      <c r="AI79" s="142"/>
      <c r="AJ79" s="144"/>
    </row>
    <row r="80" ht="15.75" customHeight="1">
      <c r="A80" s="141" t="s">
        <v>700</v>
      </c>
      <c r="B80" s="142" t="s">
        <v>713</v>
      </c>
      <c r="C80" s="142" t="s">
        <v>796</v>
      </c>
      <c r="D80" s="142" t="s">
        <v>797</v>
      </c>
      <c r="E80" s="142" t="s">
        <v>49</v>
      </c>
      <c r="F80" s="142"/>
      <c r="G80" s="142" t="s">
        <v>798</v>
      </c>
      <c r="H80" s="142"/>
      <c r="I80" s="142" t="s">
        <v>51</v>
      </c>
      <c r="J80" s="142"/>
      <c r="K80" s="142"/>
      <c r="L80" s="142"/>
      <c r="M80" s="142"/>
      <c r="N80" s="142"/>
      <c r="O80" s="142" t="s">
        <v>1613</v>
      </c>
      <c r="P80" s="142"/>
      <c r="Q80" s="142" t="s">
        <v>102</v>
      </c>
      <c r="R80" s="142"/>
      <c r="S80" s="142"/>
      <c r="T80" s="142"/>
      <c r="U80" s="142"/>
      <c r="V80" s="142"/>
      <c r="W80" s="142"/>
      <c r="X80" s="142"/>
      <c r="Y80" s="142"/>
      <c r="Z80" s="142"/>
      <c r="AA80" s="142"/>
      <c r="AB80" s="142"/>
      <c r="AC80" s="142"/>
      <c r="AD80" s="142"/>
      <c r="AE80" s="142"/>
      <c r="AF80" s="142"/>
      <c r="AG80" s="142"/>
      <c r="AH80" s="142"/>
      <c r="AI80" s="142"/>
      <c r="AJ80" s="144"/>
    </row>
    <row r="81" ht="15.75" customHeight="1">
      <c r="A81" s="141" t="s">
        <v>700</v>
      </c>
      <c r="B81" s="142" t="s">
        <v>824</v>
      </c>
      <c r="C81" s="142" t="s">
        <v>825</v>
      </c>
      <c r="D81" s="142" t="s">
        <v>826</v>
      </c>
      <c r="E81" s="142" t="s">
        <v>49</v>
      </c>
      <c r="F81" s="142"/>
      <c r="G81" s="142"/>
      <c r="H81" s="142"/>
      <c r="I81" s="142" t="s">
        <v>27</v>
      </c>
      <c r="J81" s="142"/>
      <c r="K81" s="142"/>
      <c r="L81" s="142"/>
      <c r="M81" s="142"/>
      <c r="N81" s="142"/>
      <c r="O81" s="142" t="s">
        <v>1614</v>
      </c>
      <c r="P81" s="142"/>
      <c r="Q81" s="142" t="s">
        <v>828</v>
      </c>
      <c r="R81" s="142"/>
      <c r="S81" s="142"/>
      <c r="T81" s="142"/>
      <c r="U81" s="142"/>
      <c r="V81" s="142"/>
      <c r="W81" s="142"/>
      <c r="X81" s="142"/>
      <c r="Y81" s="142"/>
      <c r="Z81" s="142"/>
      <c r="AA81" s="142"/>
      <c r="AB81" s="142"/>
      <c r="AC81" s="142"/>
      <c r="AD81" s="142"/>
      <c r="AE81" s="142"/>
      <c r="AF81" s="142"/>
      <c r="AG81" s="142"/>
      <c r="AH81" s="142"/>
      <c r="AI81" s="142"/>
      <c r="AJ81" s="144"/>
    </row>
    <row r="82" ht="15.75" customHeight="1">
      <c r="A82" s="141" t="s">
        <v>700</v>
      </c>
      <c r="B82" s="142" t="s">
        <v>741</v>
      </c>
      <c r="C82" s="142" t="s">
        <v>829</v>
      </c>
      <c r="D82" s="142" t="s">
        <v>830</v>
      </c>
      <c r="E82" s="142" t="s">
        <v>49</v>
      </c>
      <c r="F82" s="142" t="s">
        <v>831</v>
      </c>
      <c r="G82" s="142" t="s">
        <v>832</v>
      </c>
      <c r="H82" s="142"/>
      <c r="I82" s="142" t="s">
        <v>151</v>
      </c>
      <c r="J82" s="142" t="s">
        <v>741</v>
      </c>
      <c r="K82" s="142"/>
      <c r="L82" s="142"/>
      <c r="M82" s="142"/>
      <c r="N82" s="142"/>
      <c r="O82" s="142"/>
      <c r="P82" s="142" t="s">
        <v>161</v>
      </c>
      <c r="Q82" s="142" t="s">
        <v>833</v>
      </c>
      <c r="R82" s="142"/>
      <c r="S82" s="142"/>
      <c r="T82" s="142"/>
      <c r="U82" s="142"/>
      <c r="V82" s="142"/>
      <c r="W82" s="142"/>
      <c r="X82" s="142"/>
      <c r="Y82" s="142"/>
      <c r="Z82" s="142"/>
      <c r="AA82" s="142"/>
      <c r="AB82" s="142"/>
      <c r="AC82" s="142"/>
      <c r="AD82" s="142"/>
      <c r="AE82" s="142"/>
      <c r="AF82" s="142"/>
      <c r="AG82" s="142"/>
      <c r="AH82" s="142"/>
      <c r="AI82" s="142"/>
      <c r="AJ82" s="144"/>
    </row>
    <row r="83" ht="15.75" customHeight="1">
      <c r="A83" s="141" t="s">
        <v>700</v>
      </c>
      <c r="B83" s="142" t="s">
        <v>713</v>
      </c>
      <c r="C83" s="142" t="s">
        <v>834</v>
      </c>
      <c r="D83" s="142" t="s">
        <v>835</v>
      </c>
      <c r="E83" s="142" t="s">
        <v>49</v>
      </c>
      <c r="F83" s="142"/>
      <c r="G83" s="142" t="s">
        <v>750</v>
      </c>
      <c r="H83" s="142" t="s">
        <v>39</v>
      </c>
      <c r="I83" s="142" t="s">
        <v>51</v>
      </c>
      <c r="J83" s="142" t="s">
        <v>836</v>
      </c>
      <c r="K83" s="142" t="s">
        <v>837</v>
      </c>
      <c r="L83" s="142"/>
      <c r="M83" s="142" t="s">
        <v>49</v>
      </c>
      <c r="N83" s="142"/>
      <c r="O83" s="142" t="s">
        <v>838</v>
      </c>
      <c r="P83" s="142" t="s">
        <v>839</v>
      </c>
      <c r="Q83" s="142"/>
      <c r="R83" s="142"/>
      <c r="S83" s="142"/>
      <c r="T83" s="142"/>
      <c r="U83" s="142"/>
      <c r="V83" s="142"/>
      <c r="W83" s="142"/>
      <c r="X83" s="142"/>
      <c r="Y83" s="142"/>
      <c r="Z83" s="142"/>
      <c r="AA83" s="142"/>
      <c r="AB83" s="142"/>
      <c r="AC83" s="142"/>
      <c r="AD83" s="142"/>
      <c r="AE83" s="142"/>
      <c r="AF83" s="142"/>
      <c r="AG83" s="142"/>
      <c r="AH83" s="142"/>
      <c r="AI83" s="142"/>
      <c r="AJ83" s="144"/>
    </row>
    <row r="84" ht="15.75" customHeight="1">
      <c r="A84" s="141" t="s">
        <v>700</v>
      </c>
      <c r="B84" s="142" t="s">
        <v>741</v>
      </c>
      <c r="C84" s="142" t="s">
        <v>840</v>
      </c>
      <c r="D84" s="142" t="s">
        <v>841</v>
      </c>
      <c r="E84" s="142" t="s">
        <v>49</v>
      </c>
      <c r="F84" s="142"/>
      <c r="G84" s="142" t="s">
        <v>707</v>
      </c>
      <c r="H84" s="142"/>
      <c r="I84" s="142" t="s">
        <v>151</v>
      </c>
      <c r="J84" s="142" t="s">
        <v>842</v>
      </c>
      <c r="K84" s="142"/>
      <c r="L84" s="142"/>
      <c r="M84" s="142"/>
      <c r="N84" s="142"/>
      <c r="O84" s="142"/>
      <c r="P84" s="142" t="s">
        <v>843</v>
      </c>
      <c r="Q84" s="142" t="s">
        <v>844</v>
      </c>
      <c r="R84" s="142" t="s">
        <v>167</v>
      </c>
      <c r="S84" s="142"/>
      <c r="T84" s="142"/>
      <c r="U84" s="142"/>
      <c r="V84" s="142"/>
      <c r="W84" s="142"/>
      <c r="X84" s="142"/>
      <c r="Y84" s="142"/>
      <c r="Z84" s="142"/>
      <c r="AA84" s="142"/>
      <c r="AB84" s="142"/>
      <c r="AC84" s="142"/>
      <c r="AD84" s="142"/>
      <c r="AE84" s="142"/>
      <c r="AF84" s="142"/>
      <c r="AG84" s="142"/>
      <c r="AH84" s="142"/>
      <c r="AI84" s="142"/>
      <c r="AJ84" s="144"/>
    </row>
    <row r="85" ht="15.75" customHeight="1">
      <c r="A85" s="141" t="s">
        <v>700</v>
      </c>
      <c r="B85" s="142" t="s">
        <v>700</v>
      </c>
      <c r="C85" s="142" t="s">
        <v>845</v>
      </c>
      <c r="D85" s="142" t="s">
        <v>846</v>
      </c>
      <c r="E85" s="142" t="s">
        <v>49</v>
      </c>
      <c r="F85" s="142"/>
      <c r="G85" s="142" t="s">
        <v>847</v>
      </c>
      <c r="H85" s="142"/>
      <c r="I85" s="142" t="s">
        <v>151</v>
      </c>
      <c r="J85" s="142" t="s">
        <v>700</v>
      </c>
      <c r="K85" s="142"/>
      <c r="L85" s="142"/>
      <c r="M85" s="142"/>
      <c r="N85" s="142"/>
      <c r="O85" s="142"/>
      <c r="P85" s="142" t="s">
        <v>161</v>
      </c>
      <c r="Q85" s="142" t="s">
        <v>161</v>
      </c>
      <c r="R85" s="142" t="s">
        <v>167</v>
      </c>
      <c r="S85" s="142" t="s">
        <v>189</v>
      </c>
      <c r="T85" s="142"/>
      <c r="U85" s="142"/>
      <c r="V85" s="142"/>
      <c r="W85" s="142"/>
      <c r="X85" s="142"/>
      <c r="Y85" s="142"/>
      <c r="Z85" s="142"/>
      <c r="AA85" s="142"/>
      <c r="AB85" s="142"/>
      <c r="AC85" s="142"/>
      <c r="AD85" s="142"/>
      <c r="AE85" s="142"/>
      <c r="AF85" s="142"/>
      <c r="AG85" s="142"/>
      <c r="AH85" s="142"/>
      <c r="AI85" s="142"/>
      <c r="AJ85" s="144"/>
    </row>
    <row r="86" ht="15.75" customHeight="1">
      <c r="A86" s="141" t="s">
        <v>700</v>
      </c>
      <c r="B86" s="142" t="s">
        <v>700</v>
      </c>
      <c r="C86" s="142" t="s">
        <v>848</v>
      </c>
      <c r="D86" s="142" t="s">
        <v>849</v>
      </c>
      <c r="E86" s="142" t="s">
        <v>49</v>
      </c>
      <c r="F86" s="142"/>
      <c r="G86" s="142" t="s">
        <v>847</v>
      </c>
      <c r="H86" s="142"/>
      <c r="I86" s="142" t="s">
        <v>151</v>
      </c>
      <c r="J86" s="142" t="s">
        <v>700</v>
      </c>
      <c r="K86" s="142"/>
      <c r="L86" s="142"/>
      <c r="M86" s="142"/>
      <c r="N86" s="142"/>
      <c r="O86" s="142"/>
      <c r="P86" s="142" t="s">
        <v>161</v>
      </c>
      <c r="Q86" s="142" t="s">
        <v>161</v>
      </c>
      <c r="R86" s="142" t="s">
        <v>167</v>
      </c>
      <c r="S86" s="142" t="s">
        <v>189</v>
      </c>
      <c r="T86" s="142"/>
      <c r="U86" s="142"/>
      <c r="V86" s="142"/>
      <c r="W86" s="142"/>
      <c r="X86" s="142"/>
      <c r="Y86" s="142"/>
      <c r="Z86" s="142"/>
      <c r="AA86" s="142"/>
      <c r="AB86" s="142"/>
      <c r="AC86" s="142"/>
      <c r="AD86" s="142"/>
      <c r="AE86" s="142"/>
      <c r="AF86" s="142"/>
      <c r="AG86" s="142"/>
      <c r="AH86" s="142"/>
      <c r="AI86" s="142"/>
      <c r="AJ86" s="144"/>
    </row>
    <row r="87" ht="15.75" customHeight="1">
      <c r="A87" s="141" t="s">
        <v>700</v>
      </c>
      <c r="B87" s="142" t="s">
        <v>700</v>
      </c>
      <c r="C87" s="142" t="s">
        <v>850</v>
      </c>
      <c r="D87" s="142" t="s">
        <v>851</v>
      </c>
      <c r="E87" s="142" t="s">
        <v>49</v>
      </c>
      <c r="F87" s="142"/>
      <c r="G87" s="142" t="s">
        <v>852</v>
      </c>
      <c r="H87" s="142"/>
      <c r="I87" s="142" t="s">
        <v>151</v>
      </c>
      <c r="J87" s="142" t="s">
        <v>700</v>
      </c>
      <c r="K87" s="142"/>
      <c r="L87" s="142"/>
      <c r="M87" s="142"/>
      <c r="N87" s="142"/>
      <c r="O87" s="142"/>
      <c r="P87" s="142" t="s">
        <v>161</v>
      </c>
      <c r="Q87" s="142" t="s">
        <v>161</v>
      </c>
      <c r="R87" s="142"/>
      <c r="S87" s="142"/>
      <c r="T87" s="142"/>
      <c r="U87" s="142"/>
      <c r="V87" s="142"/>
      <c r="W87" s="142"/>
      <c r="X87" s="142"/>
      <c r="Y87" s="142"/>
      <c r="Z87" s="142"/>
      <c r="AA87" s="142"/>
      <c r="AB87" s="142"/>
      <c r="AC87" s="142"/>
      <c r="AD87" s="142"/>
      <c r="AE87" s="142"/>
      <c r="AF87" s="142"/>
      <c r="AG87" s="142"/>
      <c r="AH87" s="142"/>
      <c r="AI87" s="142"/>
      <c r="AJ87" s="144"/>
    </row>
    <row r="88" ht="15.75" customHeight="1">
      <c r="A88" s="141" t="s">
        <v>700</v>
      </c>
      <c r="B88" s="142" t="s">
        <v>700</v>
      </c>
      <c r="C88" s="142" t="s">
        <v>853</v>
      </c>
      <c r="D88" s="142" t="s">
        <v>854</v>
      </c>
      <c r="E88" s="142" t="s">
        <v>49</v>
      </c>
      <c r="F88" s="142"/>
      <c r="G88" s="142" t="s">
        <v>727</v>
      </c>
      <c r="H88" s="142"/>
      <c r="I88" s="142" t="s">
        <v>151</v>
      </c>
      <c r="J88" s="142" t="s">
        <v>700</v>
      </c>
      <c r="K88" s="142"/>
      <c r="L88" s="142"/>
      <c r="M88" s="142"/>
      <c r="N88" s="142"/>
      <c r="O88" s="142"/>
      <c r="P88" s="142" t="s">
        <v>161</v>
      </c>
      <c r="Q88" s="142" t="s">
        <v>161</v>
      </c>
      <c r="R88" s="142"/>
      <c r="S88" s="142"/>
      <c r="T88" s="142"/>
      <c r="U88" s="142"/>
      <c r="V88" s="142"/>
      <c r="W88" s="142"/>
      <c r="X88" s="142"/>
      <c r="Y88" s="142"/>
      <c r="Z88" s="142"/>
      <c r="AA88" s="142"/>
      <c r="AB88" s="142"/>
      <c r="AC88" s="142"/>
      <c r="AD88" s="142"/>
      <c r="AE88" s="142"/>
      <c r="AF88" s="142"/>
      <c r="AG88" s="142"/>
      <c r="AH88" s="142"/>
      <c r="AI88" s="142"/>
      <c r="AJ88" s="144"/>
    </row>
    <row r="89" ht="15.75" customHeight="1">
      <c r="A89" s="141" t="s">
        <v>700</v>
      </c>
      <c r="B89" s="142" t="s">
        <v>741</v>
      </c>
      <c r="C89" s="142" t="s">
        <v>855</v>
      </c>
      <c r="D89" s="142" t="s">
        <v>856</v>
      </c>
      <c r="E89" s="142" t="s">
        <v>49</v>
      </c>
      <c r="F89" s="142" t="s">
        <v>857</v>
      </c>
      <c r="G89" s="142" t="s">
        <v>832</v>
      </c>
      <c r="H89" s="142"/>
      <c r="I89" s="142" t="s">
        <v>151</v>
      </c>
      <c r="J89" s="142"/>
      <c r="K89" s="142"/>
      <c r="L89" s="142"/>
      <c r="M89" s="142"/>
      <c r="N89" s="142"/>
      <c r="O89" s="142"/>
      <c r="P89" s="142" t="s">
        <v>318</v>
      </c>
      <c r="Q89" s="142" t="s">
        <v>858</v>
      </c>
      <c r="R89" s="142" t="s">
        <v>167</v>
      </c>
      <c r="S89" s="142" t="s">
        <v>189</v>
      </c>
      <c r="T89" s="142"/>
      <c r="U89" s="142"/>
      <c r="V89" s="142"/>
      <c r="W89" s="142"/>
      <c r="X89" s="142"/>
      <c r="Y89" s="142"/>
      <c r="Z89" s="142"/>
      <c r="AA89" s="142"/>
      <c r="AB89" s="142"/>
      <c r="AC89" s="142"/>
      <c r="AD89" s="142"/>
      <c r="AE89" s="142"/>
      <c r="AF89" s="142"/>
      <c r="AG89" s="142"/>
      <c r="AH89" s="142"/>
      <c r="AI89" s="142"/>
      <c r="AJ89" s="144"/>
    </row>
    <row r="90" ht="15.75" customHeight="1">
      <c r="A90" s="141" t="s">
        <v>700</v>
      </c>
      <c r="B90" s="142" t="s">
        <v>700</v>
      </c>
      <c r="C90" s="142" t="s">
        <v>859</v>
      </c>
      <c r="D90" s="142" t="s">
        <v>860</v>
      </c>
      <c r="E90" s="142" t="s">
        <v>49</v>
      </c>
      <c r="F90" s="142"/>
      <c r="G90" s="142" t="s">
        <v>861</v>
      </c>
      <c r="H90" s="142"/>
      <c r="I90" s="142" t="s">
        <v>151</v>
      </c>
      <c r="J90" s="142" t="s">
        <v>862</v>
      </c>
      <c r="K90" s="142"/>
      <c r="L90" s="142"/>
      <c r="M90" s="142"/>
      <c r="N90" s="142"/>
      <c r="O90" s="142" t="s">
        <v>863</v>
      </c>
      <c r="P90" s="142" t="s">
        <v>161</v>
      </c>
      <c r="Q90" s="142" t="s">
        <v>864</v>
      </c>
      <c r="R90" s="142" t="s">
        <v>167</v>
      </c>
      <c r="S90" s="142"/>
      <c r="T90" s="142"/>
      <c r="U90" s="142"/>
      <c r="V90" s="142"/>
      <c r="W90" s="142"/>
      <c r="X90" s="142"/>
      <c r="Y90" s="142"/>
      <c r="Z90" s="142"/>
      <c r="AA90" s="142"/>
      <c r="AB90" s="142"/>
      <c r="AC90" s="142"/>
      <c r="AD90" s="142"/>
      <c r="AE90" s="142"/>
      <c r="AF90" s="142"/>
      <c r="AG90" s="142"/>
      <c r="AH90" s="142"/>
      <c r="AI90" s="142"/>
      <c r="AJ90" s="144"/>
    </row>
    <row r="91" ht="15.75" customHeight="1">
      <c r="A91" s="141" t="s">
        <v>868</v>
      </c>
      <c r="B91" s="142" t="s">
        <v>28</v>
      </c>
      <c r="C91" s="142" t="s">
        <v>932</v>
      </c>
      <c r="D91" s="142" t="s">
        <v>1615</v>
      </c>
      <c r="E91" s="142" t="s">
        <v>49</v>
      </c>
      <c r="F91" s="142"/>
      <c r="G91" s="142" t="s">
        <v>934</v>
      </c>
      <c r="H91" s="142"/>
      <c r="I91" s="142"/>
      <c r="J91" s="142" t="s">
        <v>28</v>
      </c>
      <c r="K91" s="142" t="s">
        <v>935</v>
      </c>
      <c r="L91" s="142"/>
      <c r="M91" s="142"/>
      <c r="N91" s="142"/>
      <c r="O91" s="142"/>
      <c r="P91" s="142"/>
      <c r="Q91" s="142"/>
      <c r="R91" s="142"/>
      <c r="S91" s="142"/>
      <c r="T91" s="142"/>
      <c r="U91" s="142"/>
      <c r="V91" s="142"/>
      <c r="W91" s="142"/>
      <c r="X91" s="142"/>
      <c r="Y91" s="142"/>
      <c r="Z91" s="142"/>
      <c r="AA91" s="142"/>
      <c r="AB91" s="142"/>
      <c r="AC91" s="142"/>
      <c r="AD91" s="142"/>
      <c r="AE91" s="142"/>
      <c r="AF91" s="142"/>
      <c r="AG91" s="142"/>
      <c r="AH91" s="142"/>
      <c r="AI91" s="142"/>
      <c r="AJ91" s="144"/>
    </row>
    <row r="92" ht="15.75" customHeight="1">
      <c r="A92" s="141" t="s">
        <v>868</v>
      </c>
      <c r="B92" s="142" t="s">
        <v>873</v>
      </c>
      <c r="C92" s="142" t="s">
        <v>936</v>
      </c>
      <c r="D92" s="142" t="s">
        <v>937</v>
      </c>
      <c r="E92" s="142" t="s">
        <v>49</v>
      </c>
      <c r="F92" s="145" t="s">
        <v>938</v>
      </c>
      <c r="G92" s="142" t="s">
        <v>939</v>
      </c>
      <c r="H92" s="142" t="s">
        <v>39</v>
      </c>
      <c r="I92" s="142" t="s">
        <v>51</v>
      </c>
      <c r="J92" s="142"/>
      <c r="K92" s="142" t="s">
        <v>940</v>
      </c>
      <c r="L92" s="142" t="s">
        <v>941</v>
      </c>
      <c r="M92" s="142" t="s">
        <v>941</v>
      </c>
      <c r="N92" s="142" t="s">
        <v>941</v>
      </c>
      <c r="O92" s="142" t="s">
        <v>1616</v>
      </c>
      <c r="P92" s="142" t="s">
        <v>323</v>
      </c>
      <c r="Q92" s="142"/>
      <c r="R92" s="142"/>
      <c r="S92" s="142"/>
      <c r="T92" s="142"/>
      <c r="U92" s="142"/>
      <c r="V92" s="142"/>
      <c r="W92" s="142"/>
      <c r="X92" s="142"/>
      <c r="Y92" s="142"/>
      <c r="Z92" s="142"/>
      <c r="AA92" s="142"/>
      <c r="AB92" s="142"/>
      <c r="AC92" s="142"/>
      <c r="AD92" s="142"/>
      <c r="AE92" s="142"/>
      <c r="AF92" s="142"/>
      <c r="AG92" s="142"/>
      <c r="AH92" s="142"/>
      <c r="AI92" s="142"/>
      <c r="AJ92" s="144"/>
    </row>
    <row r="93" ht="15.75" customHeight="1">
      <c r="A93" s="141" t="s">
        <v>868</v>
      </c>
      <c r="B93" s="142" t="s">
        <v>873</v>
      </c>
      <c r="C93" s="142" t="s">
        <v>953</v>
      </c>
      <c r="D93" s="142" t="s">
        <v>954</v>
      </c>
      <c r="E93" s="142" t="s">
        <v>49</v>
      </c>
      <c r="F93" s="145" t="s">
        <v>955</v>
      </c>
      <c r="G93" s="142" t="s">
        <v>929</v>
      </c>
      <c r="H93" s="142"/>
      <c r="I93" s="142" t="s">
        <v>151</v>
      </c>
      <c r="J93" s="142" t="s">
        <v>873</v>
      </c>
      <c r="K93" s="142" t="s">
        <v>956</v>
      </c>
      <c r="L93" s="142" t="s">
        <v>941</v>
      </c>
      <c r="M93" s="142" t="s">
        <v>941</v>
      </c>
      <c r="N93" s="142" t="s">
        <v>941</v>
      </c>
      <c r="O93" s="142" t="s">
        <v>941</v>
      </c>
      <c r="P93" s="142" t="s">
        <v>323</v>
      </c>
      <c r="Q93" s="142" t="s">
        <v>161</v>
      </c>
      <c r="R93" s="142"/>
      <c r="S93" s="142"/>
      <c r="T93" s="142"/>
      <c r="U93" s="142"/>
      <c r="V93" s="142"/>
      <c r="W93" s="142"/>
      <c r="X93" s="142"/>
      <c r="Y93" s="142"/>
      <c r="Z93" s="142"/>
      <c r="AA93" s="142"/>
      <c r="AB93" s="142"/>
      <c r="AC93" s="142"/>
      <c r="AD93" s="142"/>
      <c r="AE93" s="142"/>
      <c r="AF93" s="142"/>
      <c r="AG93" s="142"/>
      <c r="AH93" s="142"/>
      <c r="AI93" s="142"/>
      <c r="AJ93" s="144"/>
    </row>
    <row r="94" ht="15.75" customHeight="1">
      <c r="A94" s="141" t="s">
        <v>868</v>
      </c>
      <c r="B94" s="142" t="s">
        <v>873</v>
      </c>
      <c r="C94" s="142" t="s">
        <v>957</v>
      </c>
      <c r="D94" s="142" t="s">
        <v>958</v>
      </c>
      <c r="E94" s="142" t="s">
        <v>49</v>
      </c>
      <c r="F94" s="145" t="s">
        <v>959</v>
      </c>
      <c r="G94" s="142" t="s">
        <v>929</v>
      </c>
      <c r="H94" s="142"/>
      <c r="I94" s="142" t="s">
        <v>151</v>
      </c>
      <c r="J94" s="142" t="s">
        <v>873</v>
      </c>
      <c r="K94" s="142" t="s">
        <v>956</v>
      </c>
      <c r="L94" s="142" t="s">
        <v>941</v>
      </c>
      <c r="M94" s="142" t="s">
        <v>941</v>
      </c>
      <c r="N94" s="142" t="s">
        <v>941</v>
      </c>
      <c r="O94" s="142" t="s">
        <v>941</v>
      </c>
      <c r="P94" s="142" t="s">
        <v>960</v>
      </c>
      <c r="Q94" s="142" t="s">
        <v>161</v>
      </c>
      <c r="R94" s="142" t="s">
        <v>167</v>
      </c>
      <c r="S94" s="142"/>
      <c r="T94" s="142"/>
      <c r="U94" s="142"/>
      <c r="V94" s="142"/>
      <c r="W94" s="142"/>
      <c r="X94" s="142"/>
      <c r="Y94" s="142"/>
      <c r="Z94" s="142"/>
      <c r="AA94" s="142"/>
      <c r="AB94" s="142"/>
      <c r="AC94" s="142"/>
      <c r="AD94" s="142"/>
      <c r="AE94" s="142"/>
      <c r="AF94" s="142"/>
      <c r="AG94" s="142"/>
      <c r="AH94" s="142"/>
      <c r="AI94" s="142"/>
      <c r="AJ94" s="144"/>
    </row>
    <row r="95" ht="15.75" customHeight="1">
      <c r="A95" s="141" t="s">
        <v>868</v>
      </c>
      <c r="B95" s="142" t="s">
        <v>873</v>
      </c>
      <c r="C95" s="142" t="s">
        <v>961</v>
      </c>
      <c r="D95" s="142" t="s">
        <v>962</v>
      </c>
      <c r="E95" s="142" t="s">
        <v>49</v>
      </c>
      <c r="F95" s="145" t="s">
        <v>963</v>
      </c>
      <c r="G95" s="142" t="s">
        <v>929</v>
      </c>
      <c r="H95" s="142"/>
      <c r="I95" s="142" t="s">
        <v>151</v>
      </c>
      <c r="J95" s="142" t="s">
        <v>873</v>
      </c>
      <c r="K95" s="142" t="s">
        <v>964</v>
      </c>
      <c r="L95" s="142" t="s">
        <v>941</v>
      </c>
      <c r="M95" s="142" t="s">
        <v>941</v>
      </c>
      <c r="N95" s="142" t="s">
        <v>941</v>
      </c>
      <c r="O95" s="142" t="s">
        <v>941</v>
      </c>
      <c r="P95" s="142" t="s">
        <v>960</v>
      </c>
      <c r="Q95" s="142" t="s">
        <v>161</v>
      </c>
      <c r="R95" s="142"/>
      <c r="S95" s="142"/>
      <c r="T95" s="142"/>
      <c r="U95" s="142"/>
      <c r="V95" s="142"/>
      <c r="W95" s="142"/>
      <c r="X95" s="142"/>
      <c r="Y95" s="142"/>
      <c r="Z95" s="142"/>
      <c r="AA95" s="142"/>
      <c r="AB95" s="142"/>
      <c r="AC95" s="142"/>
      <c r="AD95" s="142"/>
      <c r="AE95" s="142"/>
      <c r="AF95" s="142"/>
      <c r="AG95" s="142"/>
      <c r="AH95" s="142"/>
      <c r="AI95" s="142"/>
      <c r="AJ95" s="144"/>
    </row>
    <row r="96" ht="15.75" customHeight="1">
      <c r="A96" s="141" t="s">
        <v>965</v>
      </c>
      <c r="B96" s="142" t="s">
        <v>966</v>
      </c>
      <c r="C96" s="142" t="s">
        <v>967</v>
      </c>
      <c r="D96" s="142" t="s">
        <v>968</v>
      </c>
      <c r="E96" s="142" t="s">
        <v>49</v>
      </c>
      <c r="F96" s="142"/>
      <c r="G96" s="142" t="s">
        <v>969</v>
      </c>
      <c r="H96" s="142"/>
      <c r="I96" s="142" t="s">
        <v>51</v>
      </c>
      <c r="J96" s="142" t="s">
        <v>970</v>
      </c>
      <c r="K96" s="142" t="s">
        <v>971</v>
      </c>
      <c r="L96" s="142"/>
      <c r="M96" s="142"/>
      <c r="N96" s="142"/>
      <c r="O96" s="142" t="s">
        <v>972</v>
      </c>
      <c r="P96" s="142"/>
      <c r="Q96" s="142" t="s">
        <v>973</v>
      </c>
      <c r="R96" s="142"/>
      <c r="S96" s="142"/>
      <c r="T96" s="142"/>
      <c r="U96" s="142"/>
      <c r="V96" s="142"/>
      <c r="W96" s="142"/>
      <c r="X96" s="142"/>
      <c r="Y96" s="142"/>
      <c r="Z96" s="142"/>
      <c r="AA96" s="142"/>
      <c r="AB96" s="142"/>
      <c r="AC96" s="142"/>
      <c r="AD96" s="142"/>
      <c r="AE96" s="142"/>
      <c r="AF96" s="142"/>
      <c r="AG96" s="142"/>
      <c r="AH96" s="142"/>
      <c r="AI96" s="142"/>
      <c r="AJ96" s="144"/>
    </row>
    <row r="97" ht="15.75" customHeight="1">
      <c r="A97" s="141" t="s">
        <v>965</v>
      </c>
      <c r="B97" s="142" t="s">
        <v>981</v>
      </c>
      <c r="C97" s="142" t="s">
        <v>982</v>
      </c>
      <c r="D97" s="142" t="s">
        <v>983</v>
      </c>
      <c r="E97" s="142" t="s">
        <v>49</v>
      </c>
      <c r="F97" s="142"/>
      <c r="G97" s="142" t="s">
        <v>984</v>
      </c>
      <c r="H97" s="142" t="s">
        <v>39</v>
      </c>
      <c r="I97" s="142" t="s">
        <v>27</v>
      </c>
      <c r="J97" s="142" t="s">
        <v>985</v>
      </c>
      <c r="K97" s="142" t="s">
        <v>986</v>
      </c>
      <c r="L97" s="142"/>
      <c r="M97" s="142"/>
      <c r="N97" s="142"/>
      <c r="O97" s="142" t="s">
        <v>987</v>
      </c>
      <c r="P97" s="142" t="s">
        <v>988</v>
      </c>
      <c r="Q97" s="142" t="s">
        <v>989</v>
      </c>
      <c r="R97" s="142"/>
      <c r="S97" s="142"/>
      <c r="T97" s="142"/>
      <c r="U97" s="142"/>
      <c r="V97" s="142"/>
      <c r="W97" s="142"/>
      <c r="X97" s="142"/>
      <c r="Y97" s="142"/>
      <c r="Z97" s="142"/>
      <c r="AA97" s="142"/>
      <c r="AB97" s="142"/>
      <c r="AC97" s="142"/>
      <c r="AD97" s="142"/>
      <c r="AE97" s="142"/>
      <c r="AF97" s="142"/>
      <c r="AG97" s="142"/>
      <c r="AH97" s="142"/>
      <c r="AI97" s="142"/>
      <c r="AJ97" s="144"/>
    </row>
    <row r="98" ht="15.75" customHeight="1">
      <c r="A98" s="141" t="s">
        <v>965</v>
      </c>
      <c r="B98" s="142" t="s">
        <v>997</v>
      </c>
      <c r="C98" s="142" t="s">
        <v>1006</v>
      </c>
      <c r="D98" s="142" t="s">
        <v>1007</v>
      </c>
      <c r="E98" s="142" t="s">
        <v>49</v>
      </c>
      <c r="F98" s="142"/>
      <c r="G98" s="142" t="s">
        <v>1008</v>
      </c>
      <c r="H98" s="142"/>
      <c r="I98" s="142" t="s">
        <v>151</v>
      </c>
      <c r="J98" s="142" t="s">
        <v>1009</v>
      </c>
      <c r="K98" s="142" t="s">
        <v>1010</v>
      </c>
      <c r="L98" s="142"/>
      <c r="M98" s="142"/>
      <c r="N98" s="142"/>
      <c r="O98" s="142"/>
      <c r="P98" s="142"/>
      <c r="Q98" s="142" t="s">
        <v>310</v>
      </c>
      <c r="R98" s="142"/>
      <c r="S98" s="142"/>
      <c r="T98" s="142"/>
      <c r="U98" s="142"/>
      <c r="V98" s="142"/>
      <c r="W98" s="142"/>
      <c r="X98" s="142"/>
      <c r="Y98" s="142"/>
      <c r="Z98" s="142"/>
      <c r="AA98" s="142"/>
      <c r="AB98" s="142"/>
      <c r="AC98" s="142"/>
      <c r="AD98" s="142"/>
      <c r="AE98" s="142"/>
      <c r="AF98" s="142"/>
      <c r="AG98" s="142"/>
      <c r="AH98" s="142"/>
      <c r="AI98" s="142"/>
      <c r="AJ98" s="144"/>
    </row>
    <row r="99" ht="15.75" customHeight="1">
      <c r="A99" s="141" t="s">
        <v>965</v>
      </c>
      <c r="B99" s="142" t="s">
        <v>981</v>
      </c>
      <c r="C99" s="142" t="s">
        <v>1011</v>
      </c>
      <c r="D99" s="142" t="s">
        <v>1012</v>
      </c>
      <c r="E99" s="142" t="s">
        <v>49</v>
      </c>
      <c r="F99" s="142"/>
      <c r="G99" s="142" t="s">
        <v>984</v>
      </c>
      <c r="H99" s="142" t="s">
        <v>39</v>
      </c>
      <c r="I99" s="142" t="s">
        <v>51</v>
      </c>
      <c r="J99" s="142" t="s">
        <v>1013</v>
      </c>
      <c r="K99" s="142"/>
      <c r="L99" s="142" t="s">
        <v>1617</v>
      </c>
      <c r="M99" s="142"/>
      <c r="N99" s="142"/>
      <c r="O99" s="142"/>
      <c r="P99" s="142" t="s">
        <v>1015</v>
      </c>
      <c r="Q99" s="142"/>
      <c r="R99" s="142" t="s">
        <v>1016</v>
      </c>
      <c r="S99" s="142" t="s">
        <v>189</v>
      </c>
      <c r="T99" s="142"/>
      <c r="U99" s="142"/>
      <c r="V99" s="142"/>
      <c r="W99" s="142"/>
      <c r="X99" s="142"/>
      <c r="Y99" s="142"/>
      <c r="Z99" s="142"/>
      <c r="AA99" s="142"/>
      <c r="AB99" s="142"/>
      <c r="AC99" s="142"/>
      <c r="AD99" s="142"/>
      <c r="AE99" s="142"/>
      <c r="AF99" s="142"/>
      <c r="AG99" s="142"/>
      <c r="AH99" s="142"/>
      <c r="AI99" s="142"/>
      <c r="AJ99" s="144"/>
    </row>
    <row r="100" ht="15.75" customHeight="1">
      <c r="A100" s="141" t="s">
        <v>965</v>
      </c>
      <c r="B100" s="142" t="s">
        <v>974</v>
      </c>
      <c r="C100" s="142" t="s">
        <v>1024</v>
      </c>
      <c r="D100" s="142" t="s">
        <v>1025</v>
      </c>
      <c r="E100" s="142" t="s">
        <v>49</v>
      </c>
      <c r="F100" s="142" t="s">
        <v>960</v>
      </c>
      <c r="G100" s="142" t="s">
        <v>1019</v>
      </c>
      <c r="H100" s="142"/>
      <c r="I100" s="142" t="s">
        <v>151</v>
      </c>
      <c r="J100" s="142" t="s">
        <v>1026</v>
      </c>
      <c r="K100" s="142" t="s">
        <v>1027</v>
      </c>
      <c r="L100" s="142" t="s">
        <v>1618</v>
      </c>
      <c r="M100" s="142"/>
      <c r="N100" s="142"/>
      <c r="O100" s="142"/>
      <c r="P100" s="142" t="s">
        <v>323</v>
      </c>
      <c r="Q100" s="142"/>
      <c r="R100" s="142"/>
      <c r="S100" s="142"/>
      <c r="T100" s="142"/>
      <c r="U100" s="142"/>
      <c r="V100" s="142"/>
      <c r="W100" s="142"/>
      <c r="X100" s="142"/>
      <c r="Y100" s="142"/>
      <c r="Z100" s="142"/>
      <c r="AA100" s="142"/>
      <c r="AB100" s="142"/>
      <c r="AC100" s="142"/>
      <c r="AD100" s="142"/>
      <c r="AE100" s="142"/>
      <c r="AF100" s="142"/>
      <c r="AG100" s="142"/>
      <c r="AH100" s="142"/>
      <c r="AI100" s="142"/>
      <c r="AJ100" s="144"/>
    </row>
    <row r="101" ht="15.75" customHeight="1">
      <c r="A101" s="141" t="s">
        <v>965</v>
      </c>
      <c r="B101" s="142" t="s">
        <v>1029</v>
      </c>
      <c r="C101" s="142" t="s">
        <v>1030</v>
      </c>
      <c r="D101" s="142" t="s">
        <v>1031</v>
      </c>
      <c r="E101" s="142" t="s">
        <v>49</v>
      </c>
      <c r="F101" s="142" t="s">
        <v>1032</v>
      </c>
      <c r="G101" s="142" t="s">
        <v>1033</v>
      </c>
      <c r="H101" s="142"/>
      <c r="I101" s="142" t="s">
        <v>51</v>
      </c>
      <c r="J101" s="142" t="s">
        <v>1034</v>
      </c>
      <c r="K101" s="142" t="s">
        <v>1035</v>
      </c>
      <c r="L101" s="142" t="s">
        <v>1619</v>
      </c>
      <c r="M101" s="142"/>
      <c r="N101" s="142"/>
      <c r="O101" s="142"/>
      <c r="P101" s="142"/>
      <c r="Q101" s="142"/>
      <c r="R101" s="142"/>
      <c r="S101" s="142"/>
      <c r="T101" s="142"/>
      <c r="U101" s="142"/>
      <c r="V101" s="142"/>
      <c r="W101" s="142"/>
      <c r="X101" s="142"/>
      <c r="Y101" s="142"/>
      <c r="Z101" s="142"/>
      <c r="AA101" s="142"/>
      <c r="AB101" s="142"/>
      <c r="AC101" s="142"/>
      <c r="AD101" s="142"/>
      <c r="AE101" s="142"/>
      <c r="AF101" s="142"/>
      <c r="AG101" s="142"/>
      <c r="AH101" s="142"/>
      <c r="AI101" s="142"/>
      <c r="AJ101" s="144"/>
    </row>
    <row r="102" ht="15.75" customHeight="1">
      <c r="A102" s="141" t="s">
        <v>965</v>
      </c>
      <c r="B102" s="142" t="s">
        <v>966</v>
      </c>
      <c r="C102" s="142" t="s">
        <v>1042</v>
      </c>
      <c r="D102" s="142" t="s">
        <v>1043</v>
      </c>
      <c r="E102" s="142" t="s">
        <v>49</v>
      </c>
      <c r="F102" s="142"/>
      <c r="G102" s="142" t="s">
        <v>1044</v>
      </c>
      <c r="H102" s="142"/>
      <c r="I102" s="142" t="s">
        <v>151</v>
      </c>
      <c r="J102" s="142" t="s">
        <v>1045</v>
      </c>
      <c r="K102" s="142" t="s">
        <v>1046</v>
      </c>
      <c r="L102" s="142"/>
      <c r="M102" s="142"/>
      <c r="N102" s="142"/>
      <c r="O102" s="142"/>
      <c r="P102" s="142" t="s">
        <v>1047</v>
      </c>
      <c r="Q102" s="142" t="s">
        <v>310</v>
      </c>
      <c r="R102" s="142"/>
      <c r="S102" s="142" t="s">
        <v>1048</v>
      </c>
      <c r="T102" s="142"/>
      <c r="U102" s="142"/>
      <c r="V102" s="142"/>
      <c r="W102" s="142"/>
      <c r="X102" s="142"/>
      <c r="Y102" s="142"/>
      <c r="Z102" s="142"/>
      <c r="AA102" s="142"/>
      <c r="AB102" s="142"/>
      <c r="AC102" s="142"/>
      <c r="AD102" s="142"/>
      <c r="AE102" s="142"/>
      <c r="AF102" s="142"/>
      <c r="AG102" s="142"/>
      <c r="AH102" s="142"/>
      <c r="AI102" s="142"/>
      <c r="AJ102" s="144"/>
    </row>
    <row r="103" ht="15.75" customHeight="1">
      <c r="A103" s="141" t="s">
        <v>965</v>
      </c>
      <c r="B103" s="142" t="s">
        <v>997</v>
      </c>
      <c r="C103" s="142" t="s">
        <v>1006</v>
      </c>
      <c r="D103" s="142" t="s">
        <v>1007</v>
      </c>
      <c r="E103" s="142" t="s">
        <v>49</v>
      </c>
      <c r="F103" s="142"/>
      <c r="G103" s="142" t="s">
        <v>1008</v>
      </c>
      <c r="H103" s="142" t="s">
        <v>39</v>
      </c>
      <c r="I103" s="142"/>
      <c r="J103" s="142" t="s">
        <v>1009</v>
      </c>
      <c r="K103" s="142" t="s">
        <v>1010</v>
      </c>
      <c r="L103" s="142"/>
      <c r="M103" s="142"/>
      <c r="N103" s="142"/>
      <c r="O103" s="142"/>
      <c r="P103" s="142"/>
      <c r="Q103" s="142" t="s">
        <v>323</v>
      </c>
      <c r="R103" s="142"/>
      <c r="S103" s="142"/>
      <c r="T103" s="142"/>
      <c r="U103" s="142"/>
      <c r="V103" s="142"/>
      <c r="W103" s="142"/>
      <c r="X103" s="142"/>
      <c r="Y103" s="142"/>
      <c r="Z103" s="142"/>
      <c r="AA103" s="142"/>
      <c r="AB103" s="142"/>
      <c r="AC103" s="142"/>
      <c r="AD103" s="142"/>
      <c r="AE103" s="142"/>
      <c r="AF103" s="142"/>
      <c r="AG103" s="142"/>
      <c r="AH103" s="142"/>
      <c r="AI103" s="142"/>
      <c r="AJ103" s="144"/>
    </row>
    <row r="104" ht="15.75" customHeight="1">
      <c r="A104" s="141" t="s">
        <v>965</v>
      </c>
      <c r="B104" s="142" t="s">
        <v>1049</v>
      </c>
      <c r="C104" s="142" t="s">
        <v>1050</v>
      </c>
      <c r="D104" s="142" t="s">
        <v>1051</v>
      </c>
      <c r="E104" s="142" t="s">
        <v>49</v>
      </c>
      <c r="F104" s="142"/>
      <c r="G104" s="142" t="s">
        <v>969</v>
      </c>
      <c r="H104" s="142" t="s">
        <v>39</v>
      </c>
      <c r="I104" s="142" t="s">
        <v>51</v>
      </c>
      <c r="J104" s="142">
        <v>2.0</v>
      </c>
      <c r="K104" s="142" t="s">
        <v>1052</v>
      </c>
      <c r="L104" s="142"/>
      <c r="M104" s="142"/>
      <c r="N104" s="142"/>
      <c r="O104" s="142"/>
      <c r="P104" s="142"/>
      <c r="Q104" s="142" t="s">
        <v>1053</v>
      </c>
      <c r="R104" s="142"/>
      <c r="S104" s="142"/>
      <c r="T104" s="142"/>
      <c r="U104" s="142"/>
      <c r="V104" s="142"/>
      <c r="W104" s="142"/>
      <c r="X104" s="142"/>
      <c r="Y104" s="142"/>
      <c r="Z104" s="142"/>
      <c r="AA104" s="142"/>
      <c r="AB104" s="142"/>
      <c r="AC104" s="142"/>
      <c r="AD104" s="142"/>
      <c r="AE104" s="142"/>
      <c r="AF104" s="142"/>
      <c r="AG104" s="142"/>
      <c r="AH104" s="142"/>
      <c r="AI104" s="142"/>
      <c r="AJ104" s="144"/>
    </row>
    <row r="105" ht="15.75" customHeight="1">
      <c r="A105" s="141" t="s">
        <v>965</v>
      </c>
      <c r="B105" s="142" t="s">
        <v>974</v>
      </c>
      <c r="C105" s="142" t="s">
        <v>1054</v>
      </c>
      <c r="D105" s="142" t="s">
        <v>1055</v>
      </c>
      <c r="E105" s="142" t="s">
        <v>49</v>
      </c>
      <c r="F105" s="142"/>
      <c r="G105" s="142" t="s">
        <v>1056</v>
      </c>
      <c r="H105" s="142"/>
      <c r="I105" s="142" t="s">
        <v>151</v>
      </c>
      <c r="J105" s="142" t="s">
        <v>1057</v>
      </c>
      <c r="K105" s="142" t="s">
        <v>1058</v>
      </c>
      <c r="L105" s="142"/>
      <c r="M105" s="142"/>
      <c r="N105" s="142"/>
      <c r="O105" s="142"/>
      <c r="P105" s="142"/>
      <c r="Q105" s="142" t="s">
        <v>102</v>
      </c>
      <c r="R105" s="142"/>
      <c r="S105" s="142" t="s">
        <v>189</v>
      </c>
      <c r="T105" s="142"/>
      <c r="U105" s="142"/>
      <c r="V105" s="142"/>
      <c r="W105" s="142"/>
      <c r="X105" s="142"/>
      <c r="Y105" s="142"/>
      <c r="Z105" s="142"/>
      <c r="AA105" s="142"/>
      <c r="AB105" s="142"/>
      <c r="AC105" s="142"/>
      <c r="AD105" s="142"/>
      <c r="AE105" s="142"/>
      <c r="AF105" s="142"/>
      <c r="AG105" s="142"/>
      <c r="AH105" s="142"/>
      <c r="AI105" s="142"/>
      <c r="AJ105" s="144"/>
    </row>
    <row r="106" ht="15.75" customHeight="1">
      <c r="A106" s="141" t="s">
        <v>965</v>
      </c>
      <c r="B106" s="142" t="s">
        <v>966</v>
      </c>
      <c r="C106" s="142" t="s">
        <v>1059</v>
      </c>
      <c r="D106" s="142" t="s">
        <v>1060</v>
      </c>
      <c r="E106" s="142" t="s">
        <v>49</v>
      </c>
      <c r="F106" s="142"/>
      <c r="G106" s="142" t="s">
        <v>969</v>
      </c>
      <c r="H106" s="142"/>
      <c r="I106" s="142" t="s">
        <v>151</v>
      </c>
      <c r="J106" s="142" t="s">
        <v>1061</v>
      </c>
      <c r="K106" s="142" t="s">
        <v>1062</v>
      </c>
      <c r="L106" s="142"/>
      <c r="M106" s="142"/>
      <c r="N106" s="142"/>
      <c r="O106" s="142" t="s">
        <v>1063</v>
      </c>
      <c r="P106" s="142" t="s">
        <v>609</v>
      </c>
      <c r="Q106" s="142" t="s">
        <v>161</v>
      </c>
      <c r="R106" s="142"/>
      <c r="S106" s="142" t="s">
        <v>189</v>
      </c>
      <c r="T106" s="142"/>
      <c r="U106" s="142"/>
      <c r="V106" s="142"/>
      <c r="W106" s="142"/>
      <c r="X106" s="142"/>
      <c r="Y106" s="142"/>
      <c r="Z106" s="142"/>
      <c r="AA106" s="142"/>
      <c r="AB106" s="142"/>
      <c r="AC106" s="142"/>
      <c r="AD106" s="142"/>
      <c r="AE106" s="142"/>
      <c r="AF106" s="142"/>
      <c r="AG106" s="142"/>
      <c r="AH106" s="142"/>
      <c r="AI106" s="142"/>
      <c r="AJ106" s="144"/>
    </row>
    <row r="107" ht="15.75" customHeight="1">
      <c r="A107" s="141" t="s">
        <v>965</v>
      </c>
      <c r="B107" s="142" t="s">
        <v>974</v>
      </c>
      <c r="C107" s="142" t="s">
        <v>1064</v>
      </c>
      <c r="D107" s="142" t="s">
        <v>1065</v>
      </c>
      <c r="E107" s="142" t="s">
        <v>49</v>
      </c>
      <c r="F107" s="142"/>
      <c r="G107" s="142" t="s">
        <v>1066</v>
      </c>
      <c r="H107" s="142"/>
      <c r="I107" s="142" t="s">
        <v>51</v>
      </c>
      <c r="J107" s="142" t="s">
        <v>1057</v>
      </c>
      <c r="K107" s="142" t="s">
        <v>1067</v>
      </c>
      <c r="L107" s="142"/>
      <c r="M107" s="142"/>
      <c r="N107" s="142"/>
      <c r="O107" s="142"/>
      <c r="P107" s="142"/>
      <c r="Q107" s="142" t="s">
        <v>1068</v>
      </c>
      <c r="R107" s="142"/>
      <c r="S107" s="142" t="s">
        <v>189</v>
      </c>
      <c r="T107" s="142"/>
      <c r="U107" s="142"/>
      <c r="V107" s="142"/>
      <c r="W107" s="142"/>
      <c r="X107" s="142"/>
      <c r="Y107" s="142"/>
      <c r="Z107" s="142"/>
      <c r="AA107" s="142"/>
      <c r="AB107" s="142"/>
      <c r="AC107" s="142"/>
      <c r="AD107" s="142"/>
      <c r="AE107" s="142"/>
      <c r="AF107" s="142"/>
      <c r="AG107" s="142"/>
      <c r="AH107" s="142"/>
      <c r="AI107" s="142"/>
      <c r="AJ107" s="144"/>
    </row>
    <row r="108" ht="15.75" customHeight="1">
      <c r="A108" s="141" t="s">
        <v>965</v>
      </c>
      <c r="B108" s="142" t="s">
        <v>966</v>
      </c>
      <c r="C108" s="142" t="s">
        <v>1069</v>
      </c>
      <c r="D108" s="142" t="s">
        <v>1070</v>
      </c>
      <c r="E108" s="142" t="s">
        <v>49</v>
      </c>
      <c r="F108" s="142"/>
      <c r="G108" s="142" t="s">
        <v>1071</v>
      </c>
      <c r="H108" s="142"/>
      <c r="I108" s="142" t="s">
        <v>151</v>
      </c>
      <c r="J108" s="142" t="s">
        <v>1072</v>
      </c>
      <c r="K108" s="142" t="s">
        <v>1073</v>
      </c>
      <c r="L108" s="142"/>
      <c r="M108" s="142"/>
      <c r="N108" s="142"/>
      <c r="O108" s="142" t="s">
        <v>1074</v>
      </c>
      <c r="P108" s="142" t="s">
        <v>1047</v>
      </c>
      <c r="Q108" s="142" t="s">
        <v>161</v>
      </c>
      <c r="R108" s="142"/>
      <c r="S108" s="142" t="s">
        <v>189</v>
      </c>
      <c r="T108" s="142"/>
      <c r="U108" s="142"/>
      <c r="V108" s="142"/>
      <c r="W108" s="142"/>
      <c r="X108" s="142"/>
      <c r="Y108" s="142"/>
      <c r="Z108" s="142"/>
      <c r="AA108" s="142"/>
      <c r="AB108" s="142"/>
      <c r="AC108" s="142"/>
      <c r="AD108" s="142"/>
      <c r="AE108" s="142"/>
      <c r="AF108" s="142"/>
      <c r="AG108" s="142"/>
      <c r="AH108" s="142"/>
      <c r="AI108" s="142"/>
      <c r="AJ108" s="144"/>
    </row>
    <row r="109" ht="15.75" customHeight="1">
      <c r="A109" s="141" t="s">
        <v>965</v>
      </c>
      <c r="B109" s="142" t="s">
        <v>974</v>
      </c>
      <c r="C109" s="142" t="s">
        <v>1089</v>
      </c>
      <c r="D109" s="142" t="s">
        <v>1090</v>
      </c>
      <c r="E109" s="142" t="s">
        <v>49</v>
      </c>
      <c r="F109" s="142"/>
      <c r="G109" s="142" t="s">
        <v>1019</v>
      </c>
      <c r="H109" s="142" t="s">
        <v>51</v>
      </c>
      <c r="I109" s="142" t="s">
        <v>151</v>
      </c>
      <c r="J109" s="142" t="s">
        <v>1020</v>
      </c>
      <c r="K109" s="142"/>
      <c r="L109" s="142" t="s">
        <v>1091</v>
      </c>
      <c r="M109" s="142"/>
      <c r="N109" s="142"/>
      <c r="O109" s="142"/>
      <c r="P109" s="142"/>
      <c r="Q109" s="142"/>
      <c r="R109" s="142"/>
      <c r="S109" s="142"/>
      <c r="T109" s="142"/>
      <c r="U109" s="142"/>
      <c r="V109" s="142"/>
      <c r="W109" s="142"/>
      <c r="X109" s="142"/>
      <c r="Y109" s="142"/>
      <c r="Z109" s="142"/>
      <c r="AA109" s="142"/>
      <c r="AB109" s="142"/>
      <c r="AC109" s="142"/>
      <c r="AD109" s="142"/>
      <c r="AE109" s="142"/>
      <c r="AF109" s="142"/>
      <c r="AG109" s="142"/>
      <c r="AH109" s="142"/>
      <c r="AI109" s="142"/>
      <c r="AJ109" s="144"/>
    </row>
    <row r="110" ht="15.75" customHeight="1">
      <c r="A110" s="141" t="s">
        <v>965</v>
      </c>
      <c r="B110" s="142" t="s">
        <v>966</v>
      </c>
      <c r="C110" s="142" t="s">
        <v>1100</v>
      </c>
      <c r="D110" s="142" t="s">
        <v>1101</v>
      </c>
      <c r="E110" s="142" t="s">
        <v>49</v>
      </c>
      <c r="F110" s="142"/>
      <c r="G110" s="142" t="s">
        <v>1044</v>
      </c>
      <c r="H110" s="142" t="s">
        <v>39</v>
      </c>
      <c r="I110" s="142" t="s">
        <v>51</v>
      </c>
      <c r="J110" s="142" t="s">
        <v>1102</v>
      </c>
      <c r="K110" s="142" t="s">
        <v>1103</v>
      </c>
      <c r="L110" s="142" t="s">
        <v>1104</v>
      </c>
      <c r="M110" s="147">
        <v>46037.0</v>
      </c>
      <c r="N110" s="142"/>
      <c r="O110" s="142"/>
      <c r="P110" s="142" t="s">
        <v>1105</v>
      </c>
      <c r="Q110" s="142"/>
      <c r="R110" s="142" t="s">
        <v>1106</v>
      </c>
      <c r="S110" s="142"/>
      <c r="T110" s="142"/>
      <c r="U110" s="142"/>
      <c r="V110" s="142"/>
      <c r="W110" s="142"/>
      <c r="X110" s="142"/>
      <c r="Y110" s="142"/>
      <c r="Z110" s="142"/>
      <c r="AA110" s="142"/>
      <c r="AB110" s="142"/>
      <c r="AC110" s="142"/>
      <c r="AD110" s="142"/>
      <c r="AE110" s="142"/>
      <c r="AF110" s="142"/>
      <c r="AG110" s="142"/>
      <c r="AH110" s="142"/>
      <c r="AI110" s="142"/>
      <c r="AJ110" s="144"/>
    </row>
    <row r="111" ht="15.75" customHeight="1">
      <c r="A111" s="141" t="s">
        <v>965</v>
      </c>
      <c r="B111" s="142" t="s">
        <v>981</v>
      </c>
      <c r="C111" s="142" t="s">
        <v>1107</v>
      </c>
      <c r="D111" s="142" t="s">
        <v>1108</v>
      </c>
      <c r="E111" s="142" t="s">
        <v>49</v>
      </c>
      <c r="F111" s="142"/>
      <c r="G111" s="142"/>
      <c r="H111" s="142" t="s">
        <v>51</v>
      </c>
      <c r="I111" s="142" t="s">
        <v>51</v>
      </c>
      <c r="J111" s="142" t="s">
        <v>1109</v>
      </c>
      <c r="K111" s="142" t="s">
        <v>984</v>
      </c>
      <c r="L111" s="142"/>
      <c r="M111" s="142"/>
      <c r="N111" s="142"/>
      <c r="O111" s="142"/>
      <c r="P111" s="142"/>
      <c r="Q111" s="142"/>
      <c r="R111" s="142"/>
      <c r="S111" s="142"/>
      <c r="T111" s="142"/>
      <c r="U111" s="142"/>
      <c r="V111" s="142"/>
      <c r="W111" s="142"/>
      <c r="X111" s="142"/>
      <c r="Y111" s="142"/>
      <c r="Z111" s="142"/>
      <c r="AA111" s="142"/>
      <c r="AB111" s="142"/>
      <c r="AC111" s="142"/>
      <c r="AD111" s="142"/>
      <c r="AE111" s="142"/>
      <c r="AF111" s="142"/>
      <c r="AG111" s="142"/>
      <c r="AH111" s="142"/>
      <c r="AI111" s="142"/>
      <c r="AJ111" s="144"/>
    </row>
    <row r="112" ht="15.75" customHeight="1">
      <c r="A112" s="141" t="s">
        <v>965</v>
      </c>
      <c r="B112" s="142" t="s">
        <v>981</v>
      </c>
      <c r="C112" s="142" t="s">
        <v>1110</v>
      </c>
      <c r="D112" s="142" t="s">
        <v>1111</v>
      </c>
      <c r="E112" s="142" t="s">
        <v>49</v>
      </c>
      <c r="F112" s="142"/>
      <c r="G112" s="142"/>
      <c r="H112" s="142" t="s">
        <v>51</v>
      </c>
      <c r="I112" s="142" t="s">
        <v>151</v>
      </c>
      <c r="J112" s="142" t="s">
        <v>1109</v>
      </c>
      <c r="K112" s="142" t="s">
        <v>984</v>
      </c>
      <c r="L112" s="142"/>
      <c r="M112" s="142"/>
      <c r="N112" s="142"/>
      <c r="O112" s="142"/>
      <c r="P112" s="142"/>
      <c r="Q112" s="142"/>
      <c r="R112" s="142"/>
      <c r="S112" s="142"/>
      <c r="T112" s="142"/>
      <c r="U112" s="142"/>
      <c r="V112" s="142"/>
      <c r="W112" s="142"/>
      <c r="X112" s="142"/>
      <c r="Y112" s="142"/>
      <c r="Z112" s="142"/>
      <c r="AA112" s="142"/>
      <c r="AB112" s="142"/>
      <c r="AC112" s="142"/>
      <c r="AD112" s="142"/>
      <c r="AE112" s="142"/>
      <c r="AF112" s="142"/>
      <c r="AG112" s="142"/>
      <c r="AH112" s="142"/>
      <c r="AI112" s="142"/>
      <c r="AJ112" s="144"/>
    </row>
    <row r="113" ht="15.75" customHeight="1">
      <c r="A113" s="141" t="s">
        <v>965</v>
      </c>
      <c r="B113" s="142" t="s">
        <v>981</v>
      </c>
      <c r="C113" s="142" t="s">
        <v>1112</v>
      </c>
      <c r="D113" s="142" t="s">
        <v>1113</v>
      </c>
      <c r="E113" s="142" t="s">
        <v>49</v>
      </c>
      <c r="F113" s="142"/>
      <c r="G113" s="142"/>
      <c r="H113" s="142" t="s">
        <v>51</v>
      </c>
      <c r="I113" s="142" t="s">
        <v>151</v>
      </c>
      <c r="J113" s="142" t="s">
        <v>1114</v>
      </c>
      <c r="K113" s="142" t="s">
        <v>984</v>
      </c>
      <c r="L113" s="142"/>
      <c r="M113" s="142"/>
      <c r="N113" s="142"/>
      <c r="O113" s="142"/>
      <c r="P113" s="142"/>
      <c r="Q113" s="142"/>
      <c r="R113" s="142"/>
      <c r="S113" s="142"/>
      <c r="T113" s="142"/>
      <c r="U113" s="142"/>
      <c r="V113" s="142"/>
      <c r="W113" s="142"/>
      <c r="X113" s="142"/>
      <c r="Y113" s="142"/>
      <c r="Z113" s="142"/>
      <c r="AA113" s="142"/>
      <c r="AB113" s="142"/>
      <c r="AC113" s="142"/>
      <c r="AD113" s="142"/>
      <c r="AE113" s="142"/>
      <c r="AF113" s="142"/>
      <c r="AG113" s="142"/>
      <c r="AH113" s="142"/>
      <c r="AI113" s="142"/>
      <c r="AJ113" s="144"/>
    </row>
    <row r="114" ht="15.75" customHeight="1">
      <c r="A114" s="141" t="s">
        <v>965</v>
      </c>
      <c r="B114" s="142" t="s">
        <v>981</v>
      </c>
      <c r="C114" s="142" t="s">
        <v>1115</v>
      </c>
      <c r="D114" s="142" t="s">
        <v>1116</v>
      </c>
      <c r="E114" s="142" t="s">
        <v>49</v>
      </c>
      <c r="F114" s="142"/>
      <c r="G114" s="142"/>
      <c r="H114" s="142" t="s">
        <v>51</v>
      </c>
      <c r="I114" s="142" t="s">
        <v>151</v>
      </c>
      <c r="J114" s="142" t="s">
        <v>1114</v>
      </c>
      <c r="K114" s="142" t="s">
        <v>984</v>
      </c>
      <c r="L114" s="142"/>
      <c r="M114" s="142"/>
      <c r="N114" s="142"/>
      <c r="O114" s="142"/>
      <c r="P114" s="142"/>
      <c r="Q114" s="142"/>
      <c r="R114" s="142"/>
      <c r="S114" s="142"/>
      <c r="T114" s="142"/>
      <c r="U114" s="142"/>
      <c r="V114" s="142"/>
      <c r="W114" s="142"/>
      <c r="X114" s="142"/>
      <c r="Y114" s="142"/>
      <c r="Z114" s="142"/>
      <c r="AA114" s="142"/>
      <c r="AB114" s="142"/>
      <c r="AC114" s="142"/>
      <c r="AD114" s="142"/>
      <c r="AE114" s="142"/>
      <c r="AF114" s="142"/>
      <c r="AG114" s="142"/>
      <c r="AH114" s="142"/>
      <c r="AI114" s="142"/>
      <c r="AJ114" s="144"/>
    </row>
    <row r="115" ht="15.75" customHeight="1">
      <c r="A115" s="141" t="s">
        <v>368</v>
      </c>
      <c r="B115" s="142" t="s">
        <v>1139</v>
      </c>
      <c r="C115" s="142" t="s">
        <v>1140</v>
      </c>
      <c r="D115" s="142" t="s">
        <v>1141</v>
      </c>
      <c r="E115" s="142" t="s">
        <v>49</v>
      </c>
      <c r="F115" s="142"/>
      <c r="G115" s="142"/>
      <c r="H115" s="142"/>
      <c r="I115" s="142" t="s">
        <v>51</v>
      </c>
      <c r="J115" s="142" t="s">
        <v>368</v>
      </c>
      <c r="K115" s="142"/>
      <c r="L115" s="142"/>
      <c r="M115" s="142"/>
      <c r="N115" s="142"/>
      <c r="O115" s="145" t="s">
        <v>1142</v>
      </c>
      <c r="P115" s="142" t="s">
        <v>256</v>
      </c>
      <c r="Q115" s="142" t="s">
        <v>1143</v>
      </c>
      <c r="R115" s="142"/>
      <c r="S115" s="142"/>
      <c r="T115" s="142"/>
      <c r="U115" s="142"/>
      <c r="V115" s="142"/>
      <c r="W115" s="142"/>
      <c r="X115" s="142"/>
      <c r="Y115" s="142"/>
      <c r="Z115" s="142"/>
      <c r="AA115" s="142"/>
      <c r="AB115" s="142"/>
      <c r="AC115" s="142"/>
      <c r="AD115" s="142"/>
      <c r="AE115" s="142"/>
      <c r="AF115" s="142"/>
      <c r="AG115" s="142"/>
      <c r="AH115" s="142"/>
      <c r="AI115" s="142"/>
      <c r="AJ115" s="144"/>
    </row>
    <row r="116" ht="15.75" customHeight="1">
      <c r="A116" s="141" t="s">
        <v>368</v>
      </c>
      <c r="B116" s="142" t="s">
        <v>1133</v>
      </c>
      <c r="C116" s="142" t="s">
        <v>1144</v>
      </c>
      <c r="D116" s="142" t="s">
        <v>1145</v>
      </c>
      <c r="E116" s="142" t="s">
        <v>49</v>
      </c>
      <c r="F116" s="142"/>
      <c r="G116" s="142" t="s">
        <v>1146</v>
      </c>
      <c r="H116" s="142"/>
      <c r="I116" s="142" t="s">
        <v>151</v>
      </c>
      <c r="J116" s="142" t="s">
        <v>368</v>
      </c>
      <c r="K116" s="142"/>
      <c r="L116" s="142" t="s">
        <v>1147</v>
      </c>
      <c r="M116" s="142"/>
      <c r="N116" s="142"/>
      <c r="O116" s="142" t="s">
        <v>1148</v>
      </c>
      <c r="P116" s="142" t="s">
        <v>1149</v>
      </c>
      <c r="Q116" s="142" t="s">
        <v>1620</v>
      </c>
      <c r="R116" s="142"/>
      <c r="S116" s="142" t="s">
        <v>1151</v>
      </c>
      <c r="T116" s="142"/>
      <c r="U116" s="142"/>
      <c r="V116" s="142"/>
      <c r="W116" s="142"/>
      <c r="X116" s="142"/>
      <c r="Y116" s="142"/>
      <c r="Z116" s="142"/>
      <c r="AA116" s="142"/>
      <c r="AB116" s="142"/>
      <c r="AC116" s="142"/>
      <c r="AD116" s="142"/>
      <c r="AE116" s="142"/>
      <c r="AF116" s="142"/>
      <c r="AG116" s="142"/>
      <c r="AH116" s="142"/>
      <c r="AI116" s="142"/>
      <c r="AJ116" s="144"/>
    </row>
    <row r="117" ht="15.75" customHeight="1">
      <c r="A117" s="141" t="s">
        <v>368</v>
      </c>
      <c r="B117" s="142" t="s">
        <v>1161</v>
      </c>
      <c r="C117" s="142" t="s">
        <v>1162</v>
      </c>
      <c r="D117" s="142" t="s">
        <v>1163</v>
      </c>
      <c r="E117" s="142" t="s">
        <v>49</v>
      </c>
      <c r="F117" s="142"/>
      <c r="G117" s="142"/>
      <c r="H117" s="142"/>
      <c r="I117" s="142" t="s">
        <v>51</v>
      </c>
      <c r="J117" s="142" t="s">
        <v>368</v>
      </c>
      <c r="K117" s="142"/>
      <c r="L117" s="142"/>
      <c r="M117" s="142"/>
      <c r="N117" s="142"/>
      <c r="O117" s="142"/>
      <c r="P117" s="142" t="s">
        <v>1164</v>
      </c>
      <c r="Q117" s="142" t="s">
        <v>310</v>
      </c>
      <c r="R117" s="142"/>
      <c r="S117" s="142" t="s">
        <v>1151</v>
      </c>
      <c r="T117" s="142"/>
      <c r="U117" s="142"/>
      <c r="V117" s="142"/>
      <c r="W117" s="142"/>
      <c r="X117" s="142"/>
      <c r="Y117" s="142"/>
      <c r="Z117" s="142"/>
      <c r="AA117" s="142"/>
      <c r="AB117" s="142"/>
      <c r="AC117" s="142"/>
      <c r="AD117" s="142"/>
      <c r="AE117" s="142"/>
      <c r="AF117" s="142"/>
      <c r="AG117" s="142"/>
      <c r="AH117" s="142"/>
      <c r="AI117" s="142"/>
      <c r="AJ117" s="144"/>
    </row>
    <row r="118" ht="15.75" customHeight="1">
      <c r="A118" s="141" t="s">
        <v>641</v>
      </c>
      <c r="B118" s="142" t="s">
        <v>1197</v>
      </c>
      <c r="C118" s="142" t="s">
        <v>1198</v>
      </c>
      <c r="D118" s="142" t="s">
        <v>1199</v>
      </c>
      <c r="E118" s="142" t="s">
        <v>49</v>
      </c>
      <c r="F118" s="142"/>
      <c r="G118" s="142" t="s">
        <v>1200</v>
      </c>
      <c r="H118" s="142" t="s">
        <v>39</v>
      </c>
      <c r="I118" s="142" t="s">
        <v>27</v>
      </c>
      <c r="J118" s="142" t="s">
        <v>1201</v>
      </c>
      <c r="K118" s="142" t="s">
        <v>1202</v>
      </c>
      <c r="L118" s="142"/>
      <c r="M118" s="142" t="s">
        <v>1203</v>
      </c>
      <c r="N118" s="142"/>
      <c r="O118" s="142"/>
      <c r="P118" s="142"/>
      <c r="Q118" s="142" t="s">
        <v>1204</v>
      </c>
      <c r="R118" s="142"/>
      <c r="S118" s="142"/>
      <c r="T118" s="142"/>
      <c r="U118" s="142"/>
      <c r="V118" s="142"/>
      <c r="W118" s="142"/>
      <c r="X118" s="142"/>
      <c r="Y118" s="142"/>
      <c r="Z118" s="142"/>
      <c r="AA118" s="142"/>
      <c r="AB118" s="142"/>
      <c r="AC118" s="142"/>
      <c r="AD118" s="142"/>
      <c r="AE118" s="142"/>
      <c r="AF118" s="142"/>
      <c r="AG118" s="142"/>
      <c r="AH118" s="142"/>
      <c r="AI118" s="142"/>
      <c r="AJ118" s="144"/>
    </row>
    <row r="119" ht="15.75" customHeight="1">
      <c r="A119" s="141" t="s">
        <v>641</v>
      </c>
      <c r="B119" s="142"/>
      <c r="C119" s="142" t="s">
        <v>1290</v>
      </c>
      <c r="D119" s="142" t="s">
        <v>1291</v>
      </c>
      <c r="E119" s="142" t="s">
        <v>49</v>
      </c>
      <c r="F119" s="142" t="s">
        <v>1292</v>
      </c>
      <c r="G119" s="142" t="s">
        <v>1189</v>
      </c>
      <c r="H119" s="142"/>
      <c r="I119" s="142" t="s">
        <v>151</v>
      </c>
      <c r="J119" s="142" t="s">
        <v>1215</v>
      </c>
      <c r="K119" s="142" t="s">
        <v>1293</v>
      </c>
      <c r="L119" s="142"/>
      <c r="M119" s="142"/>
      <c r="N119" s="142"/>
      <c r="O119" s="142" t="s">
        <v>1294</v>
      </c>
      <c r="P119" s="142" t="s">
        <v>323</v>
      </c>
      <c r="Q119" s="142" t="s">
        <v>1295</v>
      </c>
      <c r="R119" s="142"/>
      <c r="S119" s="142"/>
      <c r="T119" s="142"/>
      <c r="U119" s="142"/>
      <c r="V119" s="142"/>
      <c r="W119" s="142"/>
      <c r="X119" s="142"/>
      <c r="Y119" s="142"/>
      <c r="Z119" s="142"/>
      <c r="AA119" s="142"/>
      <c r="AB119" s="142"/>
      <c r="AC119" s="142"/>
      <c r="AD119" s="142"/>
      <c r="AE119" s="142"/>
      <c r="AF119" s="142"/>
      <c r="AG119" s="142"/>
      <c r="AH119" s="142"/>
      <c r="AI119" s="142"/>
      <c r="AJ119" s="144"/>
    </row>
    <row r="120" ht="15.75" customHeight="1">
      <c r="A120" s="141" t="s">
        <v>641</v>
      </c>
      <c r="B120" s="142"/>
      <c r="C120" s="142" t="s">
        <v>1296</v>
      </c>
      <c r="D120" s="142" t="s">
        <v>1297</v>
      </c>
      <c r="E120" s="142" t="s">
        <v>49</v>
      </c>
      <c r="F120" s="142"/>
      <c r="G120" s="142" t="s">
        <v>1298</v>
      </c>
      <c r="H120" s="142"/>
      <c r="I120" s="142" t="s">
        <v>51</v>
      </c>
      <c r="J120" s="142" t="s">
        <v>1299</v>
      </c>
      <c r="K120" s="142"/>
      <c r="L120" s="142"/>
      <c r="M120" s="142"/>
      <c r="N120" s="142"/>
      <c r="O120" s="142"/>
      <c r="P120" s="142" t="s">
        <v>1300</v>
      </c>
      <c r="Q120" s="142" t="s">
        <v>1301</v>
      </c>
      <c r="R120" s="142"/>
      <c r="S120" s="142"/>
      <c r="T120" s="142"/>
      <c r="U120" s="142"/>
      <c r="V120" s="142"/>
      <c r="W120" s="142"/>
      <c r="X120" s="142"/>
      <c r="Y120" s="142"/>
      <c r="Z120" s="142"/>
      <c r="AA120" s="142"/>
      <c r="AB120" s="142"/>
      <c r="AC120" s="142"/>
      <c r="AD120" s="142"/>
      <c r="AE120" s="142"/>
      <c r="AF120" s="142"/>
      <c r="AG120" s="142"/>
      <c r="AH120" s="142"/>
      <c r="AI120" s="142"/>
      <c r="AJ120" s="144"/>
    </row>
    <row r="121" ht="15.75" customHeight="1">
      <c r="A121" s="141" t="s">
        <v>641</v>
      </c>
      <c r="B121" s="142"/>
      <c r="C121" s="142" t="s">
        <v>1292</v>
      </c>
      <c r="D121" s="142" t="s">
        <v>1302</v>
      </c>
      <c r="E121" s="142" t="s">
        <v>49</v>
      </c>
      <c r="F121" s="142"/>
      <c r="G121" s="142" t="s">
        <v>1303</v>
      </c>
      <c r="H121" s="142"/>
      <c r="I121" s="142" t="s">
        <v>151</v>
      </c>
      <c r="J121" s="142" t="s">
        <v>641</v>
      </c>
      <c r="K121" s="142"/>
      <c r="L121" s="142"/>
      <c r="M121" s="142"/>
      <c r="N121" s="142"/>
      <c r="O121" s="142"/>
      <c r="P121" s="142" t="s">
        <v>161</v>
      </c>
      <c r="Q121" s="142" t="s">
        <v>161</v>
      </c>
      <c r="R121" s="142"/>
      <c r="S121" s="142"/>
      <c r="T121" s="142"/>
      <c r="U121" s="142"/>
      <c r="V121" s="142"/>
      <c r="W121" s="142"/>
      <c r="X121" s="142"/>
      <c r="Y121" s="142"/>
      <c r="Z121" s="142"/>
      <c r="AA121" s="142"/>
      <c r="AB121" s="142"/>
      <c r="AC121" s="142"/>
      <c r="AD121" s="142"/>
      <c r="AE121" s="142"/>
      <c r="AF121" s="142"/>
      <c r="AG121" s="142"/>
      <c r="AH121" s="142"/>
      <c r="AI121" s="142"/>
      <c r="AJ121" s="144"/>
    </row>
    <row r="122" ht="15.75" customHeight="1">
      <c r="A122" s="141" t="s">
        <v>641</v>
      </c>
      <c r="B122" s="142" t="s">
        <v>1197</v>
      </c>
      <c r="C122" s="142" t="s">
        <v>1304</v>
      </c>
      <c r="D122" s="142" t="s">
        <v>1305</v>
      </c>
      <c r="E122" s="142" t="s">
        <v>49</v>
      </c>
      <c r="F122" s="142"/>
      <c r="G122" s="142" t="s">
        <v>1306</v>
      </c>
      <c r="H122" s="142"/>
      <c r="I122" s="142" t="s">
        <v>151</v>
      </c>
      <c r="J122" s="142" t="s">
        <v>1208</v>
      </c>
      <c r="K122" s="142"/>
      <c r="L122" s="142"/>
      <c r="M122" s="142"/>
      <c r="N122" s="142"/>
      <c r="O122" s="142"/>
      <c r="P122" s="142" t="s">
        <v>161</v>
      </c>
      <c r="Q122" s="142" t="s">
        <v>161</v>
      </c>
      <c r="R122" s="142"/>
      <c r="S122" s="142"/>
      <c r="T122" s="142"/>
      <c r="U122" s="142"/>
      <c r="V122" s="142"/>
      <c r="W122" s="142"/>
      <c r="X122" s="142"/>
      <c r="Y122" s="142"/>
      <c r="Z122" s="142"/>
      <c r="AA122" s="142"/>
      <c r="AB122" s="142"/>
      <c r="AC122" s="142"/>
      <c r="AD122" s="142"/>
      <c r="AE122" s="142"/>
      <c r="AF122" s="142"/>
      <c r="AG122" s="142"/>
      <c r="AH122" s="142"/>
      <c r="AI122" s="142"/>
      <c r="AJ122" s="144"/>
    </row>
    <row r="123" ht="15.75" customHeight="1">
      <c r="A123" s="141" t="s">
        <v>641</v>
      </c>
      <c r="B123" s="142"/>
      <c r="C123" s="142" t="s">
        <v>1307</v>
      </c>
      <c r="D123" s="142" t="s">
        <v>1308</v>
      </c>
      <c r="E123" s="142" t="s">
        <v>49</v>
      </c>
      <c r="F123" s="142"/>
      <c r="G123" s="142" t="s">
        <v>1309</v>
      </c>
      <c r="H123" s="142"/>
      <c r="I123" s="142" t="s">
        <v>151</v>
      </c>
      <c r="J123" s="142" t="s">
        <v>641</v>
      </c>
      <c r="K123" s="142"/>
      <c r="L123" s="142"/>
      <c r="M123" s="142"/>
      <c r="N123" s="142"/>
      <c r="O123" s="142"/>
      <c r="P123" s="142" t="s">
        <v>161</v>
      </c>
      <c r="Q123" s="142" t="s">
        <v>161</v>
      </c>
      <c r="R123" s="142"/>
      <c r="S123" s="142" t="s">
        <v>1310</v>
      </c>
      <c r="T123" s="142"/>
      <c r="U123" s="142"/>
      <c r="V123" s="142"/>
      <c r="W123" s="142"/>
      <c r="X123" s="142"/>
      <c r="Y123" s="142"/>
      <c r="Z123" s="142"/>
      <c r="AA123" s="142"/>
      <c r="AB123" s="142"/>
      <c r="AC123" s="142"/>
      <c r="AD123" s="142"/>
      <c r="AE123" s="142"/>
      <c r="AF123" s="142"/>
      <c r="AG123" s="142"/>
      <c r="AH123" s="142"/>
      <c r="AI123" s="142"/>
      <c r="AJ123" s="144"/>
    </row>
    <row r="124" ht="15.75" customHeight="1">
      <c r="A124" s="141" t="s">
        <v>641</v>
      </c>
      <c r="B124" s="142"/>
      <c r="C124" s="142" t="s">
        <v>1311</v>
      </c>
      <c r="D124" s="142" t="s">
        <v>1312</v>
      </c>
      <c r="E124" s="142" t="s">
        <v>49</v>
      </c>
      <c r="F124" s="142"/>
      <c r="G124" s="142" t="s">
        <v>1313</v>
      </c>
      <c r="H124" s="142"/>
      <c r="I124" s="142" t="s">
        <v>151</v>
      </c>
      <c r="J124" s="142" t="s">
        <v>1314</v>
      </c>
      <c r="K124" s="142"/>
      <c r="L124" s="142"/>
      <c r="M124" s="142"/>
      <c r="N124" s="142"/>
      <c r="O124" s="142"/>
      <c r="P124" s="142" t="s">
        <v>161</v>
      </c>
      <c r="Q124" s="142" t="s">
        <v>161</v>
      </c>
      <c r="R124" s="142"/>
      <c r="S124" s="142"/>
      <c r="T124" s="142"/>
      <c r="U124" s="142"/>
      <c r="V124" s="142"/>
      <c r="W124" s="142"/>
      <c r="X124" s="142"/>
      <c r="Y124" s="142"/>
      <c r="Z124" s="142"/>
      <c r="AA124" s="142"/>
      <c r="AB124" s="142"/>
      <c r="AC124" s="142"/>
      <c r="AD124" s="142"/>
      <c r="AE124" s="142"/>
      <c r="AF124" s="142"/>
      <c r="AG124" s="142"/>
      <c r="AH124" s="142"/>
      <c r="AI124" s="142"/>
      <c r="AJ124" s="144"/>
    </row>
    <row r="125" ht="15.75" customHeight="1">
      <c r="A125" s="141" t="s">
        <v>641</v>
      </c>
      <c r="B125" s="142"/>
      <c r="C125" s="142" t="s">
        <v>1315</v>
      </c>
      <c r="D125" s="142" t="s">
        <v>1316</v>
      </c>
      <c r="E125" s="142" t="s">
        <v>49</v>
      </c>
      <c r="F125" s="142"/>
      <c r="G125" s="142" t="s">
        <v>1317</v>
      </c>
      <c r="H125" s="142"/>
      <c r="I125" s="142" t="s">
        <v>151</v>
      </c>
      <c r="J125" s="142" t="s">
        <v>1175</v>
      </c>
      <c r="K125" s="142"/>
      <c r="L125" s="142"/>
      <c r="M125" s="142"/>
      <c r="N125" s="142"/>
      <c r="O125" s="142" t="s">
        <v>1621</v>
      </c>
      <c r="P125" s="142"/>
      <c r="Q125" s="142" t="s">
        <v>161</v>
      </c>
      <c r="R125" s="142" t="s">
        <v>167</v>
      </c>
      <c r="S125" s="142"/>
      <c r="T125" s="142"/>
      <c r="U125" s="142"/>
      <c r="V125" s="142"/>
      <c r="W125" s="142"/>
      <c r="X125" s="142"/>
      <c r="Y125" s="142"/>
      <c r="Z125" s="142"/>
      <c r="AA125" s="142"/>
      <c r="AB125" s="142"/>
      <c r="AC125" s="142"/>
      <c r="AD125" s="142"/>
      <c r="AE125" s="142"/>
      <c r="AF125" s="142"/>
      <c r="AG125" s="142"/>
      <c r="AH125" s="142"/>
      <c r="AI125" s="142"/>
      <c r="AJ125" s="144"/>
    </row>
    <row r="126" ht="15.75" customHeight="1">
      <c r="A126" s="141" t="s">
        <v>641</v>
      </c>
      <c r="B126" s="142" t="s">
        <v>1319</v>
      </c>
      <c r="C126" s="142" t="s">
        <v>1320</v>
      </c>
      <c r="D126" s="142" t="s">
        <v>1321</v>
      </c>
      <c r="E126" s="142" t="s">
        <v>49</v>
      </c>
      <c r="F126" s="142"/>
      <c r="G126" s="142" t="s">
        <v>1298</v>
      </c>
      <c r="H126" s="142"/>
      <c r="I126" s="142" t="s">
        <v>151</v>
      </c>
      <c r="J126" s="142" t="s">
        <v>1322</v>
      </c>
      <c r="K126" s="142"/>
      <c r="L126" s="142"/>
      <c r="M126" s="142"/>
      <c r="N126" s="142"/>
      <c r="O126" s="142"/>
      <c r="P126" s="142" t="s">
        <v>161</v>
      </c>
      <c r="Q126" s="142" t="s">
        <v>161</v>
      </c>
      <c r="R126" s="142" t="s">
        <v>167</v>
      </c>
      <c r="S126" s="142"/>
      <c r="T126" s="142"/>
      <c r="U126" s="142"/>
      <c r="V126" s="142"/>
      <c r="W126" s="142"/>
      <c r="X126" s="142"/>
      <c r="Y126" s="142"/>
      <c r="Z126" s="142"/>
      <c r="AA126" s="142"/>
      <c r="AB126" s="142"/>
      <c r="AC126" s="142"/>
      <c r="AD126" s="142"/>
      <c r="AE126" s="142"/>
      <c r="AF126" s="142"/>
      <c r="AG126" s="142"/>
      <c r="AH126" s="142"/>
      <c r="AI126" s="142"/>
      <c r="AJ126" s="144"/>
    </row>
    <row r="127" ht="15.75" customHeight="1">
      <c r="A127" s="141" t="s">
        <v>641</v>
      </c>
      <c r="B127" s="142"/>
      <c r="C127" s="142" t="s">
        <v>1323</v>
      </c>
      <c r="D127" s="142" t="s">
        <v>1324</v>
      </c>
      <c r="E127" s="142" t="s">
        <v>49</v>
      </c>
      <c r="F127" s="142"/>
      <c r="G127" s="142" t="s">
        <v>1325</v>
      </c>
      <c r="H127" s="142"/>
      <c r="I127" s="142" t="s">
        <v>151</v>
      </c>
      <c r="J127" s="142" t="s">
        <v>1326</v>
      </c>
      <c r="K127" s="142"/>
      <c r="L127" s="142"/>
      <c r="M127" s="142"/>
      <c r="N127" s="142"/>
      <c r="O127" s="142"/>
      <c r="P127" s="142" t="s">
        <v>161</v>
      </c>
      <c r="Q127" s="142" t="s">
        <v>161</v>
      </c>
      <c r="R127" s="142" t="s">
        <v>167</v>
      </c>
      <c r="S127" s="142"/>
      <c r="T127" s="142"/>
      <c r="U127" s="142"/>
      <c r="V127" s="142"/>
      <c r="W127" s="142"/>
      <c r="X127" s="142"/>
      <c r="Y127" s="142"/>
      <c r="Z127" s="142"/>
      <c r="AA127" s="142"/>
      <c r="AB127" s="142"/>
      <c r="AC127" s="142"/>
      <c r="AD127" s="142"/>
      <c r="AE127" s="142"/>
      <c r="AF127" s="142"/>
      <c r="AG127" s="142"/>
      <c r="AH127" s="142"/>
      <c r="AI127" s="142"/>
      <c r="AJ127" s="144"/>
    </row>
    <row r="128" ht="15.75" customHeight="1">
      <c r="A128" s="141" t="s">
        <v>641</v>
      </c>
      <c r="B128" s="142"/>
      <c r="C128" s="142" t="s">
        <v>1327</v>
      </c>
      <c r="D128" s="142" t="s">
        <v>1328</v>
      </c>
      <c r="E128" s="142" t="s">
        <v>49</v>
      </c>
      <c r="F128" s="142"/>
      <c r="G128" s="142" t="s">
        <v>1207</v>
      </c>
      <c r="H128" s="142"/>
      <c r="I128" s="142" t="s">
        <v>151</v>
      </c>
      <c r="J128" s="142" t="s">
        <v>1208</v>
      </c>
      <c r="K128" s="142"/>
      <c r="L128" s="142"/>
      <c r="M128" s="142"/>
      <c r="N128" s="142"/>
      <c r="O128" s="142"/>
      <c r="P128" s="142" t="s">
        <v>161</v>
      </c>
      <c r="Q128" s="142" t="s">
        <v>161</v>
      </c>
      <c r="R128" s="142" t="s">
        <v>167</v>
      </c>
      <c r="S128" s="142"/>
      <c r="T128" s="142"/>
      <c r="U128" s="142"/>
      <c r="V128" s="142"/>
      <c r="W128" s="142"/>
      <c r="X128" s="142"/>
      <c r="Y128" s="142"/>
      <c r="Z128" s="142"/>
      <c r="AA128" s="142"/>
      <c r="AB128" s="142"/>
      <c r="AC128" s="142"/>
      <c r="AD128" s="142"/>
      <c r="AE128" s="142"/>
      <c r="AF128" s="142"/>
      <c r="AG128" s="142"/>
      <c r="AH128" s="142"/>
      <c r="AI128" s="142"/>
      <c r="AJ128" s="144"/>
    </row>
    <row r="129" ht="15.75" customHeight="1">
      <c r="A129" s="141" t="s">
        <v>641</v>
      </c>
      <c r="B129" s="142" t="s">
        <v>1329</v>
      </c>
      <c r="C129" s="142" t="s">
        <v>1330</v>
      </c>
      <c r="D129" s="142" t="s">
        <v>1331</v>
      </c>
      <c r="E129" s="142" t="s">
        <v>49</v>
      </c>
      <c r="F129" s="142"/>
      <c r="G129" s="142" t="s">
        <v>1298</v>
      </c>
      <c r="H129" s="142"/>
      <c r="I129" s="142" t="s">
        <v>51</v>
      </c>
      <c r="J129" s="142" t="s">
        <v>1332</v>
      </c>
      <c r="K129" s="142"/>
      <c r="L129" s="142"/>
      <c r="M129" s="142"/>
      <c r="N129" s="142"/>
      <c r="O129" s="142"/>
      <c r="P129" s="142" t="s">
        <v>1300</v>
      </c>
      <c r="Q129" s="142" t="s">
        <v>1300</v>
      </c>
      <c r="R129" s="142"/>
      <c r="S129" s="142"/>
      <c r="T129" s="142"/>
      <c r="U129" s="142"/>
      <c r="V129" s="142"/>
      <c r="W129" s="142"/>
      <c r="X129" s="142"/>
      <c r="Y129" s="142"/>
      <c r="Z129" s="142"/>
      <c r="AA129" s="142"/>
      <c r="AB129" s="142"/>
      <c r="AC129" s="142"/>
      <c r="AD129" s="142"/>
      <c r="AE129" s="142"/>
      <c r="AF129" s="142"/>
      <c r="AG129" s="142"/>
      <c r="AH129" s="142"/>
      <c r="AI129" s="142"/>
      <c r="AJ129" s="144"/>
    </row>
    <row r="130" ht="15.75" customHeight="1">
      <c r="A130" s="141" t="s">
        <v>641</v>
      </c>
      <c r="B130" s="142" t="s">
        <v>1333</v>
      </c>
      <c r="C130" s="142" t="s">
        <v>1334</v>
      </c>
      <c r="D130" s="142" t="s">
        <v>1335</v>
      </c>
      <c r="E130" s="142" t="s">
        <v>49</v>
      </c>
      <c r="F130" s="142"/>
      <c r="G130" s="142" t="s">
        <v>1309</v>
      </c>
      <c r="H130" s="142"/>
      <c r="I130" s="142" t="s">
        <v>151</v>
      </c>
      <c r="J130" s="142"/>
      <c r="K130" s="142"/>
      <c r="L130" s="142"/>
      <c r="M130" s="142"/>
      <c r="N130" s="142"/>
      <c r="O130" s="142"/>
      <c r="P130" s="142"/>
      <c r="Q130" s="142" t="s">
        <v>161</v>
      </c>
      <c r="R130" s="142"/>
      <c r="S130" s="142" t="s">
        <v>1336</v>
      </c>
      <c r="T130" s="142"/>
      <c r="U130" s="142"/>
      <c r="V130" s="142"/>
      <c r="W130" s="142"/>
      <c r="X130" s="142"/>
      <c r="Y130" s="142"/>
      <c r="Z130" s="142"/>
      <c r="AA130" s="142"/>
      <c r="AB130" s="142"/>
      <c r="AC130" s="142"/>
      <c r="AD130" s="142"/>
      <c r="AE130" s="142"/>
      <c r="AF130" s="142"/>
      <c r="AG130" s="142"/>
      <c r="AH130" s="142"/>
      <c r="AI130" s="142"/>
      <c r="AJ130" s="144"/>
    </row>
    <row r="131" ht="15.75" customHeight="1">
      <c r="A131" s="141" t="s">
        <v>641</v>
      </c>
      <c r="B131" s="142"/>
      <c r="C131" s="142" t="s">
        <v>1337</v>
      </c>
      <c r="D131" s="142" t="s">
        <v>1338</v>
      </c>
      <c r="E131" s="142" t="s">
        <v>49</v>
      </c>
      <c r="F131" s="142"/>
      <c r="G131" s="142" t="s">
        <v>750</v>
      </c>
      <c r="H131" s="142"/>
      <c r="I131" s="142" t="s">
        <v>151</v>
      </c>
      <c r="J131" s="142"/>
      <c r="K131" s="142"/>
      <c r="L131" s="142"/>
      <c r="M131" s="142"/>
      <c r="N131" s="142"/>
      <c r="O131" s="142"/>
      <c r="P131" s="142" t="s">
        <v>161</v>
      </c>
      <c r="Q131" s="142" t="s">
        <v>161</v>
      </c>
      <c r="R131" s="142"/>
      <c r="S131" s="142"/>
      <c r="T131" s="142"/>
      <c r="U131" s="142"/>
      <c r="V131" s="142"/>
      <c r="W131" s="142"/>
      <c r="X131" s="142"/>
      <c r="Y131" s="142"/>
      <c r="Z131" s="142"/>
      <c r="AA131" s="142"/>
      <c r="AB131" s="142"/>
      <c r="AC131" s="142"/>
      <c r="AD131" s="142"/>
      <c r="AE131" s="142"/>
      <c r="AF131" s="142"/>
      <c r="AG131" s="142"/>
      <c r="AH131" s="142"/>
      <c r="AI131" s="142"/>
      <c r="AJ131" s="144"/>
    </row>
    <row r="132" ht="15.75" customHeight="1">
      <c r="A132" s="141" t="s">
        <v>641</v>
      </c>
      <c r="B132" s="142" t="s">
        <v>1333</v>
      </c>
      <c r="C132" s="142" t="s">
        <v>1339</v>
      </c>
      <c r="D132" s="142" t="s">
        <v>1340</v>
      </c>
      <c r="E132" s="142" t="s">
        <v>49</v>
      </c>
      <c r="F132" s="142"/>
      <c r="G132" s="142" t="s">
        <v>1309</v>
      </c>
      <c r="H132" s="142"/>
      <c r="I132" s="142" t="s">
        <v>151</v>
      </c>
      <c r="J132" s="142"/>
      <c r="K132" s="142"/>
      <c r="L132" s="142"/>
      <c r="M132" s="142"/>
      <c r="N132" s="142"/>
      <c r="O132" s="142"/>
      <c r="P132" s="142"/>
      <c r="Q132" s="142" t="s">
        <v>161</v>
      </c>
      <c r="R132" s="142"/>
      <c r="S132" s="142" t="s">
        <v>1341</v>
      </c>
      <c r="T132" s="142"/>
      <c r="U132" s="142"/>
      <c r="V132" s="142"/>
      <c r="W132" s="142"/>
      <c r="X132" s="142"/>
      <c r="Y132" s="142"/>
      <c r="Z132" s="142"/>
      <c r="AA132" s="142"/>
      <c r="AB132" s="142"/>
      <c r="AC132" s="142"/>
      <c r="AD132" s="142"/>
      <c r="AE132" s="142"/>
      <c r="AF132" s="142"/>
      <c r="AG132" s="142"/>
      <c r="AH132" s="142"/>
      <c r="AI132" s="142"/>
      <c r="AJ132" s="144"/>
    </row>
    <row r="133" ht="15.75" customHeight="1">
      <c r="A133" s="141" t="s">
        <v>641</v>
      </c>
      <c r="B133" s="142" t="s">
        <v>1197</v>
      </c>
      <c r="C133" s="142" t="s">
        <v>1342</v>
      </c>
      <c r="D133" s="142" t="s">
        <v>1343</v>
      </c>
      <c r="E133" s="142" t="s">
        <v>49</v>
      </c>
      <c r="F133" s="142"/>
      <c r="G133" s="142" t="s">
        <v>1207</v>
      </c>
      <c r="H133" s="142" t="s">
        <v>39</v>
      </c>
      <c r="I133" s="142" t="s">
        <v>51</v>
      </c>
      <c r="J133" s="142" t="s">
        <v>1201</v>
      </c>
      <c r="K133" s="142" t="s">
        <v>1344</v>
      </c>
      <c r="L133" s="142"/>
      <c r="M133" s="142"/>
      <c r="N133" s="142"/>
      <c r="O133" s="142"/>
      <c r="P133" s="142"/>
      <c r="Q133" s="142" t="s">
        <v>1345</v>
      </c>
      <c r="R133" s="142"/>
      <c r="S133" s="142"/>
      <c r="T133" s="142"/>
      <c r="U133" s="142"/>
      <c r="V133" s="142"/>
      <c r="W133" s="142"/>
      <c r="X133" s="142"/>
      <c r="Y133" s="142"/>
      <c r="Z133" s="142"/>
      <c r="AA133" s="142"/>
      <c r="AB133" s="142"/>
      <c r="AC133" s="142"/>
      <c r="AD133" s="142"/>
      <c r="AE133" s="142"/>
      <c r="AF133" s="142"/>
      <c r="AG133" s="142"/>
      <c r="AH133" s="142"/>
      <c r="AI133" s="142"/>
      <c r="AJ133" s="144"/>
    </row>
    <row r="134" ht="15.75" customHeight="1">
      <c r="A134" s="141" t="s">
        <v>498</v>
      </c>
      <c r="B134" s="142"/>
      <c r="C134" s="142" t="s">
        <v>1353</v>
      </c>
      <c r="D134" s="142" t="s">
        <v>1354</v>
      </c>
      <c r="E134" s="142" t="s">
        <v>49</v>
      </c>
      <c r="F134" s="142"/>
      <c r="G134" s="142" t="s">
        <v>1278</v>
      </c>
      <c r="H134" s="142"/>
      <c r="I134" s="142" t="s">
        <v>151</v>
      </c>
      <c r="J134" s="142" t="s">
        <v>498</v>
      </c>
      <c r="K134" s="142"/>
      <c r="L134" s="142"/>
      <c r="M134" s="142"/>
      <c r="N134" s="142"/>
      <c r="O134" s="142"/>
      <c r="P134" s="142"/>
      <c r="Q134" s="142" t="s">
        <v>161</v>
      </c>
      <c r="R134" s="142"/>
      <c r="S134" s="142" t="s">
        <v>189</v>
      </c>
      <c r="T134" s="142"/>
      <c r="U134" s="142"/>
      <c r="V134" s="142"/>
      <c r="W134" s="142"/>
      <c r="X134" s="142"/>
      <c r="Y134" s="142"/>
      <c r="Z134" s="142"/>
      <c r="AA134" s="142"/>
      <c r="AB134" s="142"/>
      <c r="AC134" s="142"/>
      <c r="AD134" s="142"/>
      <c r="AE134" s="142"/>
      <c r="AF134" s="142"/>
      <c r="AG134" s="142"/>
      <c r="AH134" s="142"/>
      <c r="AI134" s="142"/>
      <c r="AJ134" s="144"/>
    </row>
    <row r="135" ht="15.75" customHeight="1">
      <c r="A135" s="141" t="s">
        <v>498</v>
      </c>
      <c r="B135" s="142"/>
      <c r="C135" s="142" t="s">
        <v>1355</v>
      </c>
      <c r="D135" s="142" t="s">
        <v>1356</v>
      </c>
      <c r="E135" s="142" t="s">
        <v>49</v>
      </c>
      <c r="F135" s="142" t="s">
        <v>1357</v>
      </c>
      <c r="G135" s="142" t="s">
        <v>1358</v>
      </c>
      <c r="H135" s="142"/>
      <c r="I135" s="142" t="s">
        <v>151</v>
      </c>
      <c r="J135" s="142" t="s">
        <v>498</v>
      </c>
      <c r="K135" s="142"/>
      <c r="L135" s="142"/>
      <c r="M135" s="142"/>
      <c r="N135" s="142"/>
      <c r="O135" s="142"/>
      <c r="P135" s="142" t="s">
        <v>161</v>
      </c>
      <c r="Q135" s="142" t="s">
        <v>161</v>
      </c>
      <c r="R135" s="142" t="s">
        <v>167</v>
      </c>
      <c r="S135" s="142" t="s">
        <v>189</v>
      </c>
      <c r="T135" s="142"/>
      <c r="U135" s="142"/>
      <c r="V135" s="142"/>
      <c r="W135" s="142"/>
      <c r="X135" s="142"/>
      <c r="Y135" s="142"/>
      <c r="Z135" s="142"/>
      <c r="AA135" s="142"/>
      <c r="AB135" s="142"/>
      <c r="AC135" s="142"/>
      <c r="AD135" s="142"/>
      <c r="AE135" s="142"/>
      <c r="AF135" s="142"/>
      <c r="AG135" s="142"/>
      <c r="AH135" s="142"/>
      <c r="AI135" s="142"/>
      <c r="AJ135" s="144"/>
    </row>
    <row r="136" ht="15.75" customHeight="1">
      <c r="A136" s="141" t="s">
        <v>498</v>
      </c>
      <c r="B136" s="142"/>
      <c r="C136" s="142" t="s">
        <v>1359</v>
      </c>
      <c r="D136" s="142" t="s">
        <v>1360</v>
      </c>
      <c r="E136" s="142" t="s">
        <v>49</v>
      </c>
      <c r="F136" s="142" t="s">
        <v>1361</v>
      </c>
      <c r="G136" s="142" t="s">
        <v>1317</v>
      </c>
      <c r="H136" s="142"/>
      <c r="I136" s="142" t="s">
        <v>151</v>
      </c>
      <c r="J136" s="142" t="s">
        <v>498</v>
      </c>
      <c r="K136" s="142"/>
      <c r="L136" s="142"/>
      <c r="M136" s="142"/>
      <c r="N136" s="142"/>
      <c r="O136" s="142"/>
      <c r="P136" s="142"/>
      <c r="Q136" s="142" t="s">
        <v>310</v>
      </c>
      <c r="R136" s="142"/>
      <c r="S136" s="142" t="s">
        <v>1341</v>
      </c>
      <c r="T136" s="142"/>
      <c r="U136" s="142"/>
      <c r="V136" s="142"/>
      <c r="W136" s="142"/>
      <c r="X136" s="142"/>
      <c r="Y136" s="142"/>
      <c r="Z136" s="142"/>
      <c r="AA136" s="142"/>
      <c r="AB136" s="142"/>
      <c r="AC136" s="142"/>
      <c r="AD136" s="142"/>
      <c r="AE136" s="142"/>
      <c r="AF136" s="142"/>
      <c r="AG136" s="142"/>
      <c r="AH136" s="142"/>
      <c r="AI136" s="142"/>
      <c r="AJ136" s="144"/>
    </row>
    <row r="137" ht="15.75" customHeight="1">
      <c r="A137" s="141" t="s">
        <v>700</v>
      </c>
      <c r="B137" s="142" t="s">
        <v>713</v>
      </c>
      <c r="C137" s="142" t="s">
        <v>1362</v>
      </c>
      <c r="D137" s="142" t="s">
        <v>1363</v>
      </c>
      <c r="E137" s="142" t="s">
        <v>49</v>
      </c>
      <c r="F137" s="142"/>
      <c r="G137" s="142" t="s">
        <v>1364</v>
      </c>
      <c r="H137" s="142"/>
      <c r="I137" s="142" t="s">
        <v>151</v>
      </c>
      <c r="J137" s="142" t="s">
        <v>498</v>
      </c>
      <c r="K137" s="142"/>
      <c r="L137" s="142"/>
      <c r="M137" s="142"/>
      <c r="N137" s="142"/>
      <c r="O137" s="142" t="s">
        <v>1365</v>
      </c>
      <c r="P137" s="142"/>
      <c r="Q137" s="142" t="s">
        <v>161</v>
      </c>
      <c r="R137" s="142"/>
      <c r="S137" s="142"/>
      <c r="T137" s="142"/>
      <c r="U137" s="142"/>
      <c r="V137" s="142"/>
      <c r="W137" s="142"/>
      <c r="X137" s="142"/>
      <c r="Y137" s="142"/>
      <c r="Z137" s="142"/>
      <c r="AA137" s="142"/>
      <c r="AB137" s="142"/>
      <c r="AC137" s="142"/>
      <c r="AD137" s="142"/>
      <c r="AE137" s="142"/>
      <c r="AF137" s="142"/>
      <c r="AG137" s="142"/>
      <c r="AH137" s="142"/>
      <c r="AI137" s="142"/>
      <c r="AJ137" s="144"/>
    </row>
    <row r="138" ht="15.75" customHeight="1">
      <c r="A138" s="141" t="s">
        <v>641</v>
      </c>
      <c r="B138" s="142" t="s">
        <v>713</v>
      </c>
      <c r="C138" s="142" t="s">
        <v>1366</v>
      </c>
      <c r="D138" s="142" t="s">
        <v>1367</v>
      </c>
      <c r="E138" s="142" t="s">
        <v>49</v>
      </c>
      <c r="F138" s="142"/>
      <c r="G138" s="142" t="s">
        <v>1368</v>
      </c>
      <c r="H138" s="142" t="s">
        <v>39</v>
      </c>
      <c r="I138" s="142" t="s">
        <v>51</v>
      </c>
      <c r="J138" s="142"/>
      <c r="K138" s="142" t="s">
        <v>1622</v>
      </c>
      <c r="L138" s="142"/>
      <c r="M138" s="142" t="s">
        <v>49</v>
      </c>
      <c r="N138" s="142"/>
      <c r="O138" s="142" t="s">
        <v>1623</v>
      </c>
      <c r="P138" s="142"/>
      <c r="Q138" s="142" t="s">
        <v>1371</v>
      </c>
      <c r="R138" s="142"/>
      <c r="S138" s="142"/>
      <c r="T138" s="142"/>
      <c r="U138" s="142"/>
      <c r="V138" s="142"/>
      <c r="W138" s="142"/>
      <c r="X138" s="142"/>
      <c r="Y138" s="142"/>
      <c r="Z138" s="142"/>
      <c r="AA138" s="142"/>
      <c r="AB138" s="142"/>
      <c r="AC138" s="142"/>
      <c r="AD138" s="142"/>
      <c r="AE138" s="142"/>
      <c r="AF138" s="142"/>
      <c r="AG138" s="142"/>
      <c r="AH138" s="142"/>
      <c r="AI138" s="142"/>
      <c r="AJ138" s="144"/>
    </row>
    <row r="139" ht="15.75" customHeight="1">
      <c r="A139" s="141" t="s">
        <v>965</v>
      </c>
      <c r="B139" s="142" t="s">
        <v>974</v>
      </c>
      <c r="C139" s="142" t="s">
        <v>1372</v>
      </c>
      <c r="D139" s="142" t="s">
        <v>1373</v>
      </c>
      <c r="E139" s="142" t="s">
        <v>49</v>
      </c>
      <c r="F139" s="142"/>
      <c r="G139" s="142" t="s">
        <v>1374</v>
      </c>
      <c r="H139" s="142"/>
      <c r="I139" s="142" t="s">
        <v>151</v>
      </c>
      <c r="J139" s="142" t="s">
        <v>1375</v>
      </c>
      <c r="K139" s="142" t="s">
        <v>1376</v>
      </c>
      <c r="L139" s="142"/>
      <c r="M139" s="142"/>
      <c r="N139" s="142"/>
      <c r="O139" s="142"/>
      <c r="P139" s="142" t="s">
        <v>609</v>
      </c>
      <c r="Q139" s="142"/>
      <c r="R139" s="142"/>
      <c r="S139" s="142"/>
      <c r="T139" s="142"/>
      <c r="U139" s="142"/>
      <c r="V139" s="142"/>
      <c r="W139" s="142"/>
      <c r="X139" s="142"/>
      <c r="Y139" s="142"/>
      <c r="Z139" s="142"/>
      <c r="AA139" s="142"/>
      <c r="AB139" s="142"/>
      <c r="AC139" s="142"/>
      <c r="AD139" s="142"/>
      <c r="AE139" s="142"/>
      <c r="AF139" s="142"/>
      <c r="AG139" s="142"/>
      <c r="AH139" s="142"/>
      <c r="AI139" s="142"/>
      <c r="AJ139" s="144"/>
    </row>
    <row r="140" ht="15.75" customHeight="1">
      <c r="A140" s="141" t="s">
        <v>965</v>
      </c>
      <c r="B140" s="142" t="s">
        <v>974</v>
      </c>
      <c r="C140" s="142" t="s">
        <v>1377</v>
      </c>
      <c r="D140" s="142" t="s">
        <v>1378</v>
      </c>
      <c r="E140" s="142" t="s">
        <v>49</v>
      </c>
      <c r="F140" s="142"/>
      <c r="G140" s="142" t="s">
        <v>1374</v>
      </c>
      <c r="H140" s="142"/>
      <c r="I140" s="142" t="s">
        <v>151</v>
      </c>
      <c r="J140" s="142" t="s">
        <v>1375</v>
      </c>
      <c r="K140" s="142" t="s">
        <v>1379</v>
      </c>
      <c r="L140" s="142"/>
      <c r="M140" s="142"/>
      <c r="N140" s="142"/>
      <c r="O140" s="142"/>
      <c r="P140" s="142" t="s">
        <v>609</v>
      </c>
      <c r="Q140" s="142"/>
      <c r="R140" s="142"/>
      <c r="S140" s="142"/>
      <c r="T140" s="142"/>
      <c r="U140" s="142"/>
      <c r="V140" s="142"/>
      <c r="W140" s="142"/>
      <c r="X140" s="142"/>
      <c r="Y140" s="142"/>
      <c r="Z140" s="142"/>
      <c r="AA140" s="142"/>
      <c r="AB140" s="142"/>
      <c r="AC140" s="142"/>
      <c r="AD140" s="142"/>
      <c r="AE140" s="142"/>
      <c r="AF140" s="142"/>
      <c r="AG140" s="142"/>
      <c r="AH140" s="142"/>
      <c r="AI140" s="142"/>
      <c r="AJ140" s="144"/>
    </row>
    <row r="141" ht="15.75" customHeight="1">
      <c r="A141" s="141" t="s">
        <v>21</v>
      </c>
      <c r="B141" s="142" t="s">
        <v>1380</v>
      </c>
      <c r="C141" s="142" t="s">
        <v>1381</v>
      </c>
      <c r="D141" s="142" t="s">
        <v>1382</v>
      </c>
      <c r="E141" s="142" t="s">
        <v>49</v>
      </c>
      <c r="F141" s="142"/>
      <c r="G141" s="142" t="s">
        <v>1383</v>
      </c>
      <c r="H141" s="142"/>
      <c r="I141" s="142" t="s">
        <v>51</v>
      </c>
      <c r="J141" s="142" t="s">
        <v>1384</v>
      </c>
      <c r="K141" s="142" t="s">
        <v>1385</v>
      </c>
      <c r="L141" s="142"/>
      <c r="M141" s="142"/>
      <c r="N141" s="142"/>
      <c r="O141" s="142"/>
      <c r="P141" s="142" t="s">
        <v>1386</v>
      </c>
      <c r="Q141" s="142" t="s">
        <v>102</v>
      </c>
      <c r="R141" s="142"/>
      <c r="S141" s="142"/>
      <c r="T141" s="142"/>
      <c r="U141" s="142"/>
      <c r="V141" s="142"/>
      <c r="W141" s="142"/>
      <c r="X141" s="142"/>
      <c r="Y141" s="142"/>
      <c r="Z141" s="142"/>
      <c r="AA141" s="142"/>
      <c r="AB141" s="142"/>
      <c r="AC141" s="142"/>
      <c r="AD141" s="142"/>
      <c r="AE141" s="142"/>
      <c r="AF141" s="142"/>
      <c r="AG141" s="142"/>
      <c r="AH141" s="142"/>
      <c r="AI141" s="142"/>
      <c r="AJ141" s="144"/>
    </row>
    <row r="142" ht="15.75" customHeight="1">
      <c r="A142" s="141" t="s">
        <v>498</v>
      </c>
      <c r="B142" s="142"/>
      <c r="C142" s="142" t="s">
        <v>1387</v>
      </c>
      <c r="D142" s="142" t="s">
        <v>1388</v>
      </c>
      <c r="E142" s="142" t="s">
        <v>49</v>
      </c>
      <c r="F142" s="145" t="s">
        <v>1389</v>
      </c>
      <c r="G142" s="142" t="s">
        <v>1390</v>
      </c>
      <c r="H142" s="142"/>
      <c r="I142" s="142"/>
      <c r="J142" s="142" t="s">
        <v>498</v>
      </c>
      <c r="K142" s="142"/>
      <c r="L142" s="142"/>
      <c r="M142" s="142"/>
      <c r="N142" s="142"/>
      <c r="O142" s="142"/>
      <c r="P142" s="142" t="s">
        <v>960</v>
      </c>
      <c r="Q142" s="142" t="s">
        <v>161</v>
      </c>
      <c r="R142" s="142"/>
      <c r="S142" s="142"/>
      <c r="T142" s="142"/>
      <c r="U142" s="142"/>
      <c r="V142" s="142"/>
      <c r="W142" s="142"/>
      <c r="X142" s="142"/>
      <c r="Y142" s="142"/>
      <c r="Z142" s="142"/>
      <c r="AA142" s="142"/>
      <c r="AB142" s="142"/>
      <c r="AC142" s="142"/>
      <c r="AD142" s="142"/>
      <c r="AE142" s="142"/>
      <c r="AF142" s="142"/>
      <c r="AG142" s="142"/>
      <c r="AH142" s="142"/>
      <c r="AI142" s="142"/>
      <c r="AJ142" s="144"/>
    </row>
    <row r="143" ht="15.75" customHeight="1">
      <c r="A143" s="141" t="s">
        <v>498</v>
      </c>
      <c r="B143" s="142"/>
      <c r="C143" s="142" t="s">
        <v>1391</v>
      </c>
      <c r="D143" s="142" t="s">
        <v>1392</v>
      </c>
      <c r="E143" s="142" t="s">
        <v>49</v>
      </c>
      <c r="F143" s="145" t="s">
        <v>1393</v>
      </c>
      <c r="G143" s="142" t="s">
        <v>1390</v>
      </c>
      <c r="H143" s="142"/>
      <c r="I143" s="142"/>
      <c r="J143" s="142" t="s">
        <v>498</v>
      </c>
      <c r="K143" s="142"/>
      <c r="L143" s="142"/>
      <c r="M143" s="142"/>
      <c r="N143" s="142"/>
      <c r="O143" s="142"/>
      <c r="P143" s="142" t="s">
        <v>960</v>
      </c>
      <c r="Q143" s="142" t="s">
        <v>161</v>
      </c>
      <c r="R143" s="142"/>
      <c r="S143" s="142"/>
      <c r="T143" s="142"/>
      <c r="U143" s="142"/>
      <c r="V143" s="142"/>
      <c r="W143" s="142"/>
      <c r="X143" s="142"/>
      <c r="Y143" s="142"/>
      <c r="Z143" s="142"/>
      <c r="AA143" s="142"/>
      <c r="AB143" s="142"/>
      <c r="AC143" s="142"/>
      <c r="AD143" s="142"/>
      <c r="AE143" s="142"/>
      <c r="AF143" s="142"/>
      <c r="AG143" s="142"/>
      <c r="AH143" s="142"/>
      <c r="AI143" s="142"/>
      <c r="AJ143" s="144"/>
    </row>
    <row r="144" ht="15.75" customHeight="1">
      <c r="A144" s="141" t="s">
        <v>498</v>
      </c>
      <c r="B144" s="142"/>
      <c r="C144" s="142" t="s">
        <v>1394</v>
      </c>
      <c r="D144" s="142" t="s">
        <v>1395</v>
      </c>
      <c r="E144" s="142" t="s">
        <v>49</v>
      </c>
      <c r="F144" s="145" t="s">
        <v>1396</v>
      </c>
      <c r="G144" s="142" t="s">
        <v>1390</v>
      </c>
      <c r="H144" s="142"/>
      <c r="I144" s="142"/>
      <c r="J144" s="142" t="s">
        <v>498</v>
      </c>
      <c r="K144" s="142"/>
      <c r="L144" s="142"/>
      <c r="M144" s="142"/>
      <c r="N144" s="142"/>
      <c r="O144" s="142"/>
      <c r="P144" s="142" t="s">
        <v>960</v>
      </c>
      <c r="Q144" s="142" t="s">
        <v>161</v>
      </c>
      <c r="R144" s="142"/>
      <c r="S144" s="142"/>
      <c r="T144" s="142"/>
      <c r="U144" s="142"/>
      <c r="V144" s="142"/>
      <c r="W144" s="142"/>
      <c r="X144" s="142"/>
      <c r="Y144" s="142"/>
      <c r="Z144" s="142"/>
      <c r="AA144" s="142"/>
      <c r="AB144" s="142"/>
      <c r="AC144" s="142"/>
      <c r="AD144" s="142"/>
      <c r="AE144" s="142"/>
      <c r="AF144" s="142"/>
      <c r="AG144" s="142"/>
      <c r="AH144" s="142"/>
      <c r="AI144" s="142"/>
      <c r="AJ144" s="144"/>
    </row>
    <row r="145" ht="15.75" customHeight="1">
      <c r="A145" s="141" t="s">
        <v>498</v>
      </c>
      <c r="B145" s="142"/>
      <c r="C145" s="142" t="s">
        <v>1397</v>
      </c>
      <c r="D145" s="142" t="s">
        <v>1398</v>
      </c>
      <c r="E145" s="142" t="s">
        <v>49</v>
      </c>
      <c r="F145" s="145" t="s">
        <v>1399</v>
      </c>
      <c r="G145" s="142" t="s">
        <v>1390</v>
      </c>
      <c r="H145" s="142"/>
      <c r="I145" s="142"/>
      <c r="J145" s="142" t="s">
        <v>498</v>
      </c>
      <c r="K145" s="142"/>
      <c r="L145" s="142"/>
      <c r="M145" s="142"/>
      <c r="N145" s="142"/>
      <c r="O145" s="142"/>
      <c r="P145" s="142" t="s">
        <v>960</v>
      </c>
      <c r="Q145" s="142" t="s">
        <v>161</v>
      </c>
      <c r="R145" s="142"/>
      <c r="S145" s="142"/>
      <c r="T145" s="142"/>
      <c r="U145" s="142"/>
      <c r="V145" s="142"/>
      <c r="W145" s="142"/>
      <c r="X145" s="142"/>
      <c r="Y145" s="142"/>
      <c r="Z145" s="142"/>
      <c r="AA145" s="142"/>
      <c r="AB145" s="142"/>
      <c r="AC145" s="142"/>
      <c r="AD145" s="142"/>
      <c r="AE145" s="142"/>
      <c r="AF145" s="142"/>
      <c r="AG145" s="142"/>
      <c r="AH145" s="142"/>
      <c r="AI145" s="142"/>
      <c r="AJ145" s="144"/>
    </row>
    <row r="146" ht="15.75" customHeight="1">
      <c r="A146" s="141" t="s">
        <v>498</v>
      </c>
      <c r="B146" s="142"/>
      <c r="C146" s="142" t="s">
        <v>1400</v>
      </c>
      <c r="D146" s="142" t="s">
        <v>1401</v>
      </c>
      <c r="E146" s="142" t="s">
        <v>49</v>
      </c>
      <c r="F146" s="145" t="s">
        <v>1402</v>
      </c>
      <c r="G146" s="142" t="s">
        <v>1390</v>
      </c>
      <c r="H146" s="142"/>
      <c r="I146" s="142"/>
      <c r="J146" s="142" t="s">
        <v>498</v>
      </c>
      <c r="K146" s="142"/>
      <c r="L146" s="142"/>
      <c r="M146" s="142"/>
      <c r="N146" s="142"/>
      <c r="O146" s="142"/>
      <c r="P146" s="142" t="s">
        <v>960</v>
      </c>
      <c r="Q146" s="142" t="s">
        <v>161</v>
      </c>
      <c r="R146" s="142"/>
      <c r="S146" s="142"/>
      <c r="T146" s="142"/>
      <c r="U146" s="142"/>
      <c r="V146" s="142"/>
      <c r="W146" s="142"/>
      <c r="X146" s="142"/>
      <c r="Y146" s="142"/>
      <c r="Z146" s="142"/>
      <c r="AA146" s="142"/>
      <c r="AB146" s="142"/>
      <c r="AC146" s="142"/>
      <c r="AD146" s="142"/>
      <c r="AE146" s="142"/>
      <c r="AF146" s="142"/>
      <c r="AG146" s="142"/>
      <c r="AH146" s="142"/>
      <c r="AI146" s="142"/>
      <c r="AJ146" s="144"/>
    </row>
    <row r="147" ht="15.75" customHeight="1">
      <c r="A147" s="141" t="s">
        <v>498</v>
      </c>
      <c r="B147" s="142"/>
      <c r="C147" s="142" t="s">
        <v>1403</v>
      </c>
      <c r="D147" s="142" t="s">
        <v>1404</v>
      </c>
      <c r="E147" s="142" t="s">
        <v>49</v>
      </c>
      <c r="F147" s="145" t="s">
        <v>1405</v>
      </c>
      <c r="G147" s="142" t="s">
        <v>1390</v>
      </c>
      <c r="H147" s="142"/>
      <c r="I147" s="142"/>
      <c r="J147" s="142" t="s">
        <v>498</v>
      </c>
      <c r="K147" s="142"/>
      <c r="L147" s="142"/>
      <c r="M147" s="142"/>
      <c r="N147" s="142"/>
      <c r="O147" s="142"/>
      <c r="P147" s="142" t="s">
        <v>960</v>
      </c>
      <c r="Q147" s="142" t="s">
        <v>161</v>
      </c>
      <c r="R147" s="142"/>
      <c r="S147" s="142"/>
      <c r="T147" s="142"/>
      <c r="U147" s="142"/>
      <c r="V147" s="142"/>
      <c r="W147" s="142"/>
      <c r="X147" s="142"/>
      <c r="Y147" s="142"/>
      <c r="Z147" s="142"/>
      <c r="AA147" s="142"/>
      <c r="AB147" s="142"/>
      <c r="AC147" s="142"/>
      <c r="AD147" s="142"/>
      <c r="AE147" s="142"/>
      <c r="AF147" s="142"/>
      <c r="AG147" s="142"/>
      <c r="AH147" s="142"/>
      <c r="AI147" s="142"/>
      <c r="AJ147" s="144"/>
    </row>
    <row r="148" ht="15.75" customHeight="1">
      <c r="A148" s="141" t="s">
        <v>498</v>
      </c>
      <c r="B148" s="142"/>
      <c r="C148" s="142" t="s">
        <v>1406</v>
      </c>
      <c r="D148" s="142" t="s">
        <v>1407</v>
      </c>
      <c r="E148" s="142" t="s">
        <v>49</v>
      </c>
      <c r="F148" s="145" t="s">
        <v>1408</v>
      </c>
      <c r="G148" s="142" t="s">
        <v>1390</v>
      </c>
      <c r="H148" s="142"/>
      <c r="I148" s="142"/>
      <c r="J148" s="142" t="s">
        <v>498</v>
      </c>
      <c r="K148" s="142"/>
      <c r="L148" s="142"/>
      <c r="M148" s="142"/>
      <c r="N148" s="142"/>
      <c r="O148" s="142"/>
      <c r="P148" s="142" t="s">
        <v>960</v>
      </c>
      <c r="Q148" s="142" t="s">
        <v>161</v>
      </c>
      <c r="R148" s="142"/>
      <c r="S148" s="142"/>
      <c r="T148" s="142"/>
      <c r="U148" s="142"/>
      <c r="V148" s="142"/>
      <c r="W148" s="142"/>
      <c r="X148" s="142"/>
      <c r="Y148" s="142"/>
      <c r="Z148" s="142"/>
      <c r="AA148" s="142"/>
      <c r="AB148" s="142"/>
      <c r="AC148" s="142"/>
      <c r="AD148" s="142"/>
      <c r="AE148" s="142"/>
      <c r="AF148" s="142"/>
      <c r="AG148" s="142"/>
      <c r="AH148" s="142"/>
      <c r="AI148" s="142"/>
      <c r="AJ148" s="144"/>
    </row>
    <row r="149" ht="15.75" customHeight="1">
      <c r="A149" s="141" t="s">
        <v>498</v>
      </c>
      <c r="B149" s="142"/>
      <c r="C149" s="142" t="s">
        <v>1409</v>
      </c>
      <c r="D149" s="142" t="s">
        <v>1410</v>
      </c>
      <c r="E149" s="142" t="s">
        <v>49</v>
      </c>
      <c r="F149" s="145" t="s">
        <v>1411</v>
      </c>
      <c r="G149" s="142" t="s">
        <v>1390</v>
      </c>
      <c r="H149" s="142"/>
      <c r="I149" s="142"/>
      <c r="J149" s="142" t="s">
        <v>498</v>
      </c>
      <c r="K149" s="142"/>
      <c r="L149" s="142"/>
      <c r="M149" s="142"/>
      <c r="N149" s="142"/>
      <c r="O149" s="142"/>
      <c r="P149" s="142" t="s">
        <v>960</v>
      </c>
      <c r="Q149" s="142" t="s">
        <v>161</v>
      </c>
      <c r="R149" s="142"/>
      <c r="S149" s="142"/>
      <c r="T149" s="142"/>
      <c r="U149" s="142"/>
      <c r="V149" s="142"/>
      <c r="W149" s="142"/>
      <c r="X149" s="142"/>
      <c r="Y149" s="142"/>
      <c r="Z149" s="142"/>
      <c r="AA149" s="142"/>
      <c r="AB149" s="142"/>
      <c r="AC149" s="142"/>
      <c r="AD149" s="142"/>
      <c r="AE149" s="142"/>
      <c r="AF149" s="142"/>
      <c r="AG149" s="142"/>
      <c r="AH149" s="142"/>
      <c r="AI149" s="142"/>
      <c r="AJ149" s="144"/>
    </row>
    <row r="150" ht="15.75" customHeight="1">
      <c r="A150" s="141" t="s">
        <v>498</v>
      </c>
      <c r="B150" s="142"/>
      <c r="C150" s="142" t="s">
        <v>1412</v>
      </c>
      <c r="D150" s="142" t="s">
        <v>1413</v>
      </c>
      <c r="E150" s="142" t="s">
        <v>49</v>
      </c>
      <c r="F150" s="145" t="s">
        <v>1414</v>
      </c>
      <c r="G150" s="142" t="s">
        <v>1390</v>
      </c>
      <c r="H150" s="142"/>
      <c r="I150" s="142"/>
      <c r="J150" s="142" t="s">
        <v>498</v>
      </c>
      <c r="K150" s="142"/>
      <c r="L150" s="142"/>
      <c r="M150" s="142"/>
      <c r="N150" s="142"/>
      <c r="O150" s="142"/>
      <c r="P150" s="142" t="s">
        <v>960</v>
      </c>
      <c r="Q150" s="142" t="s">
        <v>161</v>
      </c>
      <c r="R150" s="142"/>
      <c r="S150" s="142"/>
      <c r="T150" s="142"/>
      <c r="U150" s="142"/>
      <c r="V150" s="142"/>
      <c r="W150" s="142"/>
      <c r="X150" s="142"/>
      <c r="Y150" s="142"/>
      <c r="Z150" s="142"/>
      <c r="AA150" s="142"/>
      <c r="AB150" s="142"/>
      <c r="AC150" s="142"/>
      <c r="AD150" s="142"/>
      <c r="AE150" s="142"/>
      <c r="AF150" s="142"/>
      <c r="AG150" s="142"/>
      <c r="AH150" s="142"/>
      <c r="AI150" s="142"/>
      <c r="AJ150" s="144"/>
    </row>
    <row r="151" ht="15.75" customHeight="1">
      <c r="A151" s="141" t="s">
        <v>498</v>
      </c>
      <c r="B151" s="142"/>
      <c r="C151" s="142" t="s">
        <v>1415</v>
      </c>
      <c r="D151" s="142" t="s">
        <v>1416</v>
      </c>
      <c r="E151" s="142" t="s">
        <v>49</v>
      </c>
      <c r="F151" s="145" t="s">
        <v>1417</v>
      </c>
      <c r="G151" s="142" t="s">
        <v>1390</v>
      </c>
      <c r="H151" s="142"/>
      <c r="I151" s="142"/>
      <c r="J151" s="142" t="s">
        <v>498</v>
      </c>
      <c r="K151" s="142"/>
      <c r="L151" s="142"/>
      <c r="M151" s="142"/>
      <c r="N151" s="142"/>
      <c r="O151" s="142"/>
      <c r="P151" s="142" t="s">
        <v>960</v>
      </c>
      <c r="Q151" s="142" t="s">
        <v>161</v>
      </c>
      <c r="R151" s="142"/>
      <c r="S151" s="142"/>
      <c r="T151" s="142"/>
      <c r="U151" s="142"/>
      <c r="V151" s="142"/>
      <c r="W151" s="142"/>
      <c r="X151" s="142"/>
      <c r="Y151" s="142"/>
      <c r="Z151" s="142"/>
      <c r="AA151" s="142"/>
      <c r="AB151" s="142"/>
      <c r="AC151" s="142"/>
      <c r="AD151" s="142"/>
      <c r="AE151" s="142"/>
      <c r="AF151" s="142"/>
      <c r="AG151" s="142"/>
      <c r="AH151" s="142"/>
      <c r="AI151" s="142"/>
      <c r="AJ151" s="144"/>
    </row>
    <row r="152" ht="15.75" customHeight="1">
      <c r="A152" s="141" t="s">
        <v>498</v>
      </c>
      <c r="B152" s="142"/>
      <c r="C152" s="142" t="s">
        <v>1418</v>
      </c>
      <c r="D152" s="142" t="s">
        <v>1419</v>
      </c>
      <c r="E152" s="142" t="s">
        <v>49</v>
      </c>
      <c r="F152" s="145" t="s">
        <v>1420</v>
      </c>
      <c r="G152" s="142" t="s">
        <v>1390</v>
      </c>
      <c r="H152" s="142"/>
      <c r="I152" s="142"/>
      <c r="J152" s="142" t="s">
        <v>498</v>
      </c>
      <c r="K152" s="142"/>
      <c r="L152" s="142"/>
      <c r="M152" s="142"/>
      <c r="N152" s="142"/>
      <c r="O152" s="142"/>
      <c r="P152" s="142" t="s">
        <v>960</v>
      </c>
      <c r="Q152" s="142" t="s">
        <v>161</v>
      </c>
      <c r="R152" s="142"/>
      <c r="S152" s="142"/>
      <c r="T152" s="142"/>
      <c r="U152" s="142"/>
      <c r="V152" s="142"/>
      <c r="W152" s="142"/>
      <c r="X152" s="142"/>
      <c r="Y152" s="142"/>
      <c r="Z152" s="142"/>
      <c r="AA152" s="142"/>
      <c r="AB152" s="142"/>
      <c r="AC152" s="142"/>
      <c r="AD152" s="142"/>
      <c r="AE152" s="142"/>
      <c r="AF152" s="142"/>
      <c r="AG152" s="142"/>
      <c r="AH152" s="142"/>
      <c r="AI152" s="142"/>
      <c r="AJ152" s="144"/>
    </row>
    <row r="153" ht="15.75" customHeight="1">
      <c r="A153" s="141" t="s">
        <v>498</v>
      </c>
      <c r="B153" s="142"/>
      <c r="C153" s="142" t="s">
        <v>1421</v>
      </c>
      <c r="D153" s="142" t="s">
        <v>1422</v>
      </c>
      <c r="E153" s="142" t="s">
        <v>49</v>
      </c>
      <c r="F153" s="145" t="s">
        <v>1423</v>
      </c>
      <c r="G153" s="142" t="s">
        <v>1390</v>
      </c>
      <c r="H153" s="142"/>
      <c r="I153" s="142"/>
      <c r="J153" s="142" t="s">
        <v>498</v>
      </c>
      <c r="K153" s="142"/>
      <c r="L153" s="142"/>
      <c r="M153" s="142"/>
      <c r="N153" s="142"/>
      <c r="O153" s="142"/>
      <c r="P153" s="142" t="s">
        <v>960</v>
      </c>
      <c r="Q153" s="142" t="s">
        <v>161</v>
      </c>
      <c r="R153" s="142"/>
      <c r="S153" s="142"/>
      <c r="T153" s="142"/>
      <c r="U153" s="142"/>
      <c r="V153" s="142"/>
      <c r="W153" s="142"/>
      <c r="X153" s="142"/>
      <c r="Y153" s="142"/>
      <c r="Z153" s="142"/>
      <c r="AA153" s="142"/>
      <c r="AB153" s="142"/>
      <c r="AC153" s="142"/>
      <c r="AD153" s="142"/>
      <c r="AE153" s="142"/>
      <c r="AF153" s="142"/>
      <c r="AG153" s="142"/>
      <c r="AH153" s="142"/>
      <c r="AI153" s="142"/>
      <c r="AJ153" s="144"/>
    </row>
    <row r="154" ht="15.75" customHeight="1">
      <c r="A154" s="141" t="s">
        <v>641</v>
      </c>
      <c r="B154" s="142" t="s">
        <v>1433</v>
      </c>
      <c r="C154" s="142" t="s">
        <v>1434</v>
      </c>
      <c r="D154" s="142" t="s">
        <v>1435</v>
      </c>
      <c r="E154" s="142" t="s">
        <v>49</v>
      </c>
      <c r="F154" s="142"/>
      <c r="G154" s="142" t="s">
        <v>1436</v>
      </c>
      <c r="H154" s="142"/>
      <c r="I154" s="142"/>
      <c r="J154" s="142"/>
      <c r="K154" s="142" t="s">
        <v>1437</v>
      </c>
      <c r="L154" s="142"/>
      <c r="M154" s="142"/>
      <c r="N154" s="142"/>
      <c r="O154" s="142"/>
      <c r="P154" s="142"/>
      <c r="Q154" s="142" t="s">
        <v>1438</v>
      </c>
      <c r="R154" s="142"/>
      <c r="S154" s="142"/>
      <c r="T154" s="142"/>
      <c r="U154" s="142"/>
      <c r="V154" s="142"/>
      <c r="W154" s="142"/>
      <c r="X154" s="142"/>
      <c r="Y154" s="142"/>
      <c r="Z154" s="142"/>
      <c r="AA154" s="142"/>
      <c r="AB154" s="142"/>
      <c r="AC154" s="142"/>
      <c r="AD154" s="142"/>
      <c r="AE154" s="142"/>
      <c r="AF154" s="142"/>
      <c r="AG154" s="142"/>
      <c r="AH154" s="142"/>
      <c r="AI154" s="142"/>
      <c r="AJ154" s="144"/>
    </row>
    <row r="155" ht="15.75" customHeight="1">
      <c r="A155" s="141" t="s">
        <v>641</v>
      </c>
      <c r="B155" s="142" t="s">
        <v>1433</v>
      </c>
      <c r="C155" s="142" t="s">
        <v>1439</v>
      </c>
      <c r="D155" s="142" t="s">
        <v>1440</v>
      </c>
      <c r="E155" s="142" t="s">
        <v>49</v>
      </c>
      <c r="F155" s="142"/>
      <c r="G155" s="142" t="s">
        <v>1436</v>
      </c>
      <c r="H155" s="142"/>
      <c r="I155" s="142"/>
      <c r="J155" s="142"/>
      <c r="K155" s="142" t="s">
        <v>1437</v>
      </c>
      <c r="L155" s="142"/>
      <c r="M155" s="142"/>
      <c r="N155" s="142"/>
      <c r="O155" s="142"/>
      <c r="P155" s="142"/>
      <c r="Q155" s="142" t="s">
        <v>1438</v>
      </c>
      <c r="R155" s="142"/>
      <c r="S155" s="142"/>
      <c r="T155" s="142"/>
      <c r="U155" s="142"/>
      <c r="V155" s="142"/>
      <c r="W155" s="142"/>
      <c r="X155" s="142"/>
      <c r="Y155" s="142"/>
      <c r="Z155" s="142"/>
      <c r="AA155" s="142"/>
      <c r="AB155" s="142"/>
      <c r="AC155" s="142"/>
      <c r="AD155" s="142"/>
      <c r="AE155" s="142"/>
      <c r="AF155" s="142"/>
      <c r="AG155" s="142"/>
      <c r="AH155" s="142"/>
      <c r="AI155" s="142"/>
      <c r="AJ155" s="144"/>
    </row>
    <row r="156" ht="15.75" customHeight="1">
      <c r="A156" s="141" t="s">
        <v>250</v>
      </c>
      <c r="B156" s="142" t="s">
        <v>251</v>
      </c>
      <c r="C156" s="142" t="s">
        <v>1441</v>
      </c>
      <c r="D156" s="142" t="s">
        <v>1442</v>
      </c>
      <c r="E156" s="142" t="s">
        <v>49</v>
      </c>
      <c r="F156" s="142" t="s">
        <v>1443</v>
      </c>
      <c r="G156" s="142" t="s">
        <v>1444</v>
      </c>
      <c r="H156" s="142"/>
      <c r="I156" s="142" t="s">
        <v>151</v>
      </c>
      <c r="J156" s="142"/>
      <c r="K156" s="142"/>
      <c r="L156" s="142"/>
      <c r="M156" s="142"/>
      <c r="N156" s="142"/>
      <c r="O156" s="142"/>
      <c r="P156" s="142"/>
      <c r="Q156" s="142" t="s">
        <v>1445</v>
      </c>
      <c r="R156" s="142"/>
      <c r="S156" s="142"/>
      <c r="T156" s="142"/>
      <c r="U156" s="142"/>
      <c r="V156" s="142"/>
      <c r="W156" s="142"/>
      <c r="X156" s="142"/>
      <c r="Y156" s="142"/>
      <c r="Z156" s="142"/>
      <c r="AA156" s="142"/>
      <c r="AB156" s="142"/>
      <c r="AC156" s="142"/>
      <c r="AD156" s="142"/>
      <c r="AE156" s="142"/>
      <c r="AF156" s="142"/>
      <c r="AG156" s="142"/>
      <c r="AH156" s="142"/>
      <c r="AI156" s="142"/>
      <c r="AJ156" s="144"/>
    </row>
    <row r="157" ht="15.75" customHeight="1">
      <c r="A157" s="141" t="s">
        <v>250</v>
      </c>
      <c r="B157" s="142" t="s">
        <v>263</v>
      </c>
      <c r="C157" s="142" t="s">
        <v>1446</v>
      </c>
      <c r="D157" s="142" t="s">
        <v>1447</v>
      </c>
      <c r="E157" s="142" t="s">
        <v>49</v>
      </c>
      <c r="F157" s="142" t="s">
        <v>315</v>
      </c>
      <c r="G157" s="142" t="s">
        <v>316</v>
      </c>
      <c r="H157" s="142" t="s">
        <v>39</v>
      </c>
      <c r="I157" s="142" t="s">
        <v>151</v>
      </c>
      <c r="J157" s="142" t="s">
        <v>317</v>
      </c>
      <c r="K157" s="142"/>
      <c r="L157" s="142"/>
      <c r="M157" s="142"/>
      <c r="N157" s="142"/>
      <c r="O157" s="142"/>
      <c r="P157" s="142" t="s">
        <v>318</v>
      </c>
      <c r="Q157" s="142" t="s">
        <v>323</v>
      </c>
      <c r="R157" s="142"/>
      <c r="S157" s="142"/>
      <c r="T157" s="142"/>
      <c r="U157" s="142"/>
      <c r="V157" s="142"/>
      <c r="W157" s="142"/>
      <c r="X157" s="142"/>
      <c r="Y157" s="142"/>
      <c r="Z157" s="142"/>
      <c r="AA157" s="142"/>
      <c r="AB157" s="142"/>
      <c r="AC157" s="142"/>
      <c r="AD157" s="142"/>
      <c r="AE157" s="142"/>
      <c r="AF157" s="142"/>
      <c r="AG157" s="142"/>
      <c r="AH157" s="142"/>
      <c r="AI157" s="142"/>
      <c r="AJ157" s="144"/>
    </row>
    <row r="158" ht="15.75" customHeight="1">
      <c r="A158" s="141" t="s">
        <v>965</v>
      </c>
      <c r="B158" s="142" t="s">
        <v>1474</v>
      </c>
      <c r="C158" s="142" t="s">
        <v>1475</v>
      </c>
      <c r="D158" s="142" t="s">
        <v>1476</v>
      </c>
      <c r="E158" s="142" t="s">
        <v>49</v>
      </c>
      <c r="F158" s="142"/>
      <c r="G158" s="142" t="s">
        <v>1071</v>
      </c>
      <c r="H158" s="142" t="s">
        <v>51</v>
      </c>
      <c r="I158" s="142" t="s">
        <v>151</v>
      </c>
      <c r="J158" s="142" t="s">
        <v>1477</v>
      </c>
      <c r="K158" s="142" t="s">
        <v>1478</v>
      </c>
      <c r="L158" s="142" t="s">
        <v>1479</v>
      </c>
      <c r="M158" s="142" t="s">
        <v>49</v>
      </c>
      <c r="N158" s="142"/>
      <c r="O158" s="142"/>
      <c r="P158" s="142" t="s">
        <v>323</v>
      </c>
      <c r="Q158" s="142"/>
      <c r="R158" s="142"/>
      <c r="S158" s="142"/>
      <c r="T158" s="142"/>
      <c r="U158" s="142"/>
      <c r="V158" s="142"/>
      <c r="W158" s="142"/>
      <c r="X158" s="142"/>
      <c r="Y158" s="142"/>
      <c r="Z158" s="142"/>
      <c r="AA158" s="142"/>
      <c r="AB158" s="142"/>
      <c r="AC158" s="142"/>
      <c r="AD158" s="142"/>
      <c r="AE158" s="142"/>
      <c r="AF158" s="142"/>
      <c r="AG158" s="142"/>
      <c r="AH158" s="142"/>
      <c r="AI158" s="142"/>
      <c r="AJ158" s="144"/>
    </row>
    <row r="159" ht="15.75" customHeight="1">
      <c r="A159" s="141" t="s">
        <v>965</v>
      </c>
      <c r="B159" s="142" t="s">
        <v>1474</v>
      </c>
      <c r="C159" s="142" t="s">
        <v>162</v>
      </c>
      <c r="D159" s="142" t="s">
        <v>1480</v>
      </c>
      <c r="E159" s="142" t="s">
        <v>49</v>
      </c>
      <c r="F159" s="142"/>
      <c r="G159" s="142" t="s">
        <v>1071</v>
      </c>
      <c r="H159" s="142" t="s">
        <v>39</v>
      </c>
      <c r="I159" s="142" t="s">
        <v>51</v>
      </c>
      <c r="J159" s="142" t="s">
        <v>1481</v>
      </c>
      <c r="K159" s="142" t="s">
        <v>1482</v>
      </c>
      <c r="L159" s="142" t="s">
        <v>1483</v>
      </c>
      <c r="M159" s="142" t="s">
        <v>49</v>
      </c>
      <c r="N159" s="142"/>
      <c r="O159" s="142"/>
      <c r="P159" s="142" t="s">
        <v>166</v>
      </c>
      <c r="Q159" s="142" t="s">
        <v>1484</v>
      </c>
      <c r="R159" s="142" t="s">
        <v>1485</v>
      </c>
      <c r="S159" s="142"/>
      <c r="T159" s="142"/>
      <c r="U159" s="142"/>
      <c r="V159" s="142"/>
      <c r="W159" s="142"/>
      <c r="X159" s="142"/>
      <c r="Y159" s="142"/>
      <c r="Z159" s="142"/>
      <c r="AA159" s="142"/>
      <c r="AB159" s="142"/>
      <c r="AC159" s="142"/>
      <c r="AD159" s="142"/>
      <c r="AE159" s="142"/>
      <c r="AF159" s="142"/>
      <c r="AG159" s="142"/>
      <c r="AH159" s="142"/>
      <c r="AI159" s="142"/>
      <c r="AJ159" s="144"/>
    </row>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O5"/>
    <hyperlink r:id="rId2" ref="Q39"/>
    <hyperlink r:id="rId3" ref="O76"/>
    <hyperlink r:id="rId4" ref="F92"/>
    <hyperlink r:id="rId5" ref="F93"/>
    <hyperlink r:id="rId6" ref="F94"/>
    <hyperlink r:id="rId7" ref="F95"/>
    <hyperlink r:id="rId8" ref="O115"/>
    <hyperlink r:id="rId9" ref="F142"/>
    <hyperlink r:id="rId10" ref="F143"/>
    <hyperlink r:id="rId11" ref="F144"/>
    <hyperlink r:id="rId12" ref="F145"/>
    <hyperlink r:id="rId13" ref="F146"/>
    <hyperlink r:id="rId14" ref="F147"/>
    <hyperlink r:id="rId15" ref="F148"/>
    <hyperlink r:id="rId16" ref="F149"/>
    <hyperlink r:id="rId17" ref="F150"/>
    <hyperlink r:id="rId18" ref="F151"/>
    <hyperlink r:id="rId19" ref="F152"/>
    <hyperlink r:id="rId20" ref="F153"/>
  </hyperlinks>
  <drawing r:id="rId21"/>
  <tableParts count="1">
    <tablePart r:id="rId2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5"/>
    <col customWidth="1" min="2" max="2" width="12.63"/>
    <col customWidth="1" min="3" max="3" width="36.38"/>
    <col customWidth="1" min="4" max="4" width="32.88"/>
    <col customWidth="1" min="5" max="5" width="23.63"/>
    <col customWidth="1" min="6" max="6" width="13.25"/>
    <col customWidth="1" min="7" max="7" width="20.0"/>
    <col customWidth="1" min="8" max="8" width="17.38"/>
    <col customWidth="1" min="9" max="9" width="21.25"/>
    <col customWidth="1" min="10" max="10" width="15.88"/>
    <col customWidth="1" min="11" max="11" width="29.0"/>
    <col customWidth="1" min="12" max="12" width="74.0"/>
    <col customWidth="1" min="13" max="13" width="18.75"/>
    <col customWidth="1" min="14" max="14" width="17.0"/>
    <col customWidth="1" min="15" max="15" width="30.0"/>
    <col customWidth="1" min="16" max="16" width="20.0"/>
    <col customWidth="1" min="17" max="17" width="20.75"/>
    <col customWidth="1" min="18" max="18" width="23.5"/>
    <col customWidth="1" min="19" max="19" width="23.13"/>
  </cols>
  <sheetData>
    <row r="1" ht="15.75" customHeight="1">
      <c r="A1" s="148" t="s">
        <v>0</v>
      </c>
      <c r="B1" s="148" t="s">
        <v>1</v>
      </c>
      <c r="C1" s="148" t="s">
        <v>2</v>
      </c>
      <c r="D1" s="149" t="s">
        <v>3</v>
      </c>
      <c r="E1" s="148" t="s">
        <v>4</v>
      </c>
      <c r="F1" s="148" t="s">
        <v>5</v>
      </c>
      <c r="G1" s="148" t="s">
        <v>6</v>
      </c>
      <c r="H1" s="148" t="s">
        <v>7</v>
      </c>
      <c r="I1" s="148" t="s">
        <v>8</v>
      </c>
      <c r="J1" s="148" t="s">
        <v>9</v>
      </c>
      <c r="K1" s="148" t="s">
        <v>10</v>
      </c>
      <c r="L1" s="150" t="s">
        <v>11</v>
      </c>
      <c r="M1" s="148" t="s">
        <v>12</v>
      </c>
      <c r="N1" s="148" t="s">
        <v>13</v>
      </c>
      <c r="O1" s="148" t="s">
        <v>14</v>
      </c>
      <c r="P1" s="148" t="s">
        <v>15</v>
      </c>
      <c r="Q1" s="148" t="s">
        <v>16</v>
      </c>
      <c r="R1" s="151" t="s">
        <v>17</v>
      </c>
      <c r="S1" s="152" t="s">
        <v>18</v>
      </c>
      <c r="T1" s="153" t="s">
        <v>19</v>
      </c>
      <c r="U1" s="154"/>
      <c r="V1" s="154"/>
      <c r="W1" s="154"/>
      <c r="X1" s="154"/>
      <c r="Y1" s="154"/>
      <c r="Z1" s="154"/>
      <c r="AA1" s="154"/>
      <c r="AB1" s="154"/>
      <c r="AC1" s="154"/>
      <c r="AD1" s="154"/>
      <c r="AE1" s="154"/>
      <c r="AF1" s="154"/>
      <c r="AG1" s="154"/>
      <c r="AH1" s="154"/>
      <c r="AI1" s="154"/>
      <c r="AJ1" s="154"/>
    </row>
    <row r="2" ht="15.75" customHeight="1">
      <c r="A2" s="150" t="s">
        <v>250</v>
      </c>
      <c r="B2" s="150"/>
      <c r="C2" s="155" t="s">
        <v>1624</v>
      </c>
      <c r="D2" s="156"/>
      <c r="E2" s="150" t="s">
        <v>1625</v>
      </c>
      <c r="F2" s="150"/>
      <c r="G2" s="150"/>
      <c r="H2" s="150"/>
      <c r="I2" s="150" t="s">
        <v>151</v>
      </c>
      <c r="J2" s="150"/>
      <c r="K2" s="155"/>
      <c r="L2" s="150"/>
      <c r="M2" s="150"/>
      <c r="N2" s="150"/>
      <c r="O2" s="155"/>
      <c r="P2" s="150"/>
      <c r="Q2" s="150" t="s">
        <v>323</v>
      </c>
      <c r="R2" s="156"/>
      <c r="S2" s="156"/>
      <c r="T2" s="150"/>
      <c r="U2" s="156"/>
      <c r="V2" s="156"/>
      <c r="W2" s="156"/>
      <c r="X2" s="156"/>
      <c r="Y2" s="156"/>
      <c r="Z2" s="156"/>
      <c r="AA2" s="156"/>
      <c r="AB2" s="156"/>
      <c r="AC2" s="156"/>
      <c r="AD2" s="156"/>
      <c r="AE2" s="156"/>
      <c r="AF2" s="156"/>
      <c r="AG2" s="156"/>
      <c r="AH2" s="156"/>
      <c r="AI2" s="156"/>
      <c r="AJ2" s="156"/>
    </row>
    <row r="3" ht="15.75" customHeight="1">
      <c r="A3" s="157" t="s">
        <v>398</v>
      </c>
      <c r="B3" s="157" t="s">
        <v>399</v>
      </c>
      <c r="C3" s="158" t="s">
        <v>1626</v>
      </c>
      <c r="D3" s="159" t="s">
        <v>1627</v>
      </c>
      <c r="E3" s="160" t="s">
        <v>1625</v>
      </c>
      <c r="F3" s="161"/>
      <c r="G3" s="162" t="s">
        <v>427</v>
      </c>
      <c r="H3" s="163"/>
      <c r="I3" s="164" t="s">
        <v>27</v>
      </c>
      <c r="J3" s="165" t="s">
        <v>28</v>
      </c>
      <c r="K3" s="166"/>
      <c r="L3" s="167"/>
      <c r="M3" s="161"/>
      <c r="N3" s="161"/>
      <c r="O3" s="168" t="s">
        <v>1628</v>
      </c>
      <c r="P3" s="161"/>
      <c r="Q3" s="161"/>
      <c r="R3" s="161"/>
      <c r="S3" s="161"/>
      <c r="T3" s="161"/>
      <c r="U3" s="161"/>
      <c r="V3" s="161"/>
      <c r="W3" s="161"/>
      <c r="X3" s="161"/>
      <c r="Y3" s="161"/>
      <c r="Z3" s="161"/>
      <c r="AA3" s="161"/>
      <c r="AB3" s="161"/>
      <c r="AC3" s="161"/>
      <c r="AD3" s="161"/>
      <c r="AE3" s="161"/>
      <c r="AF3" s="161"/>
      <c r="AG3" s="161"/>
      <c r="AH3" s="161"/>
      <c r="AI3" s="161"/>
      <c r="AJ3" s="169"/>
    </row>
    <row r="4" ht="15.75" customHeight="1">
      <c r="A4" s="150" t="s">
        <v>398</v>
      </c>
      <c r="B4" s="150" t="s">
        <v>399</v>
      </c>
      <c r="C4" s="155" t="s">
        <v>1629</v>
      </c>
      <c r="D4" s="155" t="s">
        <v>1630</v>
      </c>
      <c r="E4" s="150" t="s">
        <v>1625</v>
      </c>
      <c r="F4" s="150"/>
      <c r="G4" s="150" t="s">
        <v>427</v>
      </c>
      <c r="H4" s="150"/>
      <c r="I4" s="150" t="s">
        <v>51</v>
      </c>
      <c r="J4" s="150" t="s">
        <v>465</v>
      </c>
      <c r="K4" s="155" t="s">
        <v>1631</v>
      </c>
      <c r="L4" s="150"/>
      <c r="M4" s="150"/>
      <c r="N4" s="150" t="s">
        <v>1632</v>
      </c>
      <c r="O4" s="170" t="s">
        <v>1633</v>
      </c>
      <c r="P4" s="150"/>
      <c r="Q4" s="171" t="s">
        <v>231</v>
      </c>
      <c r="R4" s="150"/>
      <c r="S4" s="150"/>
      <c r="T4" s="150"/>
      <c r="U4" s="150"/>
      <c r="V4" s="150"/>
      <c r="W4" s="150"/>
      <c r="X4" s="150"/>
      <c r="Y4" s="150"/>
      <c r="Z4" s="150"/>
      <c r="AA4" s="150"/>
      <c r="AB4" s="150"/>
      <c r="AC4" s="150"/>
      <c r="AD4" s="150"/>
      <c r="AE4" s="150"/>
      <c r="AF4" s="150"/>
      <c r="AG4" s="150"/>
      <c r="AH4" s="150"/>
      <c r="AI4" s="150"/>
      <c r="AJ4" s="172"/>
    </row>
    <row r="5" ht="15.75" customHeight="1">
      <c r="A5" s="157" t="s">
        <v>398</v>
      </c>
      <c r="B5" s="157" t="s">
        <v>399</v>
      </c>
      <c r="C5" s="173" t="s">
        <v>1634</v>
      </c>
      <c r="D5" s="174"/>
      <c r="E5" s="164" t="s">
        <v>1625</v>
      </c>
      <c r="F5" s="161"/>
      <c r="G5" s="150" t="s">
        <v>427</v>
      </c>
      <c r="H5" s="163"/>
      <c r="I5" s="164" t="s">
        <v>27</v>
      </c>
      <c r="J5" s="175" t="s">
        <v>28</v>
      </c>
      <c r="K5" s="166"/>
      <c r="L5" s="167"/>
      <c r="M5" s="161"/>
      <c r="N5" s="150" t="s">
        <v>1632</v>
      </c>
      <c r="O5" s="170" t="s">
        <v>1633</v>
      </c>
      <c r="P5" s="161"/>
      <c r="Q5" s="161"/>
      <c r="R5" s="161"/>
      <c r="S5" s="161"/>
      <c r="T5" s="161"/>
      <c r="U5" s="161"/>
      <c r="V5" s="161"/>
      <c r="W5" s="161"/>
      <c r="X5" s="161"/>
      <c r="Y5" s="161"/>
      <c r="Z5" s="161"/>
      <c r="AA5" s="161"/>
      <c r="AB5" s="161"/>
      <c r="AC5" s="161"/>
      <c r="AD5" s="161"/>
      <c r="AE5" s="161"/>
      <c r="AF5" s="161"/>
      <c r="AG5" s="161"/>
      <c r="AH5" s="161"/>
      <c r="AI5" s="161"/>
      <c r="AJ5" s="156"/>
    </row>
    <row r="6" ht="15.75" customHeight="1">
      <c r="A6" s="150" t="s">
        <v>398</v>
      </c>
      <c r="B6" s="150" t="s">
        <v>399</v>
      </c>
      <c r="C6" s="155" t="s">
        <v>1635</v>
      </c>
      <c r="D6" s="155" t="s">
        <v>1636</v>
      </c>
      <c r="E6" s="150" t="s">
        <v>1625</v>
      </c>
      <c r="F6" s="150"/>
      <c r="G6" s="150" t="s">
        <v>427</v>
      </c>
      <c r="H6" s="150"/>
      <c r="I6" s="150" t="s">
        <v>51</v>
      </c>
      <c r="J6" s="150" t="s">
        <v>465</v>
      </c>
      <c r="K6" s="155"/>
      <c r="L6" s="150"/>
      <c r="M6" s="150"/>
      <c r="N6" s="150" t="s">
        <v>1637</v>
      </c>
      <c r="O6" s="155" t="s">
        <v>1638</v>
      </c>
      <c r="P6" s="150"/>
      <c r="Q6" s="150" t="s">
        <v>1639</v>
      </c>
      <c r="R6" s="150"/>
      <c r="S6" s="150"/>
      <c r="T6" s="150"/>
      <c r="U6" s="150"/>
      <c r="V6" s="150"/>
      <c r="W6" s="150"/>
      <c r="X6" s="150"/>
      <c r="Y6" s="150"/>
      <c r="Z6" s="150"/>
      <c r="AA6" s="150"/>
      <c r="AB6" s="150"/>
      <c r="AC6" s="150"/>
      <c r="AD6" s="150"/>
      <c r="AE6" s="150"/>
      <c r="AF6" s="150"/>
      <c r="AG6" s="150"/>
      <c r="AH6" s="150"/>
      <c r="AI6" s="150"/>
      <c r="AJ6" s="161"/>
    </row>
    <row r="7" ht="15.75" customHeight="1">
      <c r="A7" s="176" t="s">
        <v>398</v>
      </c>
      <c r="B7" s="176" t="s">
        <v>399</v>
      </c>
      <c r="C7" s="177" t="s">
        <v>1640</v>
      </c>
      <c r="D7" s="178"/>
      <c r="E7" s="171" t="s">
        <v>1625</v>
      </c>
      <c r="F7" s="175"/>
      <c r="G7" s="179" t="s">
        <v>610</v>
      </c>
      <c r="H7" s="163" t="s">
        <v>51</v>
      </c>
      <c r="I7" s="171" t="s">
        <v>151</v>
      </c>
      <c r="J7" s="175" t="s">
        <v>28</v>
      </c>
      <c r="K7" s="180"/>
      <c r="L7" s="181"/>
      <c r="M7" s="169"/>
      <c r="N7" s="169"/>
      <c r="O7" s="169" t="s">
        <v>1641</v>
      </c>
      <c r="P7" s="169"/>
      <c r="Q7" s="169" t="s">
        <v>323</v>
      </c>
      <c r="R7" s="169"/>
      <c r="S7" s="169"/>
      <c r="T7" s="169"/>
      <c r="U7" s="169"/>
      <c r="V7" s="169"/>
      <c r="W7" s="169"/>
      <c r="X7" s="169"/>
      <c r="Y7" s="169"/>
      <c r="Z7" s="169"/>
      <c r="AA7" s="169"/>
      <c r="AB7" s="169"/>
      <c r="AC7" s="169"/>
      <c r="AD7" s="169"/>
      <c r="AE7" s="169"/>
      <c r="AF7" s="169"/>
      <c r="AG7" s="169"/>
      <c r="AH7" s="169"/>
      <c r="AI7" s="169"/>
      <c r="AJ7" s="156"/>
    </row>
    <row r="8" ht="15.75" customHeight="1">
      <c r="A8" s="157" t="s">
        <v>398</v>
      </c>
      <c r="B8" s="150" t="s">
        <v>399</v>
      </c>
      <c r="C8" s="158" t="s">
        <v>1642</v>
      </c>
      <c r="D8" s="174" t="s">
        <v>1643</v>
      </c>
      <c r="E8" s="160" t="s">
        <v>1625</v>
      </c>
      <c r="F8" s="182"/>
      <c r="G8" s="162" t="s">
        <v>427</v>
      </c>
      <c r="H8" s="183"/>
      <c r="I8" s="160" t="s">
        <v>27</v>
      </c>
      <c r="J8" s="157" t="s">
        <v>1644</v>
      </c>
      <c r="K8" s="184" t="s">
        <v>1645</v>
      </c>
      <c r="L8" s="185"/>
      <c r="M8" s="160"/>
      <c r="N8" s="160" t="s">
        <v>1646</v>
      </c>
      <c r="O8" s="172"/>
      <c r="P8" s="162"/>
      <c r="Q8" s="162"/>
      <c r="R8" s="172"/>
      <c r="S8" s="172"/>
      <c r="T8" s="172"/>
      <c r="U8" s="172"/>
      <c r="V8" s="172"/>
      <c r="W8" s="172"/>
      <c r="X8" s="172"/>
      <c r="Y8" s="172"/>
      <c r="Z8" s="172"/>
      <c r="AA8" s="172"/>
      <c r="AB8" s="172"/>
      <c r="AC8" s="172"/>
      <c r="AD8" s="172"/>
      <c r="AE8" s="172"/>
      <c r="AF8" s="172"/>
      <c r="AG8" s="172"/>
      <c r="AH8" s="172"/>
      <c r="AI8" s="172"/>
      <c r="AJ8" s="169"/>
    </row>
    <row r="9" ht="15.75" customHeight="1">
      <c r="A9" s="157" t="s">
        <v>398</v>
      </c>
      <c r="B9" s="150" t="s">
        <v>399</v>
      </c>
      <c r="C9" s="158" t="s">
        <v>1647</v>
      </c>
      <c r="D9" s="174" t="s">
        <v>1648</v>
      </c>
      <c r="E9" s="160" t="s">
        <v>1625</v>
      </c>
      <c r="F9" s="182"/>
      <c r="G9" s="162" t="s">
        <v>427</v>
      </c>
      <c r="H9" s="183"/>
      <c r="I9" s="160" t="s">
        <v>27</v>
      </c>
      <c r="J9" s="157" t="s">
        <v>1644</v>
      </c>
      <c r="K9" s="184" t="s">
        <v>1649</v>
      </c>
      <c r="L9" s="185"/>
      <c r="M9" s="160"/>
      <c r="N9" s="160"/>
      <c r="O9" s="184" t="s">
        <v>1650</v>
      </c>
      <c r="P9" s="162"/>
      <c r="Q9" s="162"/>
      <c r="R9" s="172"/>
      <c r="S9" s="172"/>
      <c r="T9" s="172"/>
      <c r="U9" s="172"/>
      <c r="V9" s="172"/>
      <c r="W9" s="172"/>
      <c r="X9" s="172"/>
      <c r="Y9" s="172"/>
      <c r="Z9" s="172"/>
      <c r="AA9" s="172"/>
      <c r="AB9" s="172"/>
      <c r="AC9" s="172"/>
      <c r="AD9" s="172"/>
      <c r="AE9" s="172"/>
      <c r="AF9" s="172"/>
      <c r="AG9" s="172"/>
      <c r="AH9" s="172"/>
      <c r="AI9" s="172"/>
      <c r="AJ9" s="169"/>
    </row>
    <row r="10" ht="15.75" customHeight="1">
      <c r="A10" s="176" t="s">
        <v>398</v>
      </c>
      <c r="B10" s="176" t="s">
        <v>399</v>
      </c>
      <c r="C10" s="158" t="s">
        <v>1651</v>
      </c>
      <c r="D10" s="178" t="s">
        <v>1652</v>
      </c>
      <c r="E10" s="164" t="s">
        <v>1625</v>
      </c>
      <c r="F10" s="169"/>
      <c r="G10" s="179" t="s">
        <v>506</v>
      </c>
      <c r="H10" s="163"/>
      <c r="I10" s="164" t="s">
        <v>27</v>
      </c>
      <c r="J10" s="175" t="s">
        <v>1653</v>
      </c>
      <c r="K10" s="180"/>
      <c r="L10" s="181"/>
      <c r="M10" s="169"/>
      <c r="N10" s="169"/>
      <c r="O10" s="169"/>
      <c r="P10" s="175" t="s">
        <v>1654</v>
      </c>
      <c r="Q10" s="169"/>
      <c r="R10" s="169"/>
      <c r="S10" s="169"/>
      <c r="T10" s="169"/>
      <c r="U10" s="169"/>
      <c r="V10" s="169"/>
      <c r="W10" s="169"/>
      <c r="X10" s="169"/>
      <c r="Y10" s="169"/>
      <c r="Z10" s="169"/>
      <c r="AA10" s="169"/>
      <c r="AB10" s="169"/>
      <c r="AC10" s="169"/>
      <c r="AD10" s="169"/>
      <c r="AE10" s="169"/>
      <c r="AF10" s="169"/>
      <c r="AG10" s="169"/>
      <c r="AH10" s="169"/>
      <c r="AI10" s="169"/>
      <c r="AJ10" s="169"/>
    </row>
    <row r="11" ht="15.75" customHeight="1">
      <c r="A11" s="150" t="s">
        <v>398</v>
      </c>
      <c r="B11" s="150" t="s">
        <v>399</v>
      </c>
      <c r="C11" s="155" t="s">
        <v>1655</v>
      </c>
      <c r="D11" s="156" t="s">
        <v>1656</v>
      </c>
      <c r="E11" s="150" t="s">
        <v>1625</v>
      </c>
      <c r="F11" s="150"/>
      <c r="G11" s="150" t="s">
        <v>593</v>
      </c>
      <c r="H11" s="150"/>
      <c r="I11" s="150" t="s">
        <v>27</v>
      </c>
      <c r="J11" s="150"/>
      <c r="K11" s="155"/>
      <c r="L11" s="150"/>
      <c r="M11" s="150"/>
      <c r="N11" s="150"/>
      <c r="O11" s="155" t="s">
        <v>1657</v>
      </c>
      <c r="P11" s="150"/>
      <c r="Q11" s="150" t="s">
        <v>1658</v>
      </c>
      <c r="R11" s="156"/>
      <c r="S11" s="150"/>
      <c r="T11" s="150"/>
      <c r="U11" s="150"/>
      <c r="V11" s="150"/>
      <c r="W11" s="150"/>
      <c r="X11" s="150"/>
      <c r="Y11" s="150"/>
      <c r="Z11" s="150"/>
      <c r="AA11" s="150"/>
      <c r="AB11" s="150"/>
      <c r="AC11" s="150"/>
      <c r="AD11" s="150"/>
      <c r="AE11" s="150"/>
      <c r="AF11" s="150"/>
      <c r="AG11" s="150"/>
      <c r="AH11" s="150"/>
      <c r="AI11" s="150"/>
      <c r="AJ11" s="169"/>
    </row>
    <row r="12" ht="15.75" customHeight="1">
      <c r="A12" s="176" t="s">
        <v>398</v>
      </c>
      <c r="B12" s="176" t="s">
        <v>399</v>
      </c>
      <c r="C12" s="158" t="s">
        <v>1659</v>
      </c>
      <c r="D12" s="178"/>
      <c r="E12" s="164" t="s">
        <v>1625</v>
      </c>
      <c r="F12" s="169"/>
      <c r="G12" s="179" t="s">
        <v>1660</v>
      </c>
      <c r="H12" s="163"/>
      <c r="I12" s="164"/>
      <c r="J12" s="175" t="s">
        <v>469</v>
      </c>
      <c r="K12" s="180"/>
      <c r="L12" s="181"/>
      <c r="M12" s="169"/>
      <c r="N12" s="169" t="s">
        <v>1661</v>
      </c>
      <c r="O12" s="169"/>
      <c r="P12" s="169"/>
      <c r="Q12" s="169"/>
      <c r="R12" s="169"/>
      <c r="S12" s="169"/>
      <c r="T12" s="169"/>
      <c r="U12" s="169"/>
      <c r="V12" s="169"/>
      <c r="W12" s="169"/>
      <c r="X12" s="169"/>
      <c r="Y12" s="169"/>
      <c r="Z12" s="169"/>
      <c r="AA12" s="169"/>
      <c r="AB12" s="169"/>
      <c r="AC12" s="169"/>
      <c r="AD12" s="169"/>
      <c r="AE12" s="169"/>
      <c r="AF12" s="169"/>
      <c r="AG12" s="169"/>
      <c r="AH12" s="169"/>
      <c r="AI12" s="169"/>
      <c r="AJ12" s="169"/>
    </row>
    <row r="13" ht="15.75" customHeight="1">
      <c r="A13" s="176" t="s">
        <v>398</v>
      </c>
      <c r="B13" s="176" t="s">
        <v>399</v>
      </c>
      <c r="C13" s="173" t="s">
        <v>1662</v>
      </c>
      <c r="D13" s="178"/>
      <c r="E13" s="164" t="s">
        <v>1625</v>
      </c>
      <c r="F13" s="169"/>
      <c r="G13" s="169"/>
      <c r="H13" s="163"/>
      <c r="I13" s="164" t="s">
        <v>27</v>
      </c>
      <c r="J13" s="175" t="s">
        <v>28</v>
      </c>
      <c r="K13" s="180"/>
      <c r="L13" s="181"/>
      <c r="M13" s="169"/>
      <c r="N13" s="169" t="s">
        <v>502</v>
      </c>
      <c r="O13" s="169"/>
      <c r="P13" s="169"/>
      <c r="Q13" s="169" t="s">
        <v>1663</v>
      </c>
      <c r="R13" s="169"/>
      <c r="S13" s="169"/>
      <c r="T13" s="169"/>
      <c r="U13" s="169"/>
      <c r="V13" s="169"/>
      <c r="W13" s="169"/>
      <c r="X13" s="169"/>
      <c r="Y13" s="169"/>
      <c r="Z13" s="169"/>
      <c r="AA13" s="169"/>
      <c r="AB13" s="169"/>
      <c r="AC13" s="169"/>
      <c r="AD13" s="169"/>
      <c r="AE13" s="169"/>
      <c r="AF13" s="169"/>
      <c r="AG13" s="169"/>
      <c r="AH13" s="169"/>
      <c r="AI13" s="169"/>
      <c r="AJ13" s="156"/>
    </row>
    <row r="14" ht="15.75" customHeight="1">
      <c r="A14" s="150" t="s">
        <v>398</v>
      </c>
      <c r="B14" s="150" t="s">
        <v>399</v>
      </c>
      <c r="C14" s="155" t="s">
        <v>1664</v>
      </c>
      <c r="D14" s="155" t="s">
        <v>1665</v>
      </c>
      <c r="E14" s="150" t="s">
        <v>1625</v>
      </c>
      <c r="F14" s="150"/>
      <c r="G14" s="150"/>
      <c r="H14" s="150"/>
      <c r="I14" s="150"/>
      <c r="J14" s="150" t="s">
        <v>465</v>
      </c>
      <c r="K14" s="155" t="s">
        <v>1666</v>
      </c>
      <c r="L14" s="150"/>
      <c r="M14" s="150"/>
      <c r="N14" s="150" t="s">
        <v>1667</v>
      </c>
      <c r="O14" s="155" t="s">
        <v>1668</v>
      </c>
      <c r="P14" s="150"/>
      <c r="Q14" s="171" t="s">
        <v>231</v>
      </c>
      <c r="R14" s="150"/>
      <c r="S14" s="150"/>
      <c r="T14" s="150"/>
      <c r="U14" s="150"/>
      <c r="V14" s="150"/>
      <c r="W14" s="150"/>
      <c r="X14" s="150"/>
      <c r="Y14" s="150"/>
      <c r="Z14" s="150"/>
      <c r="AA14" s="150"/>
      <c r="AB14" s="150"/>
      <c r="AC14" s="150"/>
      <c r="AD14" s="150"/>
      <c r="AE14" s="150"/>
      <c r="AF14" s="150"/>
      <c r="AG14" s="150"/>
      <c r="AH14" s="150"/>
      <c r="AI14" s="150"/>
      <c r="AJ14" s="172"/>
    </row>
    <row r="15" ht="36.75" customHeight="1">
      <c r="A15" s="157" t="s">
        <v>398</v>
      </c>
      <c r="B15" s="150" t="s">
        <v>399</v>
      </c>
      <c r="C15" s="158" t="s">
        <v>1669</v>
      </c>
      <c r="D15" s="174" t="s">
        <v>1670</v>
      </c>
      <c r="E15" s="160" t="s">
        <v>1625</v>
      </c>
      <c r="F15" s="182"/>
      <c r="G15" s="162" t="s">
        <v>1671</v>
      </c>
      <c r="H15" s="183"/>
      <c r="I15" s="160" t="s">
        <v>27</v>
      </c>
      <c r="J15" s="157" t="s">
        <v>1672</v>
      </c>
      <c r="K15" s="184" t="s">
        <v>519</v>
      </c>
      <c r="L15" s="185"/>
      <c r="M15" s="160"/>
      <c r="N15" s="160"/>
      <c r="O15" s="186" t="s">
        <v>1673</v>
      </c>
      <c r="P15" s="162"/>
      <c r="Q15" s="162" t="s">
        <v>1674</v>
      </c>
      <c r="R15" s="172"/>
      <c r="S15" s="172"/>
      <c r="T15" s="172"/>
      <c r="U15" s="172"/>
      <c r="V15" s="172"/>
      <c r="W15" s="172"/>
      <c r="X15" s="172"/>
      <c r="Y15" s="172"/>
      <c r="Z15" s="172"/>
      <c r="AA15" s="172"/>
      <c r="AB15" s="172"/>
      <c r="AC15" s="172"/>
      <c r="AD15" s="172"/>
      <c r="AE15" s="172"/>
      <c r="AF15" s="172"/>
      <c r="AG15" s="172"/>
      <c r="AH15" s="172"/>
      <c r="AI15" s="172"/>
      <c r="AJ15" s="169"/>
    </row>
    <row r="16" ht="15.75" customHeight="1">
      <c r="A16" s="187" t="s">
        <v>700</v>
      </c>
      <c r="B16" s="187" t="s">
        <v>700</v>
      </c>
      <c r="C16" s="188" t="s">
        <v>1675</v>
      </c>
      <c r="D16" s="189" t="s">
        <v>1676</v>
      </c>
      <c r="E16" s="187" t="s">
        <v>1625</v>
      </c>
      <c r="F16" s="187"/>
      <c r="G16" s="190" t="s">
        <v>746</v>
      </c>
      <c r="H16" s="187"/>
      <c r="I16" s="187" t="s">
        <v>27</v>
      </c>
      <c r="J16" s="187" t="s">
        <v>735</v>
      </c>
      <c r="K16" s="188"/>
      <c r="L16" s="187"/>
      <c r="M16" s="187"/>
      <c r="N16" s="187"/>
      <c r="O16" s="188" t="s">
        <v>1677</v>
      </c>
      <c r="P16" s="187"/>
      <c r="Q16" s="187"/>
      <c r="R16" s="187"/>
      <c r="S16" s="191"/>
      <c r="T16" s="187"/>
      <c r="U16" s="189"/>
      <c r="V16" s="189"/>
      <c r="W16" s="189"/>
      <c r="X16" s="189"/>
      <c r="Y16" s="189"/>
      <c r="Z16" s="189"/>
      <c r="AA16" s="189"/>
      <c r="AB16" s="189"/>
      <c r="AC16" s="189"/>
      <c r="AD16" s="189"/>
      <c r="AE16" s="189"/>
      <c r="AF16" s="189"/>
      <c r="AG16" s="189"/>
      <c r="AH16" s="189"/>
      <c r="AI16" s="189"/>
      <c r="AJ16" s="189"/>
    </row>
    <row r="17" ht="15.75" customHeight="1">
      <c r="A17" s="187" t="s">
        <v>700</v>
      </c>
      <c r="B17" s="187" t="s">
        <v>700</v>
      </c>
      <c r="C17" s="188" t="s">
        <v>1678</v>
      </c>
      <c r="D17" s="189" t="s">
        <v>1679</v>
      </c>
      <c r="E17" s="187" t="s">
        <v>1625</v>
      </c>
      <c r="F17" s="187"/>
      <c r="G17" s="187" t="s">
        <v>1680</v>
      </c>
      <c r="H17" s="187"/>
      <c r="I17" s="187" t="s">
        <v>51</v>
      </c>
      <c r="J17" s="187" t="s">
        <v>735</v>
      </c>
      <c r="K17" s="188"/>
      <c r="L17" s="187"/>
      <c r="M17" s="187"/>
      <c r="N17" s="187"/>
      <c r="O17" s="188" t="s">
        <v>1681</v>
      </c>
      <c r="P17" s="187"/>
      <c r="Q17" s="187" t="s">
        <v>328</v>
      </c>
      <c r="R17" s="187"/>
      <c r="S17" s="187"/>
      <c r="T17" s="187"/>
      <c r="U17" s="189"/>
      <c r="V17" s="189"/>
      <c r="W17" s="189"/>
      <c r="X17" s="189"/>
      <c r="Y17" s="189"/>
      <c r="Z17" s="189"/>
      <c r="AA17" s="189"/>
      <c r="AB17" s="189"/>
      <c r="AC17" s="189"/>
      <c r="AD17" s="189"/>
      <c r="AE17" s="189"/>
      <c r="AF17" s="189"/>
      <c r="AG17" s="189"/>
      <c r="AH17" s="189"/>
      <c r="AI17" s="189"/>
      <c r="AJ17" s="189"/>
    </row>
    <row r="18" ht="15.75" customHeight="1">
      <c r="A18" s="187" t="s">
        <v>700</v>
      </c>
      <c r="B18" s="187" t="s">
        <v>700</v>
      </c>
      <c r="C18" s="188" t="s">
        <v>1682</v>
      </c>
      <c r="D18" s="189" t="s">
        <v>1683</v>
      </c>
      <c r="E18" s="187" t="s">
        <v>1625</v>
      </c>
      <c r="F18" s="187"/>
      <c r="G18" s="190" t="s">
        <v>746</v>
      </c>
      <c r="H18" s="187"/>
      <c r="I18" s="187" t="s">
        <v>27</v>
      </c>
      <c r="J18" s="187" t="s">
        <v>735</v>
      </c>
      <c r="K18" s="188"/>
      <c r="L18" s="187"/>
      <c r="M18" s="187"/>
      <c r="N18" s="187"/>
      <c r="O18" s="188" t="s">
        <v>1684</v>
      </c>
      <c r="P18" s="187"/>
      <c r="Q18" s="187" t="s">
        <v>102</v>
      </c>
      <c r="R18" s="187"/>
      <c r="S18" s="191"/>
      <c r="T18" s="187"/>
      <c r="U18" s="189"/>
      <c r="V18" s="189"/>
      <c r="W18" s="189"/>
      <c r="X18" s="189"/>
      <c r="Y18" s="189"/>
      <c r="Z18" s="189"/>
      <c r="AA18" s="189"/>
      <c r="AB18" s="189"/>
      <c r="AC18" s="189"/>
      <c r="AD18" s="189"/>
      <c r="AE18" s="189"/>
      <c r="AF18" s="189"/>
      <c r="AG18" s="189"/>
      <c r="AH18" s="189"/>
      <c r="AI18" s="189"/>
      <c r="AJ18" s="189"/>
    </row>
    <row r="19" ht="15.75" customHeight="1">
      <c r="A19" s="150" t="s">
        <v>700</v>
      </c>
      <c r="B19" s="150" t="s">
        <v>713</v>
      </c>
      <c r="C19" s="155" t="s">
        <v>1685</v>
      </c>
      <c r="D19" s="156"/>
      <c r="E19" s="150" t="s">
        <v>1625</v>
      </c>
      <c r="F19" s="150"/>
      <c r="G19" s="192" t="s">
        <v>746</v>
      </c>
      <c r="H19" s="150"/>
      <c r="I19" s="150" t="s">
        <v>27</v>
      </c>
      <c r="J19" s="150" t="s">
        <v>735</v>
      </c>
      <c r="K19" s="155"/>
      <c r="L19" s="150"/>
      <c r="M19" s="150"/>
      <c r="N19" s="150"/>
      <c r="O19" s="155" t="s">
        <v>1686</v>
      </c>
      <c r="P19" s="150"/>
      <c r="Q19" s="150"/>
      <c r="R19" s="150"/>
      <c r="S19" s="193"/>
      <c r="T19" s="150"/>
      <c r="U19" s="156"/>
      <c r="V19" s="156"/>
      <c r="W19" s="156"/>
      <c r="X19" s="156"/>
      <c r="Y19" s="156"/>
      <c r="Z19" s="156"/>
      <c r="AA19" s="156"/>
      <c r="AB19" s="156"/>
      <c r="AC19" s="156"/>
      <c r="AD19" s="156"/>
      <c r="AE19" s="156"/>
      <c r="AF19" s="156"/>
      <c r="AG19" s="156"/>
      <c r="AH19" s="156"/>
      <c r="AI19" s="156"/>
      <c r="AJ19" s="156"/>
    </row>
    <row r="20" ht="15.75" customHeight="1">
      <c r="A20" s="150" t="s">
        <v>868</v>
      </c>
      <c r="B20" s="171" t="s">
        <v>869</v>
      </c>
      <c r="C20" s="155" t="s">
        <v>1687</v>
      </c>
      <c r="D20" s="156" t="s">
        <v>1688</v>
      </c>
      <c r="E20" s="150" t="s">
        <v>1625</v>
      </c>
      <c r="F20" s="150"/>
      <c r="G20" s="150" t="s">
        <v>872</v>
      </c>
      <c r="H20" s="150"/>
      <c r="I20" s="150" t="s">
        <v>51</v>
      </c>
      <c r="J20" s="150" t="s">
        <v>1689</v>
      </c>
      <c r="K20" s="156" t="s">
        <v>1690</v>
      </c>
      <c r="L20" s="150" t="s">
        <v>1691</v>
      </c>
      <c r="M20" s="150"/>
      <c r="N20" s="150"/>
      <c r="O20" s="156" t="s">
        <v>1692</v>
      </c>
      <c r="P20" s="150" t="s">
        <v>877</v>
      </c>
      <c r="Q20" s="150" t="s">
        <v>102</v>
      </c>
      <c r="R20" s="170"/>
      <c r="S20" s="156" t="s">
        <v>1693</v>
      </c>
      <c r="T20" s="150"/>
      <c r="U20" s="156"/>
      <c r="V20" s="156"/>
      <c r="W20" s="156"/>
      <c r="X20" s="156"/>
      <c r="Y20" s="156"/>
      <c r="Z20" s="156"/>
      <c r="AA20" s="156"/>
      <c r="AB20" s="156"/>
      <c r="AC20" s="156"/>
      <c r="AD20" s="156"/>
      <c r="AE20" s="156"/>
      <c r="AF20" s="156"/>
      <c r="AG20" s="156"/>
      <c r="AH20" s="156"/>
      <c r="AI20" s="156"/>
      <c r="AJ20" s="156"/>
    </row>
    <row r="21" ht="15.75" customHeight="1">
      <c r="A21" s="150" t="s">
        <v>868</v>
      </c>
      <c r="B21" s="171" t="s">
        <v>1694</v>
      </c>
      <c r="C21" s="155" t="s">
        <v>1695</v>
      </c>
      <c r="D21" s="156" t="s">
        <v>1696</v>
      </c>
      <c r="E21" s="150" t="s">
        <v>1625</v>
      </c>
      <c r="F21" s="171"/>
      <c r="G21" s="150" t="s">
        <v>929</v>
      </c>
      <c r="H21" s="150" t="s">
        <v>59</v>
      </c>
      <c r="I21" s="150" t="s">
        <v>151</v>
      </c>
      <c r="J21" s="150" t="s">
        <v>28</v>
      </c>
      <c r="K21" s="156"/>
      <c r="L21" s="150"/>
      <c r="M21" s="150"/>
      <c r="N21" s="150"/>
      <c r="O21" s="170" t="s">
        <v>1697</v>
      </c>
      <c r="P21" s="171" t="s">
        <v>323</v>
      </c>
      <c r="Q21" s="150"/>
      <c r="R21" s="170"/>
      <c r="S21" s="156"/>
      <c r="T21" s="150"/>
      <c r="U21" s="156"/>
      <c r="V21" s="156"/>
      <c r="W21" s="156"/>
      <c r="X21" s="156"/>
      <c r="Y21" s="156"/>
      <c r="Z21" s="156"/>
      <c r="AA21" s="156"/>
      <c r="AB21" s="156"/>
      <c r="AC21" s="156"/>
      <c r="AD21" s="156"/>
      <c r="AE21" s="156"/>
      <c r="AF21" s="156"/>
      <c r="AG21" s="156"/>
      <c r="AH21" s="156"/>
      <c r="AI21" s="156"/>
      <c r="AJ21" s="156"/>
    </row>
    <row r="22" ht="75.75" customHeight="1">
      <c r="A22" s="150" t="s">
        <v>868</v>
      </c>
      <c r="B22" s="171" t="s">
        <v>873</v>
      </c>
      <c r="C22" s="155" t="s">
        <v>1698</v>
      </c>
      <c r="D22" s="156" t="s">
        <v>1699</v>
      </c>
      <c r="E22" s="150" t="s">
        <v>1625</v>
      </c>
      <c r="F22" s="171"/>
      <c r="G22" s="150" t="s">
        <v>929</v>
      </c>
      <c r="H22" s="150" t="s">
        <v>59</v>
      </c>
      <c r="I22" s="150" t="s">
        <v>51</v>
      </c>
      <c r="J22" s="150" t="s">
        <v>906</v>
      </c>
      <c r="K22" s="156"/>
      <c r="L22" s="150"/>
      <c r="M22" s="150"/>
      <c r="N22" s="150"/>
      <c r="O22" s="156" t="s">
        <v>1700</v>
      </c>
      <c r="P22" s="171" t="s">
        <v>323</v>
      </c>
      <c r="Q22" s="150" t="s">
        <v>1701</v>
      </c>
      <c r="R22" s="170"/>
      <c r="S22" s="156"/>
      <c r="T22" s="150"/>
      <c r="U22" s="156"/>
      <c r="V22" s="156"/>
      <c r="W22" s="156"/>
      <c r="X22" s="156"/>
      <c r="Y22" s="156"/>
      <c r="Z22" s="156"/>
      <c r="AA22" s="156"/>
      <c r="AB22" s="156"/>
      <c r="AC22" s="156"/>
      <c r="AD22" s="156"/>
      <c r="AE22" s="156"/>
      <c r="AF22" s="156"/>
      <c r="AG22" s="156"/>
      <c r="AH22" s="156"/>
      <c r="AI22" s="156"/>
      <c r="AJ22" s="156"/>
    </row>
    <row r="23" ht="15.75" customHeight="1">
      <c r="A23" s="150" t="s">
        <v>965</v>
      </c>
      <c r="B23" s="150" t="s">
        <v>1029</v>
      </c>
      <c r="C23" s="150" t="s">
        <v>1702</v>
      </c>
      <c r="D23" s="194" t="s">
        <v>1703</v>
      </c>
      <c r="E23" s="150" t="s">
        <v>1625</v>
      </c>
      <c r="F23" s="150"/>
      <c r="G23" s="150" t="s">
        <v>1033</v>
      </c>
      <c r="H23" s="156"/>
      <c r="I23" s="150" t="s">
        <v>27</v>
      </c>
      <c r="J23" s="150" t="s">
        <v>1704</v>
      </c>
      <c r="K23" s="155" t="s">
        <v>1705</v>
      </c>
      <c r="L23" s="150"/>
      <c r="M23" s="150"/>
      <c r="N23" s="150"/>
      <c r="O23" s="155" t="s">
        <v>1706</v>
      </c>
      <c r="P23" s="150"/>
      <c r="Q23" s="150"/>
      <c r="R23" s="156"/>
      <c r="S23" s="193"/>
      <c r="T23" s="156"/>
      <c r="U23" s="156"/>
      <c r="V23" s="156"/>
      <c r="W23" s="156"/>
      <c r="X23" s="156"/>
      <c r="Y23" s="156"/>
      <c r="Z23" s="156"/>
      <c r="AA23" s="156"/>
      <c r="AB23" s="156"/>
      <c r="AC23" s="156"/>
      <c r="AD23" s="156"/>
      <c r="AE23" s="156"/>
      <c r="AF23" s="156"/>
      <c r="AG23" s="156"/>
      <c r="AH23" s="156"/>
      <c r="AI23" s="156"/>
      <c r="AJ23" s="156"/>
    </row>
    <row r="24" ht="15.75" customHeight="1">
      <c r="A24" s="150" t="s">
        <v>965</v>
      </c>
      <c r="B24" s="150" t="s">
        <v>997</v>
      </c>
      <c r="C24" s="150" t="s">
        <v>1707</v>
      </c>
      <c r="D24" s="150" t="s">
        <v>1708</v>
      </c>
      <c r="E24" s="150" t="s">
        <v>1625</v>
      </c>
      <c r="F24" s="150"/>
      <c r="G24" s="150" t="s">
        <v>1000</v>
      </c>
      <c r="H24" s="150" t="s">
        <v>39</v>
      </c>
      <c r="I24" s="150" t="s">
        <v>27</v>
      </c>
      <c r="J24" s="150" t="s">
        <v>1001</v>
      </c>
      <c r="K24" s="150" t="s">
        <v>1709</v>
      </c>
      <c r="L24" s="150" t="s">
        <v>1710</v>
      </c>
      <c r="M24" s="150"/>
      <c r="N24" s="150"/>
      <c r="O24" s="150" t="s">
        <v>1711</v>
      </c>
      <c r="P24" s="150"/>
      <c r="Q24" s="150" t="s">
        <v>1005</v>
      </c>
      <c r="R24" s="150"/>
      <c r="S24" s="150"/>
      <c r="T24" s="150"/>
      <c r="U24" s="150"/>
      <c r="V24" s="150"/>
      <c r="W24" s="150"/>
      <c r="X24" s="150"/>
      <c r="Y24" s="150"/>
      <c r="Z24" s="150"/>
      <c r="AA24" s="150"/>
      <c r="AB24" s="150"/>
      <c r="AC24" s="150"/>
      <c r="AD24" s="150"/>
      <c r="AE24" s="150"/>
      <c r="AF24" s="150"/>
      <c r="AG24" s="150"/>
      <c r="AH24" s="150"/>
      <c r="AI24" s="150"/>
      <c r="AJ24" s="150"/>
    </row>
    <row r="25" ht="15.75" customHeight="1">
      <c r="A25" s="150" t="s">
        <v>965</v>
      </c>
      <c r="B25" s="150" t="s">
        <v>1029</v>
      </c>
      <c r="C25" s="150" t="s">
        <v>1712</v>
      </c>
      <c r="D25" s="150" t="s">
        <v>1713</v>
      </c>
      <c r="E25" s="150" t="s">
        <v>1625</v>
      </c>
      <c r="F25" s="150"/>
      <c r="G25" s="150" t="s">
        <v>1714</v>
      </c>
      <c r="H25" s="150"/>
      <c r="I25" s="150" t="s">
        <v>27</v>
      </c>
      <c r="J25" s="150" t="s">
        <v>1715</v>
      </c>
      <c r="K25" s="150" t="s">
        <v>1716</v>
      </c>
      <c r="L25" s="150" t="s">
        <v>1717</v>
      </c>
      <c r="M25" s="150"/>
      <c r="N25" s="150"/>
      <c r="O25" s="150" t="s">
        <v>1718</v>
      </c>
      <c r="P25" s="150"/>
      <c r="Q25" s="150" t="s">
        <v>102</v>
      </c>
      <c r="R25" s="150"/>
      <c r="S25" s="150"/>
      <c r="T25" s="150"/>
      <c r="U25" s="150"/>
      <c r="V25" s="150"/>
      <c r="W25" s="150"/>
      <c r="X25" s="150"/>
      <c r="Y25" s="150"/>
      <c r="Z25" s="150"/>
      <c r="AA25" s="150"/>
      <c r="AB25" s="150"/>
      <c r="AC25" s="150"/>
      <c r="AD25" s="150"/>
      <c r="AE25" s="150"/>
      <c r="AF25" s="150"/>
      <c r="AG25" s="150"/>
      <c r="AH25" s="150"/>
      <c r="AI25" s="150"/>
      <c r="AJ25" s="150"/>
    </row>
    <row r="26" ht="15.75" customHeight="1">
      <c r="A26" s="150" t="s">
        <v>965</v>
      </c>
      <c r="B26" s="150" t="s">
        <v>1029</v>
      </c>
      <c r="C26" s="150" t="s">
        <v>1719</v>
      </c>
      <c r="D26" s="150" t="s">
        <v>1720</v>
      </c>
      <c r="E26" s="150" t="s">
        <v>1625</v>
      </c>
      <c r="F26" s="150"/>
      <c r="G26" s="150" t="s">
        <v>1714</v>
      </c>
      <c r="H26" s="150"/>
      <c r="I26" s="150"/>
      <c r="J26" s="150" t="s">
        <v>1721</v>
      </c>
      <c r="K26" s="150" t="s">
        <v>1722</v>
      </c>
      <c r="L26" s="150"/>
      <c r="M26" s="150"/>
      <c r="N26" s="150"/>
      <c r="O26" s="150" t="s">
        <v>1723</v>
      </c>
      <c r="P26" s="150"/>
      <c r="Q26" s="150" t="s">
        <v>1724</v>
      </c>
      <c r="R26" s="150"/>
      <c r="S26" s="150"/>
      <c r="T26" s="150"/>
      <c r="U26" s="150"/>
      <c r="V26" s="150"/>
      <c r="W26" s="150"/>
      <c r="X26" s="150"/>
      <c r="Y26" s="150"/>
      <c r="Z26" s="150"/>
      <c r="AA26" s="150"/>
      <c r="AB26" s="150"/>
      <c r="AC26" s="150"/>
      <c r="AD26" s="150"/>
      <c r="AE26" s="150"/>
      <c r="AF26" s="150"/>
      <c r="AG26" s="150"/>
      <c r="AH26" s="150"/>
      <c r="AI26" s="150"/>
      <c r="AJ26" s="150"/>
    </row>
    <row r="27" ht="15.75" customHeight="1">
      <c r="A27" s="150" t="s">
        <v>965</v>
      </c>
      <c r="B27" s="150" t="s">
        <v>1029</v>
      </c>
      <c r="C27" s="150" t="s">
        <v>113</v>
      </c>
      <c r="D27" s="150" t="s">
        <v>1725</v>
      </c>
      <c r="E27" s="150" t="s">
        <v>1625</v>
      </c>
      <c r="F27" s="150"/>
      <c r="G27" s="150" t="s">
        <v>1726</v>
      </c>
      <c r="H27" s="150"/>
      <c r="I27" s="150" t="s">
        <v>27</v>
      </c>
      <c r="J27" s="150" t="s">
        <v>1721</v>
      </c>
      <c r="K27" s="160" t="s">
        <v>623</v>
      </c>
      <c r="L27" s="150" t="s">
        <v>1727</v>
      </c>
      <c r="M27" s="150"/>
      <c r="N27" s="150"/>
      <c r="O27" s="150" t="s">
        <v>1728</v>
      </c>
      <c r="P27" s="150"/>
      <c r="Q27" s="150" t="s">
        <v>1729</v>
      </c>
      <c r="R27" s="150"/>
      <c r="S27" s="150" t="s">
        <v>189</v>
      </c>
      <c r="T27" s="150"/>
      <c r="U27" s="150"/>
      <c r="V27" s="150"/>
      <c r="W27" s="150"/>
      <c r="X27" s="150"/>
      <c r="Y27" s="150"/>
      <c r="Z27" s="150"/>
      <c r="AA27" s="150"/>
      <c r="AB27" s="150"/>
      <c r="AC27" s="150"/>
      <c r="AD27" s="150"/>
      <c r="AE27" s="150"/>
      <c r="AF27" s="150"/>
      <c r="AG27" s="150"/>
      <c r="AH27" s="150"/>
      <c r="AI27" s="150"/>
      <c r="AJ27" s="150"/>
    </row>
    <row r="28" ht="15.75" customHeight="1">
      <c r="A28" s="150" t="s">
        <v>965</v>
      </c>
      <c r="B28" s="150" t="s">
        <v>974</v>
      </c>
      <c r="C28" s="150" t="s">
        <v>1730</v>
      </c>
      <c r="D28" s="150" t="s">
        <v>1731</v>
      </c>
      <c r="E28" s="150" t="s">
        <v>1625</v>
      </c>
      <c r="F28" s="150"/>
      <c r="G28" s="150" t="s">
        <v>977</v>
      </c>
      <c r="H28" s="150"/>
      <c r="I28" s="150" t="s">
        <v>27</v>
      </c>
      <c r="J28" s="150" t="s">
        <v>1450</v>
      </c>
      <c r="K28" s="150" t="s">
        <v>1732</v>
      </c>
      <c r="L28" s="150"/>
      <c r="M28" s="150"/>
      <c r="N28" s="150"/>
      <c r="O28" s="150"/>
      <c r="P28" s="150"/>
      <c r="Q28" s="150"/>
      <c r="R28" s="150"/>
      <c r="S28" s="150"/>
      <c r="T28" s="150"/>
      <c r="U28" s="150"/>
      <c r="V28" s="150"/>
      <c r="W28" s="150"/>
      <c r="X28" s="150"/>
      <c r="Y28" s="150"/>
      <c r="Z28" s="150"/>
      <c r="AA28" s="150"/>
      <c r="AB28" s="150"/>
      <c r="AC28" s="150"/>
      <c r="AD28" s="150"/>
      <c r="AE28" s="150"/>
      <c r="AF28" s="150"/>
      <c r="AG28" s="150"/>
      <c r="AH28" s="150"/>
      <c r="AI28" s="150"/>
      <c r="AJ28" s="150"/>
    </row>
    <row r="29" ht="15.75" customHeight="1">
      <c r="A29" s="150" t="s">
        <v>965</v>
      </c>
      <c r="B29" s="150" t="s">
        <v>974</v>
      </c>
      <c r="C29" s="150" t="s">
        <v>1733</v>
      </c>
      <c r="D29" s="150" t="s">
        <v>1734</v>
      </c>
      <c r="E29" s="150" t="s">
        <v>1625</v>
      </c>
      <c r="F29" s="150"/>
      <c r="G29" s="150" t="s">
        <v>977</v>
      </c>
      <c r="H29" s="150"/>
      <c r="I29" s="150" t="s">
        <v>27</v>
      </c>
      <c r="J29" s="150" t="s">
        <v>1450</v>
      </c>
      <c r="K29" s="160" t="s">
        <v>1735</v>
      </c>
      <c r="L29" s="150"/>
      <c r="M29" s="150"/>
      <c r="N29" s="150"/>
      <c r="O29" s="150" t="s">
        <v>1736</v>
      </c>
      <c r="P29" s="150"/>
      <c r="Q29" s="150" t="s">
        <v>1453</v>
      </c>
      <c r="R29" s="150"/>
      <c r="S29" s="150"/>
      <c r="T29" s="150"/>
      <c r="U29" s="150"/>
      <c r="V29" s="150"/>
      <c r="W29" s="150"/>
      <c r="X29" s="150"/>
      <c r="Y29" s="150"/>
      <c r="Z29" s="150"/>
      <c r="AA29" s="150"/>
      <c r="AB29" s="150"/>
      <c r="AC29" s="150"/>
      <c r="AD29" s="150"/>
      <c r="AE29" s="150"/>
      <c r="AF29" s="150"/>
      <c r="AG29" s="150"/>
      <c r="AH29" s="150"/>
      <c r="AI29" s="150"/>
      <c r="AJ29" s="150"/>
    </row>
    <row r="30" ht="15.75" customHeight="1">
      <c r="A30" s="150" t="s">
        <v>965</v>
      </c>
      <c r="B30" s="150" t="s">
        <v>974</v>
      </c>
      <c r="C30" s="150" t="s">
        <v>1737</v>
      </c>
      <c r="D30" s="150" t="s">
        <v>1738</v>
      </c>
      <c r="E30" s="150" t="s">
        <v>1625</v>
      </c>
      <c r="F30" s="150"/>
      <c r="G30" s="150" t="s">
        <v>977</v>
      </c>
      <c r="H30" s="150"/>
      <c r="I30" s="150" t="s">
        <v>27</v>
      </c>
      <c r="J30" s="150" t="s">
        <v>1450</v>
      </c>
      <c r="K30" s="150" t="s">
        <v>1739</v>
      </c>
      <c r="L30" s="150" t="s">
        <v>1740</v>
      </c>
      <c r="M30" s="150"/>
      <c r="N30" s="150"/>
      <c r="O30" s="150" t="s">
        <v>1736</v>
      </c>
      <c r="P30" s="150"/>
      <c r="Q30" s="150"/>
      <c r="R30" s="150"/>
      <c r="S30" s="150"/>
      <c r="T30" s="150"/>
      <c r="U30" s="150"/>
      <c r="V30" s="150"/>
      <c r="W30" s="150"/>
      <c r="X30" s="150"/>
      <c r="Y30" s="150"/>
      <c r="Z30" s="150"/>
      <c r="AA30" s="150"/>
      <c r="AB30" s="150"/>
      <c r="AC30" s="150"/>
      <c r="AD30" s="150"/>
      <c r="AE30" s="150"/>
      <c r="AF30" s="150"/>
      <c r="AG30" s="150"/>
      <c r="AH30" s="150"/>
      <c r="AI30" s="150"/>
      <c r="AJ30" s="150"/>
    </row>
    <row r="31" ht="15.75" customHeight="1">
      <c r="A31" s="150" t="s">
        <v>965</v>
      </c>
      <c r="B31" s="150" t="s">
        <v>974</v>
      </c>
      <c r="C31" s="150" t="s">
        <v>1741</v>
      </c>
      <c r="D31" s="160" t="s">
        <v>1742</v>
      </c>
      <c r="E31" s="150" t="s">
        <v>1625</v>
      </c>
      <c r="F31" s="150"/>
      <c r="G31" s="150" t="s">
        <v>1374</v>
      </c>
      <c r="H31" s="150"/>
      <c r="I31" s="150"/>
      <c r="J31" s="150" t="s">
        <v>1743</v>
      </c>
      <c r="K31" s="150" t="s">
        <v>1744</v>
      </c>
      <c r="L31" s="150" t="s">
        <v>1740</v>
      </c>
      <c r="M31" s="150"/>
      <c r="N31" s="150"/>
      <c r="O31" s="150" t="s">
        <v>1745</v>
      </c>
      <c r="P31" s="150"/>
      <c r="Q31" s="150"/>
      <c r="R31" s="150"/>
      <c r="S31" s="195"/>
      <c r="T31" s="150"/>
      <c r="U31" s="150"/>
      <c r="V31" s="150"/>
      <c r="W31" s="150"/>
      <c r="X31" s="150"/>
      <c r="Y31" s="150"/>
      <c r="Z31" s="150"/>
      <c r="AA31" s="150"/>
      <c r="AB31" s="150"/>
      <c r="AC31" s="150"/>
      <c r="AD31" s="150"/>
      <c r="AE31" s="150"/>
      <c r="AF31" s="150"/>
      <c r="AG31" s="150"/>
      <c r="AH31" s="150"/>
      <c r="AI31" s="150"/>
      <c r="AJ31" s="150"/>
    </row>
    <row r="32" ht="15.75" customHeight="1">
      <c r="A32" s="150" t="s">
        <v>368</v>
      </c>
      <c r="B32" s="150" t="s">
        <v>1128</v>
      </c>
      <c r="C32" s="155" t="s">
        <v>1162</v>
      </c>
      <c r="D32" s="156" t="s">
        <v>1746</v>
      </c>
      <c r="E32" s="150" t="s">
        <v>1625</v>
      </c>
      <c r="F32" s="150"/>
      <c r="G32" s="150"/>
      <c r="H32" s="150"/>
      <c r="I32" s="150" t="s">
        <v>51</v>
      </c>
      <c r="J32" s="150" t="s">
        <v>368</v>
      </c>
      <c r="K32" s="155"/>
      <c r="L32" s="150"/>
      <c r="M32" s="150"/>
      <c r="N32" s="150"/>
      <c r="O32" s="155"/>
      <c r="P32" s="150" t="s">
        <v>1164</v>
      </c>
      <c r="Q32" s="150" t="s">
        <v>310</v>
      </c>
      <c r="R32" s="156"/>
      <c r="S32" s="156" t="s">
        <v>1151</v>
      </c>
      <c r="T32" s="150"/>
      <c r="U32" s="156"/>
      <c r="V32" s="156"/>
      <c r="W32" s="156"/>
      <c r="X32" s="156"/>
      <c r="Y32" s="156"/>
      <c r="Z32" s="156"/>
      <c r="AA32" s="156"/>
      <c r="AB32" s="156"/>
      <c r="AC32" s="156"/>
      <c r="AD32" s="156"/>
      <c r="AE32" s="156"/>
      <c r="AF32" s="156"/>
      <c r="AG32" s="156"/>
      <c r="AH32" s="156"/>
      <c r="AI32" s="156"/>
      <c r="AJ32" s="156"/>
    </row>
    <row r="33" ht="15.75" customHeight="1">
      <c r="A33" s="150" t="s">
        <v>641</v>
      </c>
      <c r="B33" s="150" t="s">
        <v>713</v>
      </c>
      <c r="C33" s="177" t="s">
        <v>1747</v>
      </c>
      <c r="D33" s="156" t="s">
        <v>1748</v>
      </c>
      <c r="E33" s="150" t="s">
        <v>1625</v>
      </c>
      <c r="F33" s="150"/>
      <c r="G33" s="150" t="s">
        <v>1749</v>
      </c>
      <c r="H33" s="150"/>
      <c r="I33" s="150" t="s">
        <v>27</v>
      </c>
      <c r="J33" s="150" t="s">
        <v>1750</v>
      </c>
      <c r="K33" s="155"/>
      <c r="L33" s="150"/>
      <c r="M33" s="150"/>
      <c r="N33" s="150"/>
      <c r="O33" s="155" t="s">
        <v>1751</v>
      </c>
      <c r="P33" s="150"/>
      <c r="Q33" s="150"/>
      <c r="R33" s="156"/>
      <c r="S33" s="156"/>
      <c r="T33" s="150"/>
      <c r="U33" s="156"/>
      <c r="V33" s="156"/>
      <c r="W33" s="156"/>
      <c r="X33" s="156"/>
      <c r="Y33" s="156"/>
      <c r="Z33" s="156"/>
      <c r="AA33" s="156"/>
      <c r="AB33" s="156"/>
      <c r="AC33" s="156"/>
      <c r="AD33" s="156"/>
      <c r="AE33" s="156"/>
      <c r="AF33" s="156"/>
      <c r="AG33" s="156"/>
      <c r="AH33" s="156"/>
      <c r="AI33" s="156"/>
      <c r="AJ33" s="156"/>
    </row>
    <row r="34" ht="15.75" customHeight="1">
      <c r="A34" s="150" t="s">
        <v>498</v>
      </c>
      <c r="B34" s="150" t="s">
        <v>1588</v>
      </c>
      <c r="C34" s="155" t="s">
        <v>1752</v>
      </c>
      <c r="D34" s="156" t="s">
        <v>1753</v>
      </c>
      <c r="E34" s="150" t="s">
        <v>1625</v>
      </c>
      <c r="F34" s="150"/>
      <c r="G34" s="192" t="s">
        <v>1754</v>
      </c>
      <c r="H34" s="150"/>
      <c r="I34" s="150" t="s">
        <v>27</v>
      </c>
      <c r="J34" s="150" t="s">
        <v>735</v>
      </c>
      <c r="K34" s="155"/>
      <c r="L34" s="150"/>
      <c r="M34" s="150"/>
      <c r="N34" s="150"/>
      <c r="O34" s="155" t="s">
        <v>1755</v>
      </c>
      <c r="P34" s="150"/>
      <c r="Q34" s="150" t="s">
        <v>1756</v>
      </c>
      <c r="R34" s="156"/>
      <c r="S34" s="193"/>
      <c r="T34" s="150"/>
      <c r="U34" s="156"/>
      <c r="V34" s="156"/>
      <c r="W34" s="156"/>
      <c r="X34" s="156"/>
      <c r="Y34" s="156"/>
      <c r="Z34" s="156"/>
      <c r="AA34" s="156"/>
      <c r="AB34" s="156"/>
      <c r="AC34" s="156"/>
      <c r="AD34" s="156"/>
      <c r="AE34" s="156"/>
      <c r="AF34" s="156"/>
      <c r="AG34" s="156"/>
      <c r="AH34" s="156"/>
      <c r="AI34" s="156"/>
      <c r="AJ34" s="156"/>
    </row>
    <row r="35" ht="15.75" customHeight="1">
      <c r="A35" s="150" t="s">
        <v>34</v>
      </c>
      <c r="B35" s="150" t="s">
        <v>126</v>
      </c>
      <c r="C35" s="155" t="s">
        <v>1757</v>
      </c>
      <c r="D35" s="156" t="s">
        <v>1758</v>
      </c>
      <c r="E35" s="150" t="s">
        <v>1625</v>
      </c>
      <c r="F35" s="150"/>
      <c r="G35" s="150" t="s">
        <v>129</v>
      </c>
      <c r="H35" s="150" t="s">
        <v>59</v>
      </c>
      <c r="I35" s="150" t="s">
        <v>151</v>
      </c>
      <c r="J35" s="150" t="s">
        <v>139</v>
      </c>
      <c r="K35" s="156" t="s">
        <v>1759</v>
      </c>
      <c r="L35" s="150"/>
      <c r="M35" s="150"/>
      <c r="N35" s="150" t="s">
        <v>1760</v>
      </c>
      <c r="O35" s="156" t="s">
        <v>225</v>
      </c>
      <c r="P35" s="150" t="s">
        <v>91</v>
      </c>
      <c r="Q35" s="150" t="s">
        <v>1761</v>
      </c>
      <c r="R35" s="156"/>
      <c r="S35" s="156" t="s">
        <v>1762</v>
      </c>
      <c r="T35" s="150" t="s">
        <v>33</v>
      </c>
      <c r="U35" s="156"/>
      <c r="V35" s="156"/>
      <c r="W35" s="156"/>
      <c r="X35" s="156"/>
      <c r="Y35" s="156"/>
      <c r="Z35" s="156"/>
      <c r="AA35" s="156"/>
      <c r="AB35" s="156"/>
      <c r="AC35" s="156"/>
      <c r="AD35" s="156"/>
      <c r="AE35" s="156"/>
      <c r="AF35" s="156"/>
      <c r="AG35" s="156"/>
      <c r="AH35" s="156"/>
      <c r="AI35" s="156"/>
      <c r="AJ35" s="156"/>
    </row>
    <row r="36" ht="15.75" customHeight="1">
      <c r="A36" s="150" t="s">
        <v>34</v>
      </c>
      <c r="B36" s="150" t="s">
        <v>22</v>
      </c>
      <c r="C36" s="155" t="s">
        <v>1763</v>
      </c>
      <c r="D36" s="156" t="s">
        <v>1764</v>
      </c>
      <c r="E36" s="171" t="s">
        <v>1625</v>
      </c>
      <c r="F36" s="150"/>
      <c r="G36" s="171" t="s">
        <v>26</v>
      </c>
      <c r="H36" s="150"/>
      <c r="I36" s="150"/>
      <c r="J36" s="150" t="s">
        <v>1765</v>
      </c>
      <c r="K36" s="156" t="s">
        <v>1766</v>
      </c>
      <c r="L36" s="150"/>
      <c r="M36" s="171"/>
      <c r="N36" s="171"/>
      <c r="O36" s="170"/>
      <c r="P36" s="171"/>
      <c r="Q36" s="150" t="s">
        <v>143</v>
      </c>
      <c r="R36" s="156"/>
      <c r="S36" s="156"/>
      <c r="T36" s="150"/>
      <c r="U36" s="156"/>
      <c r="V36" s="156"/>
      <c r="W36" s="156"/>
      <c r="X36" s="156"/>
      <c r="Y36" s="156"/>
      <c r="Z36" s="156"/>
      <c r="AA36" s="156"/>
      <c r="AB36" s="156"/>
      <c r="AC36" s="156"/>
      <c r="AD36" s="156"/>
      <c r="AE36" s="156"/>
      <c r="AF36" s="156"/>
      <c r="AG36" s="156"/>
      <c r="AH36" s="156"/>
      <c r="AI36" s="156"/>
      <c r="AJ36" s="156"/>
    </row>
    <row r="37" ht="36.75" customHeight="1">
      <c r="A37" s="150" t="s">
        <v>34</v>
      </c>
      <c r="B37" s="150" t="s">
        <v>22</v>
      </c>
      <c r="C37" s="155" t="s">
        <v>1767</v>
      </c>
      <c r="D37" s="156" t="s">
        <v>1768</v>
      </c>
      <c r="E37" s="171" t="s">
        <v>1625</v>
      </c>
      <c r="F37" s="150"/>
      <c r="G37" s="171" t="s">
        <v>26</v>
      </c>
      <c r="H37" s="150"/>
      <c r="I37" s="150" t="s">
        <v>51</v>
      </c>
      <c r="J37" s="150" t="s">
        <v>1769</v>
      </c>
      <c r="K37" s="156" t="s">
        <v>1770</v>
      </c>
      <c r="L37" s="150"/>
      <c r="M37" s="171"/>
      <c r="N37" s="171"/>
      <c r="O37" s="170" t="s">
        <v>1771</v>
      </c>
      <c r="P37" s="171"/>
      <c r="Q37" s="150" t="s">
        <v>102</v>
      </c>
      <c r="R37" s="156"/>
      <c r="S37" s="156"/>
      <c r="T37" s="150"/>
      <c r="U37" s="156"/>
      <c r="V37" s="156"/>
      <c r="W37" s="156"/>
      <c r="X37" s="156"/>
      <c r="Y37" s="156"/>
      <c r="Z37" s="156"/>
      <c r="AA37" s="156"/>
      <c r="AB37" s="156"/>
      <c r="AC37" s="156"/>
      <c r="AD37" s="156"/>
      <c r="AE37" s="156"/>
      <c r="AF37" s="156"/>
      <c r="AG37" s="156"/>
      <c r="AH37" s="156"/>
      <c r="AI37" s="156"/>
      <c r="AJ37" s="156"/>
    </row>
    <row r="38" ht="15.75" customHeight="1">
      <c r="A38" s="150" t="s">
        <v>34</v>
      </c>
      <c r="B38" s="150" t="s">
        <v>35</v>
      </c>
      <c r="C38" s="155" t="s">
        <v>1772</v>
      </c>
      <c r="D38" s="156" t="s">
        <v>1773</v>
      </c>
      <c r="E38" s="171" t="s">
        <v>1625</v>
      </c>
      <c r="F38" s="150"/>
      <c r="G38" s="171" t="s">
        <v>1774</v>
      </c>
      <c r="H38" s="150"/>
      <c r="I38" s="150" t="s">
        <v>51</v>
      </c>
      <c r="J38" s="150" t="s">
        <v>187</v>
      </c>
      <c r="K38" s="156" t="s">
        <v>188</v>
      </c>
      <c r="L38" s="150"/>
      <c r="M38" s="171"/>
      <c r="N38" s="171"/>
      <c r="O38" s="170"/>
      <c r="P38" s="171"/>
      <c r="Q38" s="150" t="s">
        <v>102</v>
      </c>
      <c r="R38" s="156"/>
      <c r="S38" s="156" t="s">
        <v>189</v>
      </c>
      <c r="T38" s="150" t="s">
        <v>33</v>
      </c>
      <c r="U38" s="156"/>
      <c r="V38" s="156"/>
      <c r="W38" s="156"/>
      <c r="X38" s="156"/>
      <c r="Y38" s="156"/>
      <c r="Z38" s="156"/>
      <c r="AA38" s="156"/>
      <c r="AB38" s="156"/>
      <c r="AC38" s="156"/>
      <c r="AD38" s="156"/>
      <c r="AE38" s="156"/>
      <c r="AF38" s="156"/>
      <c r="AG38" s="156"/>
      <c r="AH38" s="156"/>
      <c r="AI38" s="156"/>
      <c r="AJ38" s="156"/>
    </row>
    <row r="39" ht="38.25" customHeight="1">
      <c r="A39" s="150" t="s">
        <v>398</v>
      </c>
      <c r="B39" s="150" t="s">
        <v>399</v>
      </c>
      <c r="C39" s="155" t="s">
        <v>1775</v>
      </c>
      <c r="D39" s="155" t="s">
        <v>1776</v>
      </c>
      <c r="E39" s="150" t="s">
        <v>1625</v>
      </c>
      <c r="F39" s="196" t="s">
        <v>1777</v>
      </c>
      <c r="G39" s="192" t="s">
        <v>1778</v>
      </c>
      <c r="H39" s="150" t="s">
        <v>51</v>
      </c>
      <c r="I39" s="150" t="s">
        <v>27</v>
      </c>
      <c r="J39" s="150" t="s">
        <v>28</v>
      </c>
      <c r="K39" s="155" t="s">
        <v>1779</v>
      </c>
      <c r="L39" s="150"/>
      <c r="M39" s="150"/>
      <c r="N39" s="150"/>
      <c r="O39" s="197"/>
      <c r="P39" s="150"/>
      <c r="Q39" s="150"/>
      <c r="R39" s="150"/>
      <c r="S39" s="156"/>
      <c r="T39" s="150"/>
      <c r="U39" s="156"/>
      <c r="V39" s="156"/>
      <c r="W39" s="156"/>
      <c r="X39" s="156"/>
      <c r="Y39" s="156"/>
      <c r="Z39" s="156"/>
      <c r="AA39" s="156"/>
      <c r="AB39" s="156"/>
      <c r="AC39" s="156"/>
      <c r="AD39" s="156"/>
      <c r="AE39" s="156"/>
      <c r="AF39" s="156"/>
      <c r="AG39" s="156"/>
      <c r="AH39" s="156"/>
      <c r="AI39" s="156"/>
      <c r="AJ39" s="172"/>
    </row>
    <row r="40" ht="15.75" customHeight="1">
      <c r="A40" s="150" t="s">
        <v>641</v>
      </c>
      <c r="B40" s="150"/>
      <c r="C40" s="155" t="s">
        <v>1780</v>
      </c>
      <c r="D40" s="198" t="s">
        <v>1781</v>
      </c>
      <c r="E40" s="150" t="s">
        <v>1625</v>
      </c>
      <c r="F40" s="196" t="s">
        <v>1782</v>
      </c>
      <c r="G40" s="192" t="s">
        <v>1278</v>
      </c>
      <c r="H40" s="150"/>
      <c r="I40" s="150" t="s">
        <v>51</v>
      </c>
      <c r="J40" s="150"/>
      <c r="K40" s="155"/>
      <c r="L40" s="150"/>
      <c r="M40" s="150"/>
      <c r="N40" s="150"/>
      <c r="O40" s="199" t="s">
        <v>1783</v>
      </c>
      <c r="P40" s="150"/>
      <c r="Q40" s="171" t="s">
        <v>1784</v>
      </c>
      <c r="R40" s="156"/>
      <c r="S40" s="156"/>
      <c r="T40" s="150"/>
      <c r="U40" s="156"/>
      <c r="V40" s="156"/>
      <c r="W40" s="156"/>
      <c r="X40" s="156"/>
      <c r="Y40" s="156"/>
      <c r="Z40" s="156"/>
      <c r="AA40" s="156"/>
      <c r="AB40" s="156"/>
      <c r="AC40" s="156"/>
      <c r="AD40" s="156"/>
      <c r="AE40" s="156"/>
      <c r="AF40" s="156"/>
      <c r="AG40" s="156"/>
      <c r="AH40" s="156"/>
      <c r="AI40" s="156"/>
      <c r="AJ40" s="156"/>
    </row>
    <row r="41" ht="15.75" customHeight="1">
      <c r="A41" s="150" t="s">
        <v>641</v>
      </c>
      <c r="B41" s="150"/>
      <c r="C41" s="155" t="s">
        <v>1785</v>
      </c>
      <c r="D41" s="156" t="s">
        <v>1786</v>
      </c>
      <c r="E41" s="150" t="s">
        <v>1625</v>
      </c>
      <c r="F41" s="196" t="s">
        <v>1782</v>
      </c>
      <c r="G41" s="192" t="s">
        <v>1278</v>
      </c>
      <c r="H41" s="150"/>
      <c r="I41" s="150" t="s">
        <v>51</v>
      </c>
      <c r="J41" s="150"/>
      <c r="K41" s="155"/>
      <c r="L41" s="150"/>
      <c r="M41" s="150"/>
      <c r="N41" s="150"/>
      <c r="O41" s="199" t="s">
        <v>1783</v>
      </c>
      <c r="P41" s="150"/>
      <c r="Q41" s="171" t="s">
        <v>1787</v>
      </c>
      <c r="R41" s="156"/>
      <c r="S41" s="156"/>
      <c r="T41" s="150"/>
      <c r="U41" s="156"/>
      <c r="V41" s="156"/>
      <c r="W41" s="156"/>
      <c r="X41" s="156"/>
      <c r="Y41" s="156"/>
      <c r="Z41" s="156"/>
      <c r="AA41" s="156"/>
      <c r="AB41" s="156"/>
      <c r="AC41" s="156"/>
      <c r="AD41" s="156"/>
      <c r="AE41" s="156"/>
      <c r="AF41" s="156"/>
      <c r="AG41" s="156"/>
      <c r="AH41" s="156"/>
      <c r="AI41" s="156"/>
      <c r="AJ41" s="156"/>
    </row>
    <row r="42" ht="15.75" customHeight="1">
      <c r="A42" s="150"/>
      <c r="B42" s="150"/>
      <c r="C42" s="150"/>
      <c r="D42" s="156"/>
      <c r="E42" s="150"/>
      <c r="F42" s="150"/>
      <c r="G42" s="150"/>
      <c r="H42" s="156"/>
      <c r="I42" s="150"/>
      <c r="J42" s="150"/>
      <c r="K42" s="155"/>
      <c r="L42" s="155"/>
      <c r="M42" s="150"/>
      <c r="N42" s="150"/>
      <c r="O42" s="155"/>
      <c r="P42" s="150"/>
      <c r="Q42" s="150"/>
      <c r="R42" s="156"/>
      <c r="S42" s="193"/>
      <c r="T42" s="156"/>
      <c r="U42" s="156"/>
      <c r="V42" s="156"/>
      <c r="W42" s="156"/>
      <c r="X42" s="156"/>
      <c r="Y42" s="156"/>
      <c r="Z42" s="156"/>
      <c r="AA42" s="156"/>
      <c r="AB42" s="156"/>
      <c r="AC42" s="156"/>
      <c r="AD42" s="156"/>
      <c r="AE42" s="156"/>
      <c r="AF42" s="156"/>
      <c r="AG42" s="156"/>
      <c r="AH42" s="156"/>
      <c r="AI42" s="156"/>
      <c r="AJ42" s="156"/>
    </row>
    <row r="43" ht="15.75" customHeight="1">
      <c r="A43" s="150"/>
      <c r="B43" s="150"/>
      <c r="C43" s="150"/>
      <c r="D43" s="156"/>
      <c r="E43" s="150"/>
      <c r="F43" s="150"/>
      <c r="G43" s="150"/>
      <c r="H43" s="156"/>
      <c r="I43" s="150"/>
      <c r="J43" s="150"/>
      <c r="K43" s="155"/>
      <c r="L43" s="155"/>
      <c r="M43" s="150"/>
      <c r="N43" s="150"/>
      <c r="O43" s="155"/>
      <c r="P43" s="150"/>
      <c r="Q43" s="150"/>
      <c r="R43" s="156"/>
      <c r="S43" s="193"/>
      <c r="T43" s="156"/>
      <c r="U43" s="156"/>
      <c r="V43" s="156"/>
      <c r="W43" s="156"/>
      <c r="X43" s="156"/>
      <c r="Y43" s="156"/>
      <c r="Z43" s="156"/>
      <c r="AA43" s="156"/>
      <c r="AB43" s="156"/>
      <c r="AC43" s="156"/>
      <c r="AD43" s="156"/>
      <c r="AE43" s="156"/>
      <c r="AF43" s="156"/>
      <c r="AG43" s="156"/>
      <c r="AH43" s="156"/>
      <c r="AI43" s="156"/>
      <c r="AJ43" s="156"/>
    </row>
    <row r="44" ht="15.75" customHeight="1">
      <c r="A44" s="150"/>
      <c r="B44" s="150"/>
      <c r="C44" s="150"/>
      <c r="D44" s="156"/>
      <c r="E44" s="150"/>
      <c r="F44" s="150"/>
      <c r="G44" s="150"/>
      <c r="H44" s="156"/>
      <c r="I44" s="150"/>
      <c r="J44" s="150"/>
      <c r="K44" s="155"/>
      <c r="L44" s="155"/>
      <c r="M44" s="150"/>
      <c r="N44" s="150"/>
      <c r="O44" s="155"/>
      <c r="P44" s="150"/>
      <c r="Q44" s="150"/>
      <c r="R44" s="156"/>
      <c r="S44" s="193"/>
      <c r="T44" s="156"/>
      <c r="U44" s="156"/>
      <c r="V44" s="156"/>
      <c r="W44" s="156"/>
      <c r="X44" s="156"/>
      <c r="Y44" s="156"/>
      <c r="Z44" s="156"/>
      <c r="AA44" s="156"/>
      <c r="AB44" s="156"/>
      <c r="AC44" s="156"/>
      <c r="AD44" s="156"/>
      <c r="AE44" s="156"/>
      <c r="AF44" s="156"/>
      <c r="AG44" s="156"/>
      <c r="AH44" s="156"/>
      <c r="AI44" s="156"/>
      <c r="AJ44" s="156"/>
    </row>
    <row r="45" ht="15.75" customHeight="1">
      <c r="A45" s="150"/>
      <c r="B45" s="150"/>
      <c r="C45" s="150"/>
      <c r="D45" s="156"/>
      <c r="E45" s="150"/>
      <c r="F45" s="150"/>
      <c r="G45" s="150"/>
      <c r="H45" s="156"/>
      <c r="I45" s="150"/>
      <c r="J45" s="150"/>
      <c r="K45" s="155"/>
      <c r="L45" s="155"/>
      <c r="M45" s="150"/>
      <c r="N45" s="150"/>
      <c r="O45" s="155"/>
      <c r="P45" s="150"/>
      <c r="Q45" s="150"/>
      <c r="R45" s="156"/>
      <c r="S45" s="193"/>
      <c r="T45" s="156"/>
      <c r="U45" s="156"/>
      <c r="V45" s="156"/>
      <c r="W45" s="156"/>
      <c r="X45" s="156"/>
      <c r="Y45" s="156"/>
      <c r="Z45" s="156"/>
      <c r="AA45" s="156"/>
      <c r="AB45" s="156"/>
      <c r="AC45" s="156"/>
      <c r="AD45" s="156"/>
      <c r="AE45" s="156"/>
      <c r="AF45" s="156"/>
      <c r="AG45" s="156"/>
      <c r="AH45" s="156"/>
      <c r="AI45" s="156"/>
      <c r="AJ45" s="156"/>
    </row>
    <row r="46" ht="15.75" customHeight="1">
      <c r="A46" s="150"/>
      <c r="B46" s="150"/>
      <c r="C46" s="150"/>
      <c r="D46" s="156"/>
      <c r="E46" s="150"/>
      <c r="F46" s="150"/>
      <c r="G46" s="150"/>
      <c r="H46" s="156"/>
      <c r="I46" s="150"/>
      <c r="J46" s="150"/>
      <c r="K46" s="155"/>
      <c r="L46" s="155"/>
      <c r="M46" s="150"/>
      <c r="N46" s="150"/>
      <c r="O46" s="155"/>
      <c r="P46" s="150"/>
      <c r="Q46" s="150"/>
      <c r="R46" s="156"/>
      <c r="S46" s="193"/>
      <c r="T46" s="156"/>
      <c r="U46" s="156"/>
      <c r="V46" s="156"/>
      <c r="W46" s="156"/>
      <c r="X46" s="156"/>
      <c r="Y46" s="156"/>
      <c r="Z46" s="156"/>
      <c r="AA46" s="156"/>
      <c r="AB46" s="156"/>
      <c r="AC46" s="156"/>
      <c r="AD46" s="156"/>
      <c r="AE46" s="156"/>
      <c r="AF46" s="156"/>
      <c r="AG46" s="156"/>
      <c r="AH46" s="156"/>
      <c r="AI46" s="156"/>
      <c r="AJ46" s="156"/>
    </row>
    <row r="47" ht="15.75" customHeight="1">
      <c r="A47" s="150"/>
      <c r="B47" s="150"/>
      <c r="C47" s="150"/>
      <c r="D47" s="156"/>
      <c r="E47" s="150"/>
      <c r="F47" s="150"/>
      <c r="G47" s="150"/>
      <c r="H47" s="156"/>
      <c r="I47" s="150"/>
      <c r="J47" s="150"/>
      <c r="K47" s="155"/>
      <c r="L47" s="155"/>
      <c r="M47" s="150"/>
      <c r="N47" s="150"/>
      <c r="O47" s="155"/>
      <c r="P47" s="150"/>
      <c r="Q47" s="150"/>
      <c r="R47" s="156"/>
      <c r="S47" s="193"/>
      <c r="T47" s="156"/>
      <c r="U47" s="156"/>
      <c r="V47" s="156"/>
      <c r="W47" s="156"/>
      <c r="X47" s="156"/>
      <c r="Y47" s="156"/>
      <c r="Z47" s="156"/>
      <c r="AA47" s="156"/>
      <c r="AB47" s="156"/>
      <c r="AC47" s="156"/>
      <c r="AD47" s="156"/>
      <c r="AE47" s="156"/>
      <c r="AF47" s="156"/>
      <c r="AG47" s="156"/>
      <c r="AH47" s="156"/>
      <c r="AI47" s="156"/>
      <c r="AJ47" s="156"/>
    </row>
    <row r="48" ht="15.75" customHeight="1">
      <c r="A48" s="150"/>
      <c r="B48" s="150"/>
      <c r="C48" s="150"/>
      <c r="D48" s="156"/>
      <c r="E48" s="150"/>
      <c r="F48" s="150"/>
      <c r="G48" s="150"/>
      <c r="H48" s="156"/>
      <c r="I48" s="150"/>
      <c r="J48" s="150"/>
      <c r="K48" s="155"/>
      <c r="L48" s="155"/>
      <c r="M48" s="150"/>
      <c r="N48" s="150"/>
      <c r="O48" s="155"/>
      <c r="P48" s="150"/>
      <c r="Q48" s="150"/>
      <c r="R48" s="156"/>
      <c r="S48" s="193"/>
      <c r="T48" s="156"/>
      <c r="U48" s="156"/>
      <c r="V48" s="156"/>
      <c r="W48" s="156"/>
      <c r="X48" s="156"/>
      <c r="Y48" s="156"/>
      <c r="Z48" s="156"/>
      <c r="AA48" s="156"/>
      <c r="AB48" s="156"/>
      <c r="AC48" s="156"/>
      <c r="AD48" s="156"/>
      <c r="AE48" s="156"/>
      <c r="AF48" s="156"/>
      <c r="AG48" s="156"/>
      <c r="AH48" s="156"/>
      <c r="AI48" s="156"/>
      <c r="AJ48" s="156"/>
    </row>
    <row r="49" ht="15.75" customHeight="1">
      <c r="A49" s="150"/>
      <c r="B49" s="150"/>
      <c r="C49" s="150"/>
      <c r="D49" s="156"/>
      <c r="E49" s="150"/>
      <c r="F49" s="150"/>
      <c r="G49" s="150"/>
      <c r="H49" s="156"/>
      <c r="I49" s="150"/>
      <c r="J49" s="150"/>
      <c r="K49" s="155"/>
      <c r="L49" s="155"/>
      <c r="M49" s="150"/>
      <c r="N49" s="150"/>
      <c r="O49" s="155"/>
      <c r="P49" s="150"/>
      <c r="Q49" s="150"/>
      <c r="R49" s="156"/>
      <c r="S49" s="193"/>
      <c r="T49" s="156"/>
      <c r="U49" s="156"/>
      <c r="V49" s="156"/>
      <c r="W49" s="156"/>
      <c r="X49" s="156"/>
      <c r="Y49" s="156"/>
      <c r="Z49" s="156"/>
      <c r="AA49" s="156"/>
      <c r="AB49" s="156"/>
      <c r="AC49" s="156"/>
      <c r="AD49" s="156"/>
      <c r="AE49" s="156"/>
      <c r="AF49" s="156"/>
      <c r="AG49" s="156"/>
      <c r="AH49" s="156"/>
      <c r="AI49" s="156"/>
      <c r="AJ49" s="156"/>
    </row>
    <row r="50" ht="15.75" customHeight="1">
      <c r="A50" s="150"/>
      <c r="B50" s="150"/>
      <c r="C50" s="150"/>
      <c r="D50" s="156"/>
      <c r="E50" s="150"/>
      <c r="F50" s="150"/>
      <c r="G50" s="150"/>
      <c r="H50" s="156"/>
      <c r="I50" s="150"/>
      <c r="J50" s="150"/>
      <c r="K50" s="155"/>
      <c r="L50" s="155"/>
      <c r="M50" s="150"/>
      <c r="N50" s="150"/>
      <c r="O50" s="155"/>
      <c r="P50" s="150"/>
      <c r="Q50" s="150"/>
      <c r="R50" s="156"/>
      <c r="S50" s="193"/>
      <c r="T50" s="156"/>
      <c r="U50" s="156"/>
      <c r="V50" s="156"/>
      <c r="W50" s="156"/>
      <c r="X50" s="156"/>
      <c r="Y50" s="156"/>
      <c r="Z50" s="156"/>
      <c r="AA50" s="156"/>
      <c r="AB50" s="156"/>
      <c r="AC50" s="156"/>
      <c r="AD50" s="156"/>
      <c r="AE50" s="156"/>
      <c r="AF50" s="156"/>
      <c r="AG50" s="156"/>
      <c r="AH50" s="156"/>
      <c r="AI50" s="156"/>
      <c r="AJ50" s="156"/>
    </row>
    <row r="51" ht="15.75" customHeight="1">
      <c r="A51" s="150"/>
      <c r="B51" s="150"/>
      <c r="C51" s="150"/>
      <c r="D51" s="156"/>
      <c r="E51" s="150"/>
      <c r="F51" s="150"/>
      <c r="G51" s="150"/>
      <c r="H51" s="156"/>
      <c r="I51" s="150"/>
      <c r="J51" s="150"/>
      <c r="K51" s="155"/>
      <c r="L51" s="155"/>
      <c r="M51" s="150"/>
      <c r="N51" s="150"/>
      <c r="O51" s="155"/>
      <c r="P51" s="150"/>
      <c r="Q51" s="150"/>
      <c r="R51" s="156"/>
      <c r="S51" s="193"/>
      <c r="T51" s="156"/>
      <c r="U51" s="156"/>
      <c r="V51" s="156"/>
      <c r="W51" s="156"/>
      <c r="X51" s="156"/>
      <c r="Y51" s="156"/>
      <c r="Z51" s="156"/>
      <c r="AA51" s="156"/>
      <c r="AB51" s="156"/>
      <c r="AC51" s="156"/>
      <c r="AD51" s="156"/>
      <c r="AE51" s="156"/>
      <c r="AF51" s="156"/>
      <c r="AG51" s="156"/>
      <c r="AH51" s="156"/>
      <c r="AI51" s="156"/>
      <c r="AJ51" s="156"/>
    </row>
    <row r="52" ht="15.75" customHeight="1">
      <c r="A52" s="150"/>
      <c r="B52" s="150"/>
      <c r="C52" s="150"/>
      <c r="D52" s="156"/>
      <c r="E52" s="150"/>
      <c r="F52" s="150"/>
      <c r="G52" s="150"/>
      <c r="H52" s="156"/>
      <c r="I52" s="150"/>
      <c r="J52" s="150"/>
      <c r="K52" s="155"/>
      <c r="L52" s="155"/>
      <c r="M52" s="150"/>
      <c r="N52" s="150"/>
      <c r="O52" s="155"/>
      <c r="P52" s="150"/>
      <c r="Q52" s="150"/>
      <c r="R52" s="156"/>
      <c r="S52" s="193"/>
      <c r="T52" s="156"/>
      <c r="U52" s="156"/>
      <c r="V52" s="156"/>
      <c r="W52" s="156"/>
      <c r="X52" s="156"/>
      <c r="Y52" s="156"/>
      <c r="Z52" s="156"/>
      <c r="AA52" s="156"/>
      <c r="AB52" s="156"/>
      <c r="AC52" s="156"/>
      <c r="AD52" s="156"/>
      <c r="AE52" s="156"/>
      <c r="AF52" s="156"/>
      <c r="AG52" s="156"/>
      <c r="AH52" s="156"/>
      <c r="AI52" s="156"/>
      <c r="AJ52" s="156"/>
    </row>
    <row r="53" ht="15.75" customHeight="1">
      <c r="A53" s="150"/>
      <c r="B53" s="150"/>
      <c r="C53" s="150"/>
      <c r="D53" s="156"/>
      <c r="E53" s="150"/>
      <c r="F53" s="150"/>
      <c r="G53" s="150"/>
      <c r="H53" s="156"/>
      <c r="I53" s="150"/>
      <c r="J53" s="150"/>
      <c r="K53" s="155"/>
      <c r="L53" s="155"/>
      <c r="M53" s="150"/>
      <c r="N53" s="150"/>
      <c r="O53" s="155"/>
      <c r="P53" s="150"/>
      <c r="Q53" s="150"/>
      <c r="R53" s="156"/>
      <c r="S53" s="193"/>
      <c r="T53" s="156"/>
      <c r="U53" s="156"/>
      <c r="V53" s="156"/>
      <c r="W53" s="156"/>
      <c r="X53" s="156"/>
      <c r="Y53" s="156"/>
      <c r="Z53" s="156"/>
      <c r="AA53" s="156"/>
      <c r="AB53" s="156"/>
      <c r="AC53" s="156"/>
      <c r="AD53" s="156"/>
      <c r="AE53" s="156"/>
      <c r="AF53" s="156"/>
      <c r="AG53" s="156"/>
      <c r="AH53" s="156"/>
      <c r="AI53" s="156"/>
      <c r="AJ53" s="156"/>
    </row>
    <row r="54" ht="15.75" customHeight="1">
      <c r="A54" s="150"/>
      <c r="B54" s="150"/>
      <c r="C54" s="150"/>
      <c r="D54" s="156"/>
      <c r="E54" s="150"/>
      <c r="F54" s="150"/>
      <c r="G54" s="150"/>
      <c r="H54" s="156"/>
      <c r="I54" s="150"/>
      <c r="J54" s="150"/>
      <c r="K54" s="155"/>
      <c r="L54" s="155"/>
      <c r="M54" s="150"/>
      <c r="N54" s="150"/>
      <c r="O54" s="155"/>
      <c r="P54" s="150"/>
      <c r="Q54" s="150"/>
      <c r="R54" s="156"/>
      <c r="S54" s="193"/>
      <c r="T54" s="156"/>
      <c r="U54" s="156"/>
      <c r="V54" s="156"/>
      <c r="W54" s="156"/>
      <c r="X54" s="156"/>
      <c r="Y54" s="156"/>
      <c r="Z54" s="156"/>
      <c r="AA54" s="156"/>
      <c r="AB54" s="156"/>
      <c r="AC54" s="156"/>
      <c r="AD54" s="156"/>
      <c r="AE54" s="156"/>
      <c r="AF54" s="156"/>
      <c r="AG54" s="156"/>
      <c r="AH54" s="156"/>
      <c r="AI54" s="156"/>
      <c r="AJ54" s="156"/>
    </row>
    <row r="55" ht="15.75" customHeight="1">
      <c r="A55" s="150"/>
      <c r="B55" s="150"/>
      <c r="C55" s="150"/>
      <c r="D55" s="156"/>
      <c r="E55" s="150"/>
      <c r="F55" s="150"/>
      <c r="G55" s="150"/>
      <c r="H55" s="156"/>
      <c r="I55" s="150"/>
      <c r="J55" s="150"/>
      <c r="K55" s="155"/>
      <c r="L55" s="155"/>
      <c r="M55" s="150"/>
      <c r="N55" s="150"/>
      <c r="O55" s="155"/>
      <c r="P55" s="150"/>
      <c r="Q55" s="150"/>
      <c r="R55" s="156"/>
      <c r="S55" s="193"/>
      <c r="T55" s="156"/>
      <c r="U55" s="156"/>
      <c r="V55" s="156"/>
      <c r="W55" s="156"/>
      <c r="X55" s="156"/>
      <c r="Y55" s="156"/>
      <c r="Z55" s="156"/>
      <c r="AA55" s="156"/>
      <c r="AB55" s="156"/>
      <c r="AC55" s="156"/>
      <c r="AD55" s="156"/>
      <c r="AE55" s="156"/>
      <c r="AF55" s="156"/>
      <c r="AG55" s="156"/>
      <c r="AH55" s="156"/>
      <c r="AI55" s="156"/>
      <c r="AJ55" s="156"/>
    </row>
    <row r="56" ht="15.75" customHeight="1">
      <c r="A56" s="150"/>
      <c r="B56" s="150"/>
      <c r="C56" s="150"/>
      <c r="D56" s="156"/>
      <c r="E56" s="150"/>
      <c r="F56" s="150"/>
      <c r="G56" s="150"/>
      <c r="H56" s="156"/>
      <c r="I56" s="150"/>
      <c r="J56" s="150"/>
      <c r="K56" s="155"/>
      <c r="L56" s="155"/>
      <c r="M56" s="150"/>
      <c r="N56" s="150"/>
      <c r="O56" s="155"/>
      <c r="P56" s="150"/>
      <c r="Q56" s="150"/>
      <c r="R56" s="156"/>
      <c r="S56" s="193"/>
      <c r="T56" s="156"/>
      <c r="U56" s="156"/>
      <c r="V56" s="156"/>
      <c r="W56" s="156"/>
      <c r="X56" s="156"/>
      <c r="Y56" s="156"/>
      <c r="Z56" s="156"/>
      <c r="AA56" s="156"/>
      <c r="AB56" s="156"/>
      <c r="AC56" s="156"/>
      <c r="AD56" s="156"/>
      <c r="AE56" s="156"/>
      <c r="AF56" s="156"/>
      <c r="AG56" s="156"/>
      <c r="AH56" s="156"/>
      <c r="AI56" s="156"/>
      <c r="AJ56" s="156"/>
    </row>
    <row r="57" ht="15.75" customHeight="1">
      <c r="A57" s="150"/>
      <c r="B57" s="150"/>
      <c r="C57" s="150"/>
      <c r="D57" s="156"/>
      <c r="E57" s="150"/>
      <c r="F57" s="150"/>
      <c r="G57" s="150"/>
      <c r="H57" s="156"/>
      <c r="I57" s="150"/>
      <c r="J57" s="150"/>
      <c r="K57" s="155"/>
      <c r="L57" s="155"/>
      <c r="M57" s="150"/>
      <c r="N57" s="150"/>
      <c r="O57" s="155"/>
      <c r="P57" s="150"/>
      <c r="Q57" s="150"/>
      <c r="R57" s="156"/>
      <c r="S57" s="193"/>
      <c r="T57" s="156"/>
      <c r="U57" s="156"/>
      <c r="V57" s="156"/>
      <c r="W57" s="156"/>
      <c r="X57" s="156"/>
      <c r="Y57" s="156"/>
      <c r="Z57" s="156"/>
      <c r="AA57" s="156"/>
      <c r="AB57" s="156"/>
      <c r="AC57" s="156"/>
      <c r="AD57" s="156"/>
      <c r="AE57" s="156"/>
      <c r="AF57" s="156"/>
      <c r="AG57" s="156"/>
      <c r="AH57" s="156"/>
      <c r="AI57" s="156"/>
      <c r="AJ57" s="156"/>
    </row>
    <row r="58" ht="15.75" customHeight="1">
      <c r="A58" s="150"/>
      <c r="B58" s="150"/>
      <c r="C58" s="150"/>
      <c r="D58" s="156"/>
      <c r="E58" s="150"/>
      <c r="F58" s="150"/>
      <c r="G58" s="150"/>
      <c r="H58" s="156"/>
      <c r="I58" s="150"/>
      <c r="J58" s="150"/>
      <c r="K58" s="155"/>
      <c r="L58" s="155"/>
      <c r="M58" s="150"/>
      <c r="N58" s="150"/>
      <c r="O58" s="155"/>
      <c r="P58" s="150"/>
      <c r="Q58" s="150"/>
      <c r="R58" s="156"/>
      <c r="S58" s="193"/>
      <c r="T58" s="156"/>
      <c r="U58" s="156"/>
      <c r="V58" s="156"/>
      <c r="W58" s="156"/>
      <c r="X58" s="156"/>
      <c r="Y58" s="156"/>
      <c r="Z58" s="156"/>
      <c r="AA58" s="156"/>
      <c r="AB58" s="156"/>
      <c r="AC58" s="156"/>
      <c r="AD58" s="156"/>
      <c r="AE58" s="156"/>
      <c r="AF58" s="156"/>
      <c r="AG58" s="156"/>
      <c r="AH58" s="156"/>
      <c r="AI58" s="156"/>
      <c r="AJ58" s="156"/>
    </row>
    <row r="59" ht="15.75" customHeight="1">
      <c r="A59" s="150"/>
      <c r="B59" s="150"/>
      <c r="C59" s="150"/>
      <c r="D59" s="156"/>
      <c r="E59" s="150"/>
      <c r="F59" s="150"/>
      <c r="G59" s="150"/>
      <c r="H59" s="156"/>
      <c r="I59" s="150"/>
      <c r="J59" s="150"/>
      <c r="K59" s="155"/>
      <c r="L59" s="155"/>
      <c r="M59" s="150"/>
      <c r="N59" s="150"/>
      <c r="O59" s="155"/>
      <c r="P59" s="150"/>
      <c r="Q59" s="150"/>
      <c r="R59" s="156"/>
      <c r="S59" s="193"/>
      <c r="T59" s="156"/>
      <c r="U59" s="156"/>
      <c r="V59" s="156"/>
      <c r="W59" s="156"/>
      <c r="X59" s="156"/>
      <c r="Y59" s="156"/>
      <c r="Z59" s="156"/>
      <c r="AA59" s="156"/>
      <c r="AB59" s="156"/>
      <c r="AC59" s="156"/>
      <c r="AD59" s="156"/>
      <c r="AE59" s="156"/>
      <c r="AF59" s="156"/>
      <c r="AG59" s="156"/>
      <c r="AH59" s="156"/>
      <c r="AI59" s="156"/>
      <c r="AJ59" s="156"/>
    </row>
    <row r="60" ht="15.75" customHeight="1">
      <c r="A60" s="150"/>
      <c r="B60" s="150"/>
      <c r="C60" s="150"/>
      <c r="D60" s="156"/>
      <c r="E60" s="150"/>
      <c r="F60" s="150"/>
      <c r="G60" s="150"/>
      <c r="H60" s="156"/>
      <c r="I60" s="150"/>
      <c r="J60" s="150"/>
      <c r="K60" s="155"/>
      <c r="L60" s="155"/>
      <c r="M60" s="150"/>
      <c r="N60" s="150"/>
      <c r="O60" s="155"/>
      <c r="P60" s="150"/>
      <c r="Q60" s="150"/>
      <c r="R60" s="156"/>
      <c r="S60" s="193"/>
      <c r="T60" s="156"/>
      <c r="U60" s="156"/>
      <c r="V60" s="156"/>
      <c r="W60" s="156"/>
      <c r="X60" s="156"/>
      <c r="Y60" s="156"/>
      <c r="Z60" s="156"/>
      <c r="AA60" s="156"/>
      <c r="AB60" s="156"/>
      <c r="AC60" s="156"/>
      <c r="AD60" s="156"/>
      <c r="AE60" s="156"/>
      <c r="AF60" s="156"/>
      <c r="AG60" s="156"/>
      <c r="AH60" s="156"/>
      <c r="AI60" s="156"/>
      <c r="AJ60" s="156"/>
    </row>
    <row r="61" ht="15.75" customHeight="1">
      <c r="A61" s="150"/>
      <c r="B61" s="150"/>
      <c r="C61" s="150"/>
      <c r="D61" s="156"/>
      <c r="E61" s="150"/>
      <c r="F61" s="150"/>
      <c r="G61" s="150"/>
      <c r="H61" s="156"/>
      <c r="I61" s="150"/>
      <c r="J61" s="150"/>
      <c r="K61" s="155"/>
      <c r="L61" s="155"/>
      <c r="M61" s="150"/>
      <c r="N61" s="150"/>
      <c r="O61" s="155"/>
      <c r="P61" s="150"/>
      <c r="Q61" s="150"/>
      <c r="R61" s="156"/>
      <c r="S61" s="193"/>
      <c r="T61" s="156"/>
      <c r="U61" s="156"/>
      <c r="V61" s="156"/>
      <c r="W61" s="156"/>
      <c r="X61" s="156"/>
      <c r="Y61" s="156"/>
      <c r="Z61" s="156"/>
      <c r="AA61" s="156"/>
      <c r="AB61" s="156"/>
      <c r="AC61" s="156"/>
      <c r="AD61" s="156"/>
      <c r="AE61" s="156"/>
      <c r="AF61" s="156"/>
      <c r="AG61" s="156"/>
      <c r="AH61" s="156"/>
      <c r="AI61" s="156"/>
      <c r="AJ61" s="156"/>
    </row>
    <row r="62" ht="15.75" customHeight="1">
      <c r="A62" s="150"/>
      <c r="B62" s="150"/>
      <c r="C62" s="150"/>
      <c r="D62" s="156"/>
      <c r="E62" s="150"/>
      <c r="F62" s="150"/>
      <c r="G62" s="150"/>
      <c r="H62" s="156"/>
      <c r="I62" s="150"/>
      <c r="J62" s="150"/>
      <c r="K62" s="155"/>
      <c r="L62" s="155"/>
      <c r="M62" s="150"/>
      <c r="N62" s="150"/>
      <c r="O62" s="155"/>
      <c r="P62" s="150"/>
      <c r="Q62" s="150"/>
      <c r="R62" s="156"/>
      <c r="S62" s="193"/>
      <c r="T62" s="156"/>
      <c r="U62" s="156"/>
      <c r="V62" s="156"/>
      <c r="W62" s="156"/>
      <c r="X62" s="156"/>
      <c r="Y62" s="156"/>
      <c r="Z62" s="156"/>
      <c r="AA62" s="156"/>
      <c r="AB62" s="156"/>
      <c r="AC62" s="156"/>
      <c r="AD62" s="156"/>
      <c r="AE62" s="156"/>
      <c r="AF62" s="156"/>
      <c r="AG62" s="156"/>
      <c r="AH62" s="156"/>
      <c r="AI62" s="156"/>
      <c r="AJ62" s="156"/>
    </row>
    <row r="63" ht="15.75" customHeight="1">
      <c r="A63" s="150"/>
      <c r="B63" s="150"/>
      <c r="C63" s="150"/>
      <c r="D63" s="156"/>
      <c r="E63" s="150"/>
      <c r="F63" s="150"/>
      <c r="G63" s="150"/>
      <c r="H63" s="156"/>
      <c r="I63" s="150"/>
      <c r="J63" s="150"/>
      <c r="K63" s="155"/>
      <c r="L63" s="155"/>
      <c r="M63" s="150"/>
      <c r="N63" s="150"/>
      <c r="O63" s="155"/>
      <c r="P63" s="150"/>
      <c r="Q63" s="150"/>
      <c r="R63" s="156"/>
      <c r="S63" s="193"/>
      <c r="T63" s="156"/>
      <c r="U63" s="156"/>
      <c r="V63" s="156"/>
      <c r="W63" s="156"/>
      <c r="X63" s="156"/>
      <c r="Y63" s="156"/>
      <c r="Z63" s="156"/>
      <c r="AA63" s="156"/>
      <c r="AB63" s="156"/>
      <c r="AC63" s="156"/>
      <c r="AD63" s="156"/>
      <c r="AE63" s="156"/>
      <c r="AF63" s="156"/>
      <c r="AG63" s="156"/>
      <c r="AH63" s="156"/>
      <c r="AI63" s="156"/>
      <c r="AJ63" s="156"/>
    </row>
    <row r="64" ht="15.75" customHeight="1">
      <c r="A64" s="150"/>
      <c r="B64" s="150"/>
      <c r="C64" s="150"/>
      <c r="D64" s="156"/>
      <c r="E64" s="150"/>
      <c r="F64" s="150"/>
      <c r="G64" s="150"/>
      <c r="H64" s="156"/>
      <c r="I64" s="150"/>
      <c r="J64" s="150"/>
      <c r="K64" s="155"/>
      <c r="L64" s="155"/>
      <c r="M64" s="150"/>
      <c r="N64" s="150"/>
      <c r="O64" s="155"/>
      <c r="P64" s="150"/>
      <c r="Q64" s="150"/>
      <c r="R64" s="156"/>
      <c r="S64" s="193"/>
      <c r="T64" s="156"/>
      <c r="U64" s="156"/>
      <c r="V64" s="156"/>
      <c r="W64" s="156"/>
      <c r="X64" s="156"/>
      <c r="Y64" s="156"/>
      <c r="Z64" s="156"/>
      <c r="AA64" s="156"/>
      <c r="AB64" s="156"/>
      <c r="AC64" s="156"/>
      <c r="AD64" s="156"/>
      <c r="AE64" s="156"/>
      <c r="AF64" s="156"/>
      <c r="AG64" s="156"/>
      <c r="AH64" s="156"/>
      <c r="AI64" s="156"/>
      <c r="AJ64" s="156"/>
    </row>
    <row r="65" ht="15.75" customHeight="1">
      <c r="A65" s="150"/>
      <c r="B65" s="150"/>
      <c r="C65" s="150"/>
      <c r="D65" s="156"/>
      <c r="E65" s="150"/>
      <c r="F65" s="150"/>
      <c r="G65" s="150"/>
      <c r="H65" s="156"/>
      <c r="I65" s="150"/>
      <c r="J65" s="150"/>
      <c r="K65" s="155"/>
      <c r="L65" s="155"/>
      <c r="M65" s="150"/>
      <c r="N65" s="150"/>
      <c r="O65" s="155"/>
      <c r="P65" s="150"/>
      <c r="Q65" s="150"/>
      <c r="R65" s="156"/>
      <c r="S65" s="193"/>
      <c r="T65" s="156"/>
      <c r="U65" s="156"/>
      <c r="V65" s="156"/>
      <c r="W65" s="156"/>
      <c r="X65" s="156"/>
      <c r="Y65" s="156"/>
      <c r="Z65" s="156"/>
      <c r="AA65" s="156"/>
      <c r="AB65" s="156"/>
      <c r="AC65" s="156"/>
      <c r="AD65" s="156"/>
      <c r="AE65" s="156"/>
      <c r="AF65" s="156"/>
      <c r="AG65" s="156"/>
      <c r="AH65" s="156"/>
      <c r="AI65" s="156"/>
      <c r="AJ65" s="156"/>
    </row>
    <row r="66" ht="15.75" customHeight="1">
      <c r="A66" s="150"/>
      <c r="B66" s="150"/>
      <c r="C66" s="150"/>
      <c r="D66" s="156"/>
      <c r="E66" s="150"/>
      <c r="F66" s="150"/>
      <c r="G66" s="150"/>
      <c r="H66" s="156"/>
      <c r="I66" s="150"/>
      <c r="J66" s="150"/>
      <c r="K66" s="155"/>
      <c r="L66" s="155"/>
      <c r="M66" s="150"/>
      <c r="N66" s="150"/>
      <c r="O66" s="155"/>
      <c r="P66" s="150"/>
      <c r="Q66" s="150"/>
      <c r="R66" s="156"/>
      <c r="S66" s="193"/>
      <c r="T66" s="156"/>
      <c r="U66" s="156"/>
      <c r="V66" s="156"/>
      <c r="W66" s="156"/>
      <c r="X66" s="156"/>
      <c r="Y66" s="156"/>
      <c r="Z66" s="156"/>
      <c r="AA66" s="156"/>
      <c r="AB66" s="156"/>
      <c r="AC66" s="156"/>
      <c r="AD66" s="156"/>
      <c r="AE66" s="156"/>
      <c r="AF66" s="156"/>
      <c r="AG66" s="156"/>
      <c r="AH66" s="156"/>
      <c r="AI66" s="156"/>
      <c r="AJ66" s="156"/>
    </row>
    <row r="67" ht="15.75" customHeight="1">
      <c r="A67" s="150"/>
      <c r="B67" s="150"/>
      <c r="C67" s="150"/>
      <c r="D67" s="156"/>
      <c r="E67" s="150"/>
      <c r="F67" s="150"/>
      <c r="G67" s="150"/>
      <c r="H67" s="156"/>
      <c r="I67" s="150"/>
      <c r="J67" s="150"/>
      <c r="K67" s="155"/>
      <c r="L67" s="155"/>
      <c r="M67" s="150"/>
      <c r="N67" s="150"/>
      <c r="O67" s="155"/>
      <c r="P67" s="150"/>
      <c r="Q67" s="150"/>
      <c r="R67" s="156"/>
      <c r="S67" s="193"/>
      <c r="T67" s="156"/>
      <c r="U67" s="156"/>
      <c r="V67" s="156"/>
      <c r="W67" s="156"/>
      <c r="X67" s="156"/>
      <c r="Y67" s="156"/>
      <c r="Z67" s="156"/>
      <c r="AA67" s="156"/>
      <c r="AB67" s="156"/>
      <c r="AC67" s="156"/>
      <c r="AD67" s="156"/>
      <c r="AE67" s="156"/>
      <c r="AF67" s="156"/>
      <c r="AG67" s="156"/>
      <c r="AH67" s="156"/>
      <c r="AI67" s="156"/>
      <c r="AJ67" s="156"/>
    </row>
    <row r="68" ht="15.75" customHeight="1">
      <c r="A68" s="150"/>
      <c r="B68" s="150"/>
      <c r="C68" s="150"/>
      <c r="D68" s="156"/>
      <c r="E68" s="150"/>
      <c r="F68" s="150"/>
      <c r="G68" s="150"/>
      <c r="H68" s="156"/>
      <c r="I68" s="150"/>
      <c r="J68" s="150"/>
      <c r="K68" s="155"/>
      <c r="L68" s="155"/>
      <c r="M68" s="150"/>
      <c r="N68" s="150"/>
      <c r="O68" s="155"/>
      <c r="P68" s="150"/>
      <c r="Q68" s="150"/>
      <c r="R68" s="156"/>
      <c r="S68" s="193"/>
      <c r="T68" s="156"/>
      <c r="U68" s="156"/>
      <c r="V68" s="156"/>
      <c r="W68" s="156"/>
      <c r="X68" s="156"/>
      <c r="Y68" s="156"/>
      <c r="Z68" s="156"/>
      <c r="AA68" s="156"/>
      <c r="AB68" s="156"/>
      <c r="AC68" s="156"/>
      <c r="AD68" s="156"/>
      <c r="AE68" s="156"/>
      <c r="AF68" s="156"/>
      <c r="AG68" s="156"/>
      <c r="AH68" s="156"/>
      <c r="AI68" s="156"/>
      <c r="AJ68" s="156"/>
    </row>
    <row r="69" ht="15.75" customHeight="1">
      <c r="A69" s="150"/>
      <c r="B69" s="150"/>
      <c r="C69" s="150"/>
      <c r="D69" s="156"/>
      <c r="E69" s="150"/>
      <c r="F69" s="150"/>
      <c r="G69" s="150"/>
      <c r="H69" s="156"/>
      <c r="I69" s="150"/>
      <c r="J69" s="150"/>
      <c r="K69" s="155"/>
      <c r="L69" s="155"/>
      <c r="M69" s="150"/>
      <c r="N69" s="150"/>
      <c r="O69" s="155"/>
      <c r="P69" s="150"/>
      <c r="Q69" s="150"/>
      <c r="R69" s="156"/>
      <c r="S69" s="193"/>
      <c r="T69" s="156"/>
      <c r="U69" s="156"/>
      <c r="V69" s="156"/>
      <c r="W69" s="156"/>
      <c r="X69" s="156"/>
      <c r="Y69" s="156"/>
      <c r="Z69" s="156"/>
      <c r="AA69" s="156"/>
      <c r="AB69" s="156"/>
      <c r="AC69" s="156"/>
      <c r="AD69" s="156"/>
      <c r="AE69" s="156"/>
      <c r="AF69" s="156"/>
      <c r="AG69" s="156"/>
      <c r="AH69" s="156"/>
      <c r="AI69" s="156"/>
      <c r="AJ69" s="156"/>
    </row>
    <row r="70" ht="15.75" customHeight="1">
      <c r="A70" s="150"/>
      <c r="B70" s="150"/>
      <c r="C70" s="150"/>
      <c r="D70" s="156"/>
      <c r="E70" s="150"/>
      <c r="F70" s="150"/>
      <c r="G70" s="150"/>
      <c r="H70" s="156"/>
      <c r="I70" s="150"/>
      <c r="J70" s="150"/>
      <c r="K70" s="155"/>
      <c r="L70" s="155"/>
      <c r="M70" s="150"/>
      <c r="N70" s="150"/>
      <c r="O70" s="155"/>
      <c r="P70" s="150"/>
      <c r="Q70" s="150"/>
      <c r="R70" s="156"/>
      <c r="S70" s="193"/>
      <c r="T70" s="156"/>
      <c r="U70" s="156"/>
      <c r="V70" s="156"/>
      <c r="W70" s="156"/>
      <c r="X70" s="156"/>
      <c r="Y70" s="156"/>
      <c r="Z70" s="156"/>
      <c r="AA70" s="156"/>
      <c r="AB70" s="156"/>
      <c r="AC70" s="156"/>
      <c r="AD70" s="156"/>
      <c r="AE70" s="156"/>
      <c r="AF70" s="156"/>
      <c r="AG70" s="156"/>
      <c r="AH70" s="156"/>
      <c r="AI70" s="156"/>
      <c r="AJ70" s="156"/>
    </row>
    <row r="71" ht="15.75" customHeight="1">
      <c r="A71" s="150"/>
      <c r="B71" s="150"/>
      <c r="C71" s="150"/>
      <c r="D71" s="156"/>
      <c r="E71" s="150"/>
      <c r="F71" s="150"/>
      <c r="G71" s="150"/>
      <c r="H71" s="156"/>
      <c r="I71" s="150"/>
      <c r="J71" s="150"/>
      <c r="K71" s="155"/>
      <c r="L71" s="155"/>
      <c r="M71" s="150"/>
      <c r="N71" s="150"/>
      <c r="O71" s="155"/>
      <c r="P71" s="150"/>
      <c r="Q71" s="150"/>
      <c r="R71" s="156"/>
      <c r="S71" s="193"/>
      <c r="T71" s="156"/>
      <c r="U71" s="156"/>
      <c r="V71" s="156"/>
      <c r="W71" s="156"/>
      <c r="X71" s="156"/>
      <c r="Y71" s="156"/>
      <c r="Z71" s="156"/>
      <c r="AA71" s="156"/>
      <c r="AB71" s="156"/>
      <c r="AC71" s="156"/>
      <c r="AD71" s="156"/>
      <c r="AE71" s="156"/>
      <c r="AF71" s="156"/>
      <c r="AG71" s="156"/>
      <c r="AH71" s="156"/>
      <c r="AI71" s="156"/>
      <c r="AJ71" s="156"/>
    </row>
    <row r="72" ht="15.75" customHeight="1">
      <c r="A72" s="150"/>
      <c r="B72" s="150"/>
      <c r="C72" s="150"/>
      <c r="D72" s="156"/>
      <c r="E72" s="150"/>
      <c r="F72" s="150"/>
      <c r="G72" s="150"/>
      <c r="H72" s="156"/>
      <c r="I72" s="150"/>
      <c r="J72" s="150"/>
      <c r="K72" s="155"/>
      <c r="L72" s="155"/>
      <c r="M72" s="150"/>
      <c r="N72" s="150"/>
      <c r="O72" s="155"/>
      <c r="P72" s="150"/>
      <c r="Q72" s="150"/>
      <c r="R72" s="156"/>
      <c r="S72" s="193"/>
      <c r="T72" s="156"/>
      <c r="U72" s="156"/>
      <c r="V72" s="156"/>
      <c r="W72" s="156"/>
      <c r="X72" s="156"/>
      <c r="Y72" s="156"/>
      <c r="Z72" s="156"/>
      <c r="AA72" s="156"/>
      <c r="AB72" s="156"/>
      <c r="AC72" s="156"/>
      <c r="AD72" s="156"/>
      <c r="AE72" s="156"/>
      <c r="AF72" s="156"/>
      <c r="AG72" s="156"/>
      <c r="AH72" s="156"/>
      <c r="AI72" s="156"/>
      <c r="AJ72" s="156"/>
    </row>
    <row r="73" ht="15.75" customHeight="1">
      <c r="A73" s="150"/>
      <c r="B73" s="150"/>
      <c r="C73" s="150"/>
      <c r="D73" s="156"/>
      <c r="E73" s="150"/>
      <c r="F73" s="150"/>
      <c r="G73" s="150"/>
      <c r="H73" s="156"/>
      <c r="I73" s="150"/>
      <c r="J73" s="150"/>
      <c r="K73" s="155"/>
      <c r="L73" s="155"/>
      <c r="M73" s="150"/>
      <c r="N73" s="150"/>
      <c r="O73" s="155"/>
      <c r="P73" s="150"/>
      <c r="Q73" s="150"/>
      <c r="R73" s="156"/>
      <c r="S73" s="193"/>
      <c r="T73" s="156"/>
      <c r="U73" s="156"/>
      <c r="V73" s="156"/>
      <c r="W73" s="156"/>
      <c r="X73" s="156"/>
      <c r="Y73" s="156"/>
      <c r="Z73" s="156"/>
      <c r="AA73" s="156"/>
      <c r="AB73" s="156"/>
      <c r="AC73" s="156"/>
      <c r="AD73" s="156"/>
      <c r="AE73" s="156"/>
      <c r="AF73" s="156"/>
      <c r="AG73" s="156"/>
      <c r="AH73" s="156"/>
      <c r="AI73" s="156"/>
      <c r="AJ73" s="156"/>
    </row>
    <row r="74" ht="15.75" customHeight="1">
      <c r="A74" s="150"/>
      <c r="B74" s="150"/>
      <c r="C74" s="150"/>
      <c r="D74" s="156"/>
      <c r="E74" s="150"/>
      <c r="F74" s="150"/>
      <c r="G74" s="150"/>
      <c r="H74" s="156"/>
      <c r="I74" s="150"/>
      <c r="J74" s="150"/>
      <c r="K74" s="155"/>
      <c r="L74" s="155"/>
      <c r="M74" s="150"/>
      <c r="N74" s="150"/>
      <c r="O74" s="155"/>
      <c r="P74" s="150"/>
      <c r="Q74" s="150"/>
      <c r="R74" s="156"/>
      <c r="S74" s="193"/>
      <c r="T74" s="156"/>
      <c r="U74" s="156"/>
      <c r="V74" s="156"/>
      <c r="W74" s="156"/>
      <c r="X74" s="156"/>
      <c r="Y74" s="156"/>
      <c r="Z74" s="156"/>
      <c r="AA74" s="156"/>
      <c r="AB74" s="156"/>
      <c r="AC74" s="156"/>
      <c r="AD74" s="156"/>
      <c r="AE74" s="156"/>
      <c r="AF74" s="156"/>
      <c r="AG74" s="156"/>
      <c r="AH74" s="156"/>
      <c r="AI74" s="156"/>
      <c r="AJ74" s="156"/>
    </row>
    <row r="75" ht="15.75" customHeight="1">
      <c r="A75" s="150"/>
      <c r="B75" s="150"/>
      <c r="C75" s="150"/>
      <c r="D75" s="156"/>
      <c r="E75" s="150"/>
      <c r="F75" s="150"/>
      <c r="G75" s="150"/>
      <c r="H75" s="156"/>
      <c r="I75" s="150"/>
      <c r="J75" s="150"/>
      <c r="K75" s="155"/>
      <c r="L75" s="155"/>
      <c r="M75" s="150"/>
      <c r="N75" s="150"/>
      <c r="O75" s="155"/>
      <c r="P75" s="150"/>
      <c r="Q75" s="150"/>
      <c r="R75" s="156"/>
      <c r="S75" s="193"/>
      <c r="T75" s="156"/>
      <c r="U75" s="156"/>
      <c r="V75" s="156"/>
      <c r="W75" s="156"/>
      <c r="X75" s="156"/>
      <c r="Y75" s="156"/>
      <c r="Z75" s="156"/>
      <c r="AA75" s="156"/>
      <c r="AB75" s="156"/>
      <c r="AC75" s="156"/>
      <c r="AD75" s="156"/>
      <c r="AE75" s="156"/>
      <c r="AF75" s="156"/>
      <c r="AG75" s="156"/>
      <c r="AH75" s="156"/>
      <c r="AI75" s="156"/>
      <c r="AJ75" s="156"/>
    </row>
    <row r="76" ht="15.75" customHeight="1">
      <c r="A76" s="150"/>
      <c r="B76" s="150"/>
      <c r="C76" s="150"/>
      <c r="D76" s="156"/>
      <c r="E76" s="150"/>
      <c r="F76" s="150"/>
      <c r="G76" s="150"/>
      <c r="H76" s="156"/>
      <c r="I76" s="150"/>
      <c r="J76" s="150"/>
      <c r="K76" s="155"/>
      <c r="L76" s="155"/>
      <c r="M76" s="150"/>
      <c r="N76" s="150"/>
      <c r="O76" s="155"/>
      <c r="P76" s="150"/>
      <c r="Q76" s="150"/>
      <c r="R76" s="156"/>
      <c r="S76" s="193"/>
      <c r="T76" s="156"/>
      <c r="U76" s="156"/>
      <c r="V76" s="156"/>
      <c r="W76" s="156"/>
      <c r="X76" s="156"/>
      <c r="Y76" s="156"/>
      <c r="Z76" s="156"/>
      <c r="AA76" s="156"/>
      <c r="AB76" s="156"/>
      <c r="AC76" s="156"/>
      <c r="AD76" s="156"/>
      <c r="AE76" s="156"/>
      <c r="AF76" s="156"/>
      <c r="AG76" s="156"/>
      <c r="AH76" s="156"/>
      <c r="AI76" s="156"/>
      <c r="AJ76" s="156"/>
    </row>
    <row r="77" ht="15.75" customHeight="1">
      <c r="A77" s="150"/>
      <c r="B77" s="150"/>
      <c r="C77" s="150"/>
      <c r="D77" s="156"/>
      <c r="E77" s="150"/>
      <c r="F77" s="150"/>
      <c r="G77" s="150"/>
      <c r="H77" s="156"/>
      <c r="I77" s="150"/>
      <c r="J77" s="150"/>
      <c r="K77" s="155"/>
      <c r="L77" s="155"/>
      <c r="M77" s="150"/>
      <c r="N77" s="150"/>
      <c r="O77" s="155"/>
      <c r="P77" s="150"/>
      <c r="Q77" s="150"/>
      <c r="R77" s="156"/>
      <c r="S77" s="193"/>
      <c r="T77" s="156"/>
      <c r="U77" s="156"/>
      <c r="V77" s="156"/>
      <c r="W77" s="156"/>
      <c r="X77" s="156"/>
      <c r="Y77" s="156"/>
      <c r="Z77" s="156"/>
      <c r="AA77" s="156"/>
      <c r="AB77" s="156"/>
      <c r="AC77" s="156"/>
      <c r="AD77" s="156"/>
      <c r="AE77" s="156"/>
      <c r="AF77" s="156"/>
      <c r="AG77" s="156"/>
      <c r="AH77" s="156"/>
      <c r="AI77" s="156"/>
      <c r="AJ77" s="156"/>
    </row>
    <row r="78" ht="15.75" customHeight="1">
      <c r="A78" s="150"/>
      <c r="B78" s="150"/>
      <c r="C78" s="150"/>
      <c r="D78" s="156"/>
      <c r="E78" s="150"/>
      <c r="F78" s="150"/>
      <c r="G78" s="150"/>
      <c r="H78" s="156"/>
      <c r="I78" s="150"/>
      <c r="J78" s="150"/>
      <c r="K78" s="155"/>
      <c r="L78" s="155"/>
      <c r="M78" s="150"/>
      <c r="N78" s="150"/>
      <c r="O78" s="155"/>
      <c r="P78" s="150"/>
      <c r="Q78" s="150"/>
      <c r="R78" s="156"/>
      <c r="S78" s="193"/>
      <c r="T78" s="156"/>
      <c r="U78" s="156"/>
      <c r="V78" s="156"/>
      <c r="W78" s="156"/>
      <c r="X78" s="156"/>
      <c r="Y78" s="156"/>
      <c r="Z78" s="156"/>
      <c r="AA78" s="156"/>
      <c r="AB78" s="156"/>
      <c r="AC78" s="156"/>
      <c r="AD78" s="156"/>
      <c r="AE78" s="156"/>
      <c r="AF78" s="156"/>
      <c r="AG78" s="156"/>
      <c r="AH78" s="156"/>
      <c r="AI78" s="156"/>
      <c r="AJ78" s="156"/>
    </row>
    <row r="79" ht="15.75" customHeight="1">
      <c r="A79" s="150"/>
      <c r="B79" s="150"/>
      <c r="C79" s="150"/>
      <c r="D79" s="156"/>
      <c r="E79" s="150"/>
      <c r="F79" s="150"/>
      <c r="G79" s="150"/>
      <c r="H79" s="156"/>
      <c r="I79" s="150"/>
      <c r="J79" s="150"/>
      <c r="K79" s="155"/>
      <c r="L79" s="155"/>
      <c r="M79" s="150"/>
      <c r="N79" s="150"/>
      <c r="O79" s="155"/>
      <c r="P79" s="150"/>
      <c r="Q79" s="150"/>
      <c r="R79" s="156"/>
      <c r="S79" s="193"/>
      <c r="T79" s="156"/>
      <c r="U79" s="156"/>
      <c r="V79" s="156"/>
      <c r="W79" s="156"/>
      <c r="X79" s="156"/>
      <c r="Y79" s="156"/>
      <c r="Z79" s="156"/>
      <c r="AA79" s="156"/>
      <c r="AB79" s="156"/>
      <c r="AC79" s="156"/>
      <c r="AD79" s="156"/>
      <c r="AE79" s="156"/>
      <c r="AF79" s="156"/>
      <c r="AG79" s="156"/>
      <c r="AH79" s="156"/>
      <c r="AI79" s="156"/>
      <c r="AJ79" s="156"/>
    </row>
    <row r="80" ht="15.75" customHeight="1">
      <c r="A80" s="150"/>
      <c r="B80" s="150"/>
      <c r="C80" s="150"/>
      <c r="D80" s="156"/>
      <c r="E80" s="150"/>
      <c r="F80" s="150"/>
      <c r="G80" s="150"/>
      <c r="H80" s="156"/>
      <c r="I80" s="150"/>
      <c r="J80" s="150"/>
      <c r="K80" s="155"/>
      <c r="L80" s="155"/>
      <c r="M80" s="150"/>
      <c r="N80" s="150"/>
      <c r="O80" s="155"/>
      <c r="P80" s="150"/>
      <c r="Q80" s="150"/>
      <c r="R80" s="156"/>
      <c r="S80" s="193"/>
      <c r="T80" s="156"/>
      <c r="U80" s="156"/>
      <c r="V80" s="156"/>
      <c r="W80" s="156"/>
      <c r="X80" s="156"/>
      <c r="Y80" s="156"/>
      <c r="Z80" s="156"/>
      <c r="AA80" s="156"/>
      <c r="AB80" s="156"/>
      <c r="AC80" s="156"/>
      <c r="AD80" s="156"/>
      <c r="AE80" s="156"/>
      <c r="AF80" s="156"/>
      <c r="AG80" s="156"/>
      <c r="AH80" s="156"/>
      <c r="AI80" s="156"/>
      <c r="AJ80" s="156"/>
    </row>
    <row r="81" ht="15.75" customHeight="1">
      <c r="A81" s="150"/>
      <c r="B81" s="150"/>
      <c r="C81" s="150"/>
      <c r="D81" s="156"/>
      <c r="E81" s="150"/>
      <c r="F81" s="150"/>
      <c r="G81" s="150"/>
      <c r="H81" s="156"/>
      <c r="I81" s="150"/>
      <c r="J81" s="150"/>
      <c r="K81" s="155"/>
      <c r="L81" s="155"/>
      <c r="M81" s="150"/>
      <c r="N81" s="150"/>
      <c r="O81" s="155"/>
      <c r="P81" s="150"/>
      <c r="Q81" s="150"/>
      <c r="R81" s="156"/>
      <c r="S81" s="193"/>
      <c r="T81" s="156"/>
      <c r="U81" s="156"/>
      <c r="V81" s="156"/>
      <c r="W81" s="156"/>
      <c r="X81" s="156"/>
      <c r="Y81" s="156"/>
      <c r="Z81" s="156"/>
      <c r="AA81" s="156"/>
      <c r="AB81" s="156"/>
      <c r="AC81" s="156"/>
      <c r="AD81" s="156"/>
      <c r="AE81" s="156"/>
      <c r="AF81" s="156"/>
      <c r="AG81" s="156"/>
      <c r="AH81" s="156"/>
      <c r="AI81" s="156"/>
      <c r="AJ81" s="156"/>
    </row>
    <row r="82" ht="15.75" customHeight="1">
      <c r="A82" s="150"/>
      <c r="B82" s="150"/>
      <c r="C82" s="150"/>
      <c r="D82" s="156"/>
      <c r="E82" s="150"/>
      <c r="F82" s="150"/>
      <c r="G82" s="150"/>
      <c r="H82" s="156"/>
      <c r="I82" s="150"/>
      <c r="J82" s="150"/>
      <c r="K82" s="155"/>
      <c r="L82" s="155"/>
      <c r="M82" s="150"/>
      <c r="N82" s="150"/>
      <c r="O82" s="155"/>
      <c r="P82" s="150"/>
      <c r="Q82" s="150"/>
      <c r="R82" s="156"/>
      <c r="S82" s="193"/>
      <c r="T82" s="156"/>
      <c r="U82" s="156"/>
      <c r="V82" s="156"/>
      <c r="W82" s="156"/>
      <c r="X82" s="156"/>
      <c r="Y82" s="156"/>
      <c r="Z82" s="156"/>
      <c r="AA82" s="156"/>
      <c r="AB82" s="156"/>
      <c r="AC82" s="156"/>
      <c r="AD82" s="156"/>
      <c r="AE82" s="156"/>
      <c r="AF82" s="156"/>
      <c r="AG82" s="156"/>
      <c r="AH82" s="156"/>
      <c r="AI82" s="156"/>
      <c r="AJ82" s="156"/>
    </row>
    <row r="83" ht="15.75" customHeight="1">
      <c r="A83" s="150"/>
      <c r="B83" s="150"/>
      <c r="C83" s="150"/>
      <c r="D83" s="156"/>
      <c r="E83" s="150"/>
      <c r="F83" s="150"/>
      <c r="G83" s="150"/>
      <c r="H83" s="156"/>
      <c r="I83" s="150"/>
      <c r="J83" s="150"/>
      <c r="K83" s="155"/>
      <c r="L83" s="155"/>
      <c r="M83" s="150"/>
      <c r="N83" s="150"/>
      <c r="O83" s="155"/>
      <c r="P83" s="150"/>
      <c r="Q83" s="150"/>
      <c r="R83" s="156"/>
      <c r="S83" s="193"/>
      <c r="T83" s="156"/>
      <c r="U83" s="156"/>
      <c r="V83" s="156"/>
      <c r="W83" s="156"/>
      <c r="X83" s="156"/>
      <c r="Y83" s="156"/>
      <c r="Z83" s="156"/>
      <c r="AA83" s="156"/>
      <c r="AB83" s="156"/>
      <c r="AC83" s="156"/>
      <c r="AD83" s="156"/>
      <c r="AE83" s="156"/>
      <c r="AF83" s="156"/>
      <c r="AG83" s="156"/>
      <c r="AH83" s="156"/>
      <c r="AI83" s="156"/>
      <c r="AJ83" s="156"/>
    </row>
    <row r="84" ht="15.75" customHeight="1">
      <c r="A84" s="150"/>
      <c r="B84" s="150"/>
      <c r="C84" s="150"/>
      <c r="D84" s="156"/>
      <c r="E84" s="150"/>
      <c r="F84" s="150"/>
      <c r="G84" s="150"/>
      <c r="H84" s="156"/>
      <c r="I84" s="150"/>
      <c r="J84" s="150"/>
      <c r="K84" s="155"/>
      <c r="L84" s="155"/>
      <c r="M84" s="150"/>
      <c r="N84" s="150"/>
      <c r="O84" s="155"/>
      <c r="P84" s="150"/>
      <c r="Q84" s="150"/>
      <c r="R84" s="156"/>
      <c r="S84" s="193"/>
      <c r="T84" s="156"/>
      <c r="U84" s="156"/>
      <c r="V84" s="156"/>
      <c r="W84" s="156"/>
      <c r="X84" s="156"/>
      <c r="Y84" s="156"/>
      <c r="Z84" s="156"/>
      <c r="AA84" s="156"/>
      <c r="AB84" s="156"/>
      <c r="AC84" s="156"/>
      <c r="AD84" s="156"/>
      <c r="AE84" s="156"/>
      <c r="AF84" s="156"/>
      <c r="AG84" s="156"/>
      <c r="AH84" s="156"/>
      <c r="AI84" s="156"/>
      <c r="AJ84" s="156"/>
    </row>
    <row r="85" ht="15.75" customHeight="1">
      <c r="A85" s="150"/>
      <c r="B85" s="150"/>
      <c r="C85" s="150"/>
      <c r="D85" s="156"/>
      <c r="E85" s="150"/>
      <c r="F85" s="150"/>
      <c r="G85" s="150"/>
      <c r="H85" s="156"/>
      <c r="I85" s="150"/>
      <c r="J85" s="150"/>
      <c r="K85" s="155"/>
      <c r="L85" s="155"/>
      <c r="M85" s="150"/>
      <c r="N85" s="150"/>
      <c r="O85" s="155"/>
      <c r="P85" s="150"/>
      <c r="Q85" s="150"/>
      <c r="R85" s="156"/>
      <c r="S85" s="193"/>
      <c r="T85" s="156"/>
      <c r="U85" s="156"/>
      <c r="V85" s="156"/>
      <c r="W85" s="156"/>
      <c r="X85" s="156"/>
      <c r="Y85" s="156"/>
      <c r="Z85" s="156"/>
      <c r="AA85" s="156"/>
      <c r="AB85" s="156"/>
      <c r="AC85" s="156"/>
      <c r="AD85" s="156"/>
      <c r="AE85" s="156"/>
      <c r="AF85" s="156"/>
      <c r="AG85" s="156"/>
      <c r="AH85" s="156"/>
      <c r="AI85" s="156"/>
      <c r="AJ85" s="156"/>
    </row>
    <row r="86" ht="15.75" customHeight="1">
      <c r="A86" s="150"/>
      <c r="B86" s="150"/>
      <c r="C86" s="150"/>
      <c r="D86" s="156"/>
      <c r="E86" s="150"/>
      <c r="F86" s="150"/>
      <c r="G86" s="150"/>
      <c r="H86" s="156"/>
      <c r="I86" s="150"/>
      <c r="J86" s="150"/>
      <c r="K86" s="155"/>
      <c r="L86" s="155"/>
      <c r="M86" s="150"/>
      <c r="N86" s="150"/>
      <c r="O86" s="155"/>
      <c r="P86" s="150"/>
      <c r="Q86" s="150"/>
      <c r="R86" s="156"/>
      <c r="S86" s="193"/>
      <c r="T86" s="156"/>
      <c r="U86" s="156"/>
      <c r="V86" s="156"/>
      <c r="W86" s="156"/>
      <c r="X86" s="156"/>
      <c r="Y86" s="156"/>
      <c r="Z86" s="156"/>
      <c r="AA86" s="156"/>
      <c r="AB86" s="156"/>
      <c r="AC86" s="156"/>
      <c r="AD86" s="156"/>
      <c r="AE86" s="156"/>
      <c r="AF86" s="156"/>
      <c r="AG86" s="156"/>
      <c r="AH86" s="156"/>
      <c r="AI86" s="156"/>
      <c r="AJ86" s="156"/>
    </row>
    <row r="87" ht="15.75" customHeight="1">
      <c r="A87" s="150"/>
      <c r="B87" s="150"/>
      <c r="C87" s="150"/>
      <c r="D87" s="156"/>
      <c r="E87" s="150"/>
      <c r="F87" s="150"/>
      <c r="G87" s="150"/>
      <c r="H87" s="156"/>
      <c r="I87" s="150"/>
      <c r="J87" s="150"/>
      <c r="K87" s="155"/>
      <c r="L87" s="155"/>
      <c r="M87" s="150"/>
      <c r="N87" s="150"/>
      <c r="O87" s="155"/>
      <c r="P87" s="150"/>
      <c r="Q87" s="150"/>
      <c r="R87" s="156"/>
      <c r="S87" s="193"/>
      <c r="T87" s="156"/>
      <c r="U87" s="156"/>
      <c r="V87" s="156"/>
      <c r="W87" s="156"/>
      <c r="X87" s="156"/>
      <c r="Y87" s="156"/>
      <c r="Z87" s="156"/>
      <c r="AA87" s="156"/>
      <c r="AB87" s="156"/>
      <c r="AC87" s="156"/>
      <c r="AD87" s="156"/>
      <c r="AE87" s="156"/>
      <c r="AF87" s="156"/>
      <c r="AG87" s="156"/>
      <c r="AH87" s="156"/>
      <c r="AI87" s="156"/>
      <c r="AJ87" s="156"/>
    </row>
    <row r="88" ht="15.75" customHeight="1">
      <c r="A88" s="150"/>
      <c r="B88" s="150"/>
      <c r="C88" s="150"/>
      <c r="D88" s="156"/>
      <c r="E88" s="150"/>
      <c r="F88" s="150"/>
      <c r="G88" s="150"/>
      <c r="H88" s="156"/>
      <c r="I88" s="150"/>
      <c r="J88" s="150"/>
      <c r="K88" s="155"/>
      <c r="L88" s="155"/>
      <c r="M88" s="150"/>
      <c r="N88" s="150"/>
      <c r="O88" s="155"/>
      <c r="P88" s="150"/>
      <c r="Q88" s="150"/>
      <c r="R88" s="156"/>
      <c r="S88" s="193"/>
      <c r="T88" s="156"/>
      <c r="U88" s="156"/>
      <c r="V88" s="156"/>
      <c r="W88" s="156"/>
      <c r="X88" s="156"/>
      <c r="Y88" s="156"/>
      <c r="Z88" s="156"/>
      <c r="AA88" s="156"/>
      <c r="AB88" s="156"/>
      <c r="AC88" s="156"/>
      <c r="AD88" s="156"/>
      <c r="AE88" s="156"/>
      <c r="AF88" s="156"/>
      <c r="AG88" s="156"/>
      <c r="AH88" s="156"/>
      <c r="AI88" s="156"/>
      <c r="AJ88" s="156"/>
    </row>
    <row r="89" ht="15.75" customHeight="1">
      <c r="A89" s="150"/>
      <c r="B89" s="150"/>
      <c r="C89" s="150"/>
      <c r="D89" s="156"/>
      <c r="E89" s="150"/>
      <c r="F89" s="150"/>
      <c r="G89" s="150"/>
      <c r="H89" s="156"/>
      <c r="I89" s="150"/>
      <c r="J89" s="150"/>
      <c r="K89" s="155"/>
      <c r="L89" s="155"/>
      <c r="M89" s="150"/>
      <c r="N89" s="150"/>
      <c r="O89" s="155"/>
      <c r="P89" s="150"/>
      <c r="Q89" s="150"/>
      <c r="R89" s="156"/>
      <c r="S89" s="193"/>
      <c r="T89" s="156"/>
      <c r="U89" s="156"/>
      <c r="V89" s="156"/>
      <c r="W89" s="156"/>
      <c r="X89" s="156"/>
      <c r="Y89" s="156"/>
      <c r="Z89" s="156"/>
      <c r="AA89" s="156"/>
      <c r="AB89" s="156"/>
      <c r="AC89" s="156"/>
      <c r="AD89" s="156"/>
      <c r="AE89" s="156"/>
      <c r="AF89" s="156"/>
      <c r="AG89" s="156"/>
      <c r="AH89" s="156"/>
      <c r="AI89" s="156"/>
      <c r="AJ89" s="156"/>
    </row>
    <row r="90" ht="15.75" customHeight="1">
      <c r="A90" s="150"/>
      <c r="B90" s="150"/>
      <c r="C90" s="150"/>
      <c r="D90" s="156"/>
      <c r="E90" s="150"/>
      <c r="F90" s="150"/>
      <c r="G90" s="150"/>
      <c r="H90" s="156"/>
      <c r="I90" s="150"/>
      <c r="J90" s="150"/>
      <c r="K90" s="155"/>
      <c r="L90" s="155"/>
      <c r="M90" s="150"/>
      <c r="N90" s="150"/>
      <c r="O90" s="155"/>
      <c r="P90" s="150"/>
      <c r="Q90" s="150"/>
      <c r="R90" s="156"/>
      <c r="S90" s="193"/>
      <c r="T90" s="156"/>
      <c r="U90" s="156"/>
      <c r="V90" s="156"/>
      <c r="W90" s="156"/>
      <c r="X90" s="156"/>
      <c r="Y90" s="156"/>
      <c r="Z90" s="156"/>
      <c r="AA90" s="156"/>
      <c r="AB90" s="156"/>
      <c r="AC90" s="156"/>
      <c r="AD90" s="156"/>
      <c r="AE90" s="156"/>
      <c r="AF90" s="156"/>
      <c r="AG90" s="156"/>
      <c r="AH90" s="156"/>
      <c r="AI90" s="156"/>
      <c r="AJ90" s="156"/>
    </row>
    <row r="91" ht="15.75" customHeight="1">
      <c r="A91" s="150"/>
      <c r="B91" s="150"/>
      <c r="C91" s="150"/>
      <c r="D91" s="156"/>
      <c r="E91" s="150"/>
      <c r="F91" s="150"/>
      <c r="G91" s="150"/>
      <c r="H91" s="156"/>
      <c r="I91" s="150"/>
      <c r="J91" s="150"/>
      <c r="K91" s="155"/>
      <c r="L91" s="155"/>
      <c r="M91" s="150"/>
      <c r="N91" s="150"/>
      <c r="O91" s="155"/>
      <c r="P91" s="150"/>
      <c r="Q91" s="150"/>
      <c r="R91" s="156"/>
      <c r="S91" s="193"/>
      <c r="T91" s="156"/>
      <c r="U91" s="156"/>
      <c r="V91" s="156"/>
      <c r="W91" s="156"/>
      <c r="X91" s="156"/>
      <c r="Y91" s="156"/>
      <c r="Z91" s="156"/>
      <c r="AA91" s="156"/>
      <c r="AB91" s="156"/>
      <c r="AC91" s="156"/>
      <c r="AD91" s="156"/>
      <c r="AE91" s="156"/>
      <c r="AF91" s="156"/>
      <c r="AG91" s="156"/>
      <c r="AH91" s="156"/>
      <c r="AI91" s="156"/>
      <c r="AJ91" s="156"/>
    </row>
    <row r="92" ht="15.75" customHeight="1">
      <c r="A92" s="150"/>
      <c r="B92" s="150"/>
      <c r="C92" s="150"/>
      <c r="D92" s="156"/>
      <c r="E92" s="150"/>
      <c r="F92" s="150"/>
      <c r="G92" s="150"/>
      <c r="H92" s="156"/>
      <c r="I92" s="150"/>
      <c r="J92" s="150"/>
      <c r="K92" s="155"/>
      <c r="L92" s="155"/>
      <c r="M92" s="150"/>
      <c r="N92" s="150"/>
      <c r="O92" s="155"/>
      <c r="P92" s="150"/>
      <c r="Q92" s="150"/>
      <c r="R92" s="156"/>
      <c r="S92" s="193"/>
      <c r="T92" s="156"/>
      <c r="U92" s="156"/>
      <c r="V92" s="156"/>
      <c r="W92" s="156"/>
      <c r="X92" s="156"/>
      <c r="Y92" s="156"/>
      <c r="Z92" s="156"/>
      <c r="AA92" s="156"/>
      <c r="AB92" s="156"/>
      <c r="AC92" s="156"/>
      <c r="AD92" s="156"/>
      <c r="AE92" s="156"/>
      <c r="AF92" s="156"/>
      <c r="AG92" s="156"/>
      <c r="AH92" s="156"/>
      <c r="AI92" s="156"/>
      <c r="AJ92" s="156"/>
    </row>
    <row r="93" ht="15.75" customHeight="1">
      <c r="A93" s="150"/>
      <c r="B93" s="150"/>
      <c r="C93" s="150"/>
      <c r="D93" s="156"/>
      <c r="E93" s="150"/>
      <c r="F93" s="150"/>
      <c r="G93" s="150"/>
      <c r="H93" s="156"/>
      <c r="I93" s="150"/>
      <c r="J93" s="150"/>
      <c r="K93" s="155"/>
      <c r="L93" s="155"/>
      <c r="M93" s="150"/>
      <c r="N93" s="150"/>
      <c r="O93" s="155"/>
      <c r="P93" s="150"/>
      <c r="Q93" s="150"/>
      <c r="R93" s="156"/>
      <c r="S93" s="193"/>
      <c r="T93" s="156"/>
      <c r="U93" s="156"/>
      <c r="V93" s="156"/>
      <c r="W93" s="156"/>
      <c r="X93" s="156"/>
      <c r="Y93" s="156"/>
      <c r="Z93" s="156"/>
      <c r="AA93" s="156"/>
      <c r="AB93" s="156"/>
      <c r="AC93" s="156"/>
      <c r="AD93" s="156"/>
      <c r="AE93" s="156"/>
      <c r="AF93" s="156"/>
      <c r="AG93" s="156"/>
      <c r="AH93" s="156"/>
      <c r="AI93" s="156"/>
      <c r="AJ93" s="156"/>
    </row>
    <row r="94" ht="15.75" customHeight="1">
      <c r="A94" s="150"/>
      <c r="B94" s="150"/>
      <c r="C94" s="150"/>
      <c r="D94" s="156"/>
      <c r="E94" s="150"/>
      <c r="F94" s="150"/>
      <c r="G94" s="150"/>
      <c r="H94" s="156"/>
      <c r="I94" s="150"/>
      <c r="J94" s="150"/>
      <c r="K94" s="155"/>
      <c r="L94" s="155"/>
      <c r="M94" s="150"/>
      <c r="N94" s="150"/>
      <c r="O94" s="155"/>
      <c r="P94" s="150"/>
      <c r="Q94" s="150"/>
      <c r="R94" s="156"/>
      <c r="S94" s="193"/>
      <c r="T94" s="156"/>
      <c r="U94" s="156"/>
      <c r="V94" s="156"/>
      <c r="W94" s="156"/>
      <c r="X94" s="156"/>
      <c r="Y94" s="156"/>
      <c r="Z94" s="156"/>
      <c r="AA94" s="156"/>
      <c r="AB94" s="156"/>
      <c r="AC94" s="156"/>
      <c r="AD94" s="156"/>
      <c r="AE94" s="156"/>
      <c r="AF94" s="156"/>
      <c r="AG94" s="156"/>
      <c r="AH94" s="156"/>
      <c r="AI94" s="156"/>
      <c r="AJ94" s="156"/>
    </row>
    <row r="95" ht="15.75" customHeight="1">
      <c r="A95" s="150"/>
      <c r="B95" s="150"/>
      <c r="C95" s="150"/>
      <c r="D95" s="156"/>
      <c r="E95" s="150"/>
      <c r="F95" s="150"/>
      <c r="G95" s="150"/>
      <c r="H95" s="156"/>
      <c r="I95" s="150"/>
      <c r="J95" s="150"/>
      <c r="K95" s="155"/>
      <c r="L95" s="155"/>
      <c r="M95" s="150"/>
      <c r="N95" s="150"/>
      <c r="O95" s="155"/>
      <c r="P95" s="150"/>
      <c r="Q95" s="150"/>
      <c r="R95" s="156"/>
      <c r="S95" s="193"/>
      <c r="T95" s="156"/>
      <c r="U95" s="156"/>
      <c r="V95" s="156"/>
      <c r="W95" s="156"/>
      <c r="X95" s="156"/>
      <c r="Y95" s="156"/>
      <c r="Z95" s="156"/>
      <c r="AA95" s="156"/>
      <c r="AB95" s="156"/>
      <c r="AC95" s="156"/>
      <c r="AD95" s="156"/>
      <c r="AE95" s="156"/>
      <c r="AF95" s="156"/>
      <c r="AG95" s="156"/>
      <c r="AH95" s="156"/>
      <c r="AI95" s="156"/>
      <c r="AJ95" s="156"/>
    </row>
    <row r="96" ht="15.75" customHeight="1">
      <c r="A96" s="150"/>
      <c r="B96" s="150"/>
      <c r="C96" s="150"/>
      <c r="D96" s="156"/>
      <c r="E96" s="150"/>
      <c r="F96" s="150"/>
      <c r="G96" s="150"/>
      <c r="H96" s="156"/>
      <c r="I96" s="150"/>
      <c r="J96" s="150"/>
      <c r="K96" s="155"/>
      <c r="L96" s="155"/>
      <c r="M96" s="150"/>
      <c r="N96" s="150"/>
      <c r="O96" s="155"/>
      <c r="P96" s="150"/>
      <c r="Q96" s="150"/>
      <c r="R96" s="156"/>
      <c r="S96" s="193"/>
      <c r="T96" s="156"/>
      <c r="U96" s="156"/>
      <c r="V96" s="156"/>
      <c r="W96" s="156"/>
      <c r="X96" s="156"/>
      <c r="Y96" s="156"/>
      <c r="Z96" s="156"/>
      <c r="AA96" s="156"/>
      <c r="AB96" s="156"/>
      <c r="AC96" s="156"/>
      <c r="AD96" s="156"/>
      <c r="AE96" s="156"/>
      <c r="AF96" s="156"/>
      <c r="AG96" s="156"/>
      <c r="AH96" s="156"/>
      <c r="AI96" s="156"/>
      <c r="AJ96" s="156"/>
    </row>
    <row r="97" ht="15.75" customHeight="1">
      <c r="A97" s="150"/>
      <c r="B97" s="150"/>
      <c r="C97" s="150"/>
      <c r="D97" s="156"/>
      <c r="E97" s="150"/>
      <c r="F97" s="150"/>
      <c r="G97" s="150"/>
      <c r="H97" s="156"/>
      <c r="I97" s="150"/>
      <c r="J97" s="150"/>
      <c r="K97" s="155"/>
      <c r="L97" s="155"/>
      <c r="M97" s="150"/>
      <c r="N97" s="150"/>
      <c r="O97" s="155"/>
      <c r="P97" s="150"/>
      <c r="Q97" s="150"/>
      <c r="R97" s="156"/>
      <c r="S97" s="193"/>
      <c r="T97" s="156"/>
      <c r="U97" s="156"/>
      <c r="V97" s="156"/>
      <c r="W97" s="156"/>
      <c r="X97" s="156"/>
      <c r="Y97" s="156"/>
      <c r="Z97" s="156"/>
      <c r="AA97" s="156"/>
      <c r="AB97" s="156"/>
      <c r="AC97" s="156"/>
      <c r="AD97" s="156"/>
      <c r="AE97" s="156"/>
      <c r="AF97" s="156"/>
      <c r="AG97" s="156"/>
      <c r="AH97" s="156"/>
      <c r="AI97" s="156"/>
      <c r="AJ97" s="156"/>
    </row>
    <row r="98" ht="15.75" customHeight="1">
      <c r="A98" s="150"/>
      <c r="B98" s="150"/>
      <c r="C98" s="150"/>
      <c r="D98" s="156"/>
      <c r="E98" s="150"/>
      <c r="F98" s="150"/>
      <c r="G98" s="150"/>
      <c r="H98" s="156"/>
      <c r="I98" s="150"/>
      <c r="J98" s="150"/>
      <c r="K98" s="155"/>
      <c r="L98" s="155"/>
      <c r="M98" s="150"/>
      <c r="N98" s="150"/>
      <c r="O98" s="155"/>
      <c r="P98" s="150"/>
      <c r="Q98" s="150"/>
      <c r="R98" s="156"/>
      <c r="S98" s="193"/>
      <c r="T98" s="156"/>
      <c r="U98" s="156"/>
      <c r="V98" s="156"/>
      <c r="W98" s="156"/>
      <c r="X98" s="156"/>
      <c r="Y98" s="156"/>
      <c r="Z98" s="156"/>
      <c r="AA98" s="156"/>
      <c r="AB98" s="156"/>
      <c r="AC98" s="156"/>
      <c r="AD98" s="156"/>
      <c r="AE98" s="156"/>
      <c r="AF98" s="156"/>
      <c r="AG98" s="156"/>
      <c r="AH98" s="156"/>
      <c r="AI98" s="156"/>
      <c r="AJ98" s="156"/>
    </row>
    <row r="99" ht="15.75" customHeight="1">
      <c r="A99" s="150"/>
      <c r="B99" s="150"/>
      <c r="C99" s="150"/>
      <c r="D99" s="156"/>
      <c r="E99" s="150"/>
      <c r="F99" s="150"/>
      <c r="G99" s="150"/>
      <c r="H99" s="156"/>
      <c r="I99" s="150"/>
      <c r="J99" s="150"/>
      <c r="K99" s="155"/>
      <c r="L99" s="155"/>
      <c r="M99" s="150"/>
      <c r="N99" s="150"/>
      <c r="O99" s="155"/>
      <c r="P99" s="150"/>
      <c r="Q99" s="150"/>
      <c r="R99" s="156"/>
      <c r="S99" s="193"/>
      <c r="T99" s="156"/>
      <c r="U99" s="156"/>
      <c r="V99" s="156"/>
      <c r="W99" s="156"/>
      <c r="X99" s="156"/>
      <c r="Y99" s="156"/>
      <c r="Z99" s="156"/>
      <c r="AA99" s="156"/>
      <c r="AB99" s="156"/>
      <c r="AC99" s="156"/>
      <c r="AD99" s="156"/>
      <c r="AE99" s="156"/>
      <c r="AF99" s="156"/>
      <c r="AG99" s="156"/>
      <c r="AH99" s="156"/>
      <c r="AI99" s="156"/>
      <c r="AJ99" s="156"/>
    </row>
    <row r="100" ht="15.75" customHeight="1">
      <c r="A100" s="150"/>
      <c r="B100" s="150"/>
      <c r="C100" s="150"/>
      <c r="D100" s="156"/>
      <c r="E100" s="150"/>
      <c r="F100" s="150"/>
      <c r="G100" s="150"/>
      <c r="H100" s="156"/>
      <c r="I100" s="150"/>
      <c r="J100" s="150"/>
      <c r="K100" s="155"/>
      <c r="L100" s="155"/>
      <c r="M100" s="150"/>
      <c r="N100" s="150"/>
      <c r="O100" s="155"/>
      <c r="P100" s="150"/>
      <c r="Q100" s="150"/>
      <c r="R100" s="156"/>
      <c r="S100" s="193"/>
      <c r="T100" s="156"/>
      <c r="U100" s="156"/>
      <c r="V100" s="156"/>
      <c r="W100" s="156"/>
      <c r="X100" s="156"/>
      <c r="Y100" s="156"/>
      <c r="Z100" s="156"/>
      <c r="AA100" s="156"/>
      <c r="AB100" s="156"/>
      <c r="AC100" s="156"/>
      <c r="AD100" s="156"/>
      <c r="AE100" s="156"/>
      <c r="AF100" s="156"/>
      <c r="AG100" s="156"/>
      <c r="AH100" s="156"/>
      <c r="AI100" s="156"/>
      <c r="AJ100" s="156"/>
    </row>
    <row r="101" ht="15.75" customHeight="1">
      <c r="A101" s="150"/>
      <c r="B101" s="150"/>
      <c r="C101" s="150"/>
      <c r="D101" s="156"/>
      <c r="E101" s="150"/>
      <c r="F101" s="150"/>
      <c r="G101" s="150"/>
      <c r="H101" s="156"/>
      <c r="I101" s="150"/>
      <c r="J101" s="150"/>
      <c r="K101" s="155"/>
      <c r="L101" s="155"/>
      <c r="M101" s="150"/>
      <c r="N101" s="150"/>
      <c r="O101" s="155"/>
      <c r="P101" s="150"/>
      <c r="Q101" s="150"/>
      <c r="R101" s="156"/>
      <c r="S101" s="193"/>
      <c r="T101" s="156"/>
      <c r="U101" s="156"/>
      <c r="V101" s="156"/>
      <c r="W101" s="156"/>
      <c r="X101" s="156"/>
      <c r="Y101" s="156"/>
      <c r="Z101" s="156"/>
      <c r="AA101" s="156"/>
      <c r="AB101" s="156"/>
      <c r="AC101" s="156"/>
      <c r="AD101" s="156"/>
      <c r="AE101" s="156"/>
      <c r="AF101" s="156"/>
      <c r="AG101" s="156"/>
      <c r="AH101" s="156"/>
      <c r="AI101" s="156"/>
      <c r="AJ101" s="156"/>
    </row>
    <row r="102" ht="15.75" customHeight="1">
      <c r="A102" s="150"/>
      <c r="B102" s="150"/>
      <c r="C102" s="150"/>
      <c r="D102" s="156"/>
      <c r="E102" s="150"/>
      <c r="F102" s="150"/>
      <c r="G102" s="150"/>
      <c r="H102" s="156"/>
      <c r="I102" s="150"/>
      <c r="J102" s="150"/>
      <c r="K102" s="155"/>
      <c r="L102" s="155"/>
      <c r="M102" s="150"/>
      <c r="N102" s="150"/>
      <c r="O102" s="155"/>
      <c r="P102" s="150"/>
      <c r="Q102" s="150"/>
      <c r="R102" s="156"/>
      <c r="S102" s="193"/>
      <c r="T102" s="156"/>
      <c r="U102" s="156"/>
      <c r="V102" s="156"/>
      <c r="W102" s="156"/>
      <c r="X102" s="156"/>
      <c r="Y102" s="156"/>
      <c r="Z102" s="156"/>
      <c r="AA102" s="156"/>
      <c r="AB102" s="156"/>
      <c r="AC102" s="156"/>
      <c r="AD102" s="156"/>
      <c r="AE102" s="156"/>
      <c r="AF102" s="156"/>
      <c r="AG102" s="156"/>
      <c r="AH102" s="156"/>
      <c r="AI102" s="156"/>
      <c r="AJ102" s="156"/>
    </row>
    <row r="103" ht="15.75" customHeight="1">
      <c r="A103" s="150"/>
      <c r="B103" s="150"/>
      <c r="C103" s="150"/>
      <c r="D103" s="156"/>
      <c r="E103" s="150"/>
      <c r="F103" s="150"/>
      <c r="G103" s="150"/>
      <c r="H103" s="156"/>
      <c r="I103" s="150"/>
      <c r="J103" s="150"/>
      <c r="K103" s="155"/>
      <c r="L103" s="155"/>
      <c r="M103" s="150"/>
      <c r="N103" s="150"/>
      <c r="O103" s="155"/>
      <c r="P103" s="150"/>
      <c r="Q103" s="150"/>
      <c r="R103" s="156"/>
      <c r="S103" s="193"/>
      <c r="T103" s="156"/>
      <c r="U103" s="156"/>
      <c r="V103" s="156"/>
      <c r="W103" s="156"/>
      <c r="X103" s="156"/>
      <c r="Y103" s="156"/>
      <c r="Z103" s="156"/>
      <c r="AA103" s="156"/>
      <c r="AB103" s="156"/>
      <c r="AC103" s="156"/>
      <c r="AD103" s="156"/>
      <c r="AE103" s="156"/>
      <c r="AF103" s="156"/>
      <c r="AG103" s="156"/>
      <c r="AH103" s="156"/>
      <c r="AI103" s="156"/>
      <c r="AJ103" s="156"/>
    </row>
    <row r="104" ht="15.75" customHeight="1">
      <c r="A104" s="150"/>
      <c r="B104" s="150"/>
      <c r="C104" s="150"/>
      <c r="D104" s="156"/>
      <c r="E104" s="150"/>
      <c r="F104" s="150"/>
      <c r="G104" s="150"/>
      <c r="H104" s="156"/>
      <c r="I104" s="150"/>
      <c r="J104" s="150"/>
      <c r="K104" s="155"/>
      <c r="L104" s="155"/>
      <c r="M104" s="150"/>
      <c r="N104" s="150"/>
      <c r="O104" s="155"/>
      <c r="P104" s="150"/>
      <c r="Q104" s="150"/>
      <c r="R104" s="156"/>
      <c r="S104" s="193"/>
      <c r="T104" s="156"/>
      <c r="U104" s="156"/>
      <c r="V104" s="156"/>
      <c r="W104" s="156"/>
      <c r="X104" s="156"/>
      <c r="Y104" s="156"/>
      <c r="Z104" s="156"/>
      <c r="AA104" s="156"/>
      <c r="AB104" s="156"/>
      <c r="AC104" s="156"/>
      <c r="AD104" s="156"/>
      <c r="AE104" s="156"/>
      <c r="AF104" s="156"/>
      <c r="AG104" s="156"/>
      <c r="AH104" s="156"/>
      <c r="AI104" s="156"/>
      <c r="AJ104" s="156"/>
    </row>
    <row r="105" ht="15.75" customHeight="1">
      <c r="A105" s="150"/>
      <c r="B105" s="150"/>
      <c r="C105" s="150"/>
      <c r="D105" s="156"/>
      <c r="E105" s="150"/>
      <c r="F105" s="150"/>
      <c r="G105" s="150"/>
      <c r="H105" s="156"/>
      <c r="I105" s="150"/>
      <c r="J105" s="150"/>
      <c r="K105" s="155"/>
      <c r="L105" s="155"/>
      <c r="M105" s="150"/>
      <c r="N105" s="150"/>
      <c r="O105" s="155"/>
      <c r="P105" s="150"/>
      <c r="Q105" s="150"/>
      <c r="R105" s="156"/>
      <c r="S105" s="193"/>
      <c r="T105" s="156"/>
      <c r="U105" s="156"/>
      <c r="V105" s="156"/>
      <c r="W105" s="156"/>
      <c r="X105" s="156"/>
      <c r="Y105" s="156"/>
      <c r="Z105" s="156"/>
      <c r="AA105" s="156"/>
      <c r="AB105" s="156"/>
      <c r="AC105" s="156"/>
      <c r="AD105" s="156"/>
      <c r="AE105" s="156"/>
      <c r="AF105" s="156"/>
      <c r="AG105" s="156"/>
      <c r="AH105" s="156"/>
      <c r="AI105" s="156"/>
      <c r="AJ105" s="156"/>
    </row>
    <row r="106" ht="15.75" customHeight="1">
      <c r="A106" s="150"/>
      <c r="B106" s="150"/>
      <c r="C106" s="150"/>
      <c r="D106" s="156"/>
      <c r="E106" s="150"/>
      <c r="F106" s="150"/>
      <c r="G106" s="150"/>
      <c r="H106" s="156"/>
      <c r="I106" s="150"/>
      <c r="J106" s="150"/>
      <c r="K106" s="155"/>
      <c r="L106" s="155"/>
      <c r="M106" s="150"/>
      <c r="N106" s="150"/>
      <c r="O106" s="155"/>
      <c r="P106" s="150"/>
      <c r="Q106" s="150"/>
      <c r="R106" s="156"/>
      <c r="S106" s="193"/>
      <c r="T106" s="156"/>
      <c r="U106" s="156"/>
      <c r="V106" s="156"/>
      <c r="W106" s="156"/>
      <c r="X106" s="156"/>
      <c r="Y106" s="156"/>
      <c r="Z106" s="156"/>
      <c r="AA106" s="156"/>
      <c r="AB106" s="156"/>
      <c r="AC106" s="156"/>
      <c r="AD106" s="156"/>
      <c r="AE106" s="156"/>
      <c r="AF106" s="156"/>
      <c r="AG106" s="156"/>
      <c r="AH106" s="156"/>
      <c r="AI106" s="156"/>
      <c r="AJ106" s="156"/>
    </row>
    <row r="107" ht="15.75" customHeight="1">
      <c r="A107" s="150"/>
      <c r="B107" s="150"/>
      <c r="C107" s="150"/>
      <c r="D107" s="156"/>
      <c r="E107" s="150"/>
      <c r="F107" s="150"/>
      <c r="G107" s="150"/>
      <c r="H107" s="156"/>
      <c r="I107" s="150"/>
      <c r="J107" s="150"/>
      <c r="K107" s="155"/>
      <c r="L107" s="155"/>
      <c r="M107" s="150"/>
      <c r="N107" s="150"/>
      <c r="O107" s="155"/>
      <c r="P107" s="150"/>
      <c r="Q107" s="150"/>
      <c r="R107" s="156"/>
      <c r="S107" s="193"/>
      <c r="T107" s="156"/>
      <c r="U107" s="156"/>
      <c r="V107" s="156"/>
      <c r="W107" s="156"/>
      <c r="X107" s="156"/>
      <c r="Y107" s="156"/>
      <c r="Z107" s="156"/>
      <c r="AA107" s="156"/>
      <c r="AB107" s="156"/>
      <c r="AC107" s="156"/>
      <c r="AD107" s="156"/>
      <c r="AE107" s="156"/>
      <c r="AF107" s="156"/>
      <c r="AG107" s="156"/>
      <c r="AH107" s="156"/>
      <c r="AI107" s="156"/>
      <c r="AJ107" s="156"/>
    </row>
    <row r="108" ht="15.75" customHeight="1">
      <c r="A108" s="150"/>
      <c r="B108" s="150"/>
      <c r="C108" s="150"/>
      <c r="D108" s="156"/>
      <c r="E108" s="150"/>
      <c r="F108" s="150"/>
      <c r="G108" s="150"/>
      <c r="H108" s="156"/>
      <c r="I108" s="150"/>
      <c r="J108" s="150"/>
      <c r="K108" s="155"/>
      <c r="L108" s="155"/>
      <c r="M108" s="150"/>
      <c r="N108" s="150"/>
      <c r="O108" s="155"/>
      <c r="P108" s="150"/>
      <c r="Q108" s="150"/>
      <c r="R108" s="156"/>
      <c r="S108" s="193"/>
      <c r="T108" s="156"/>
      <c r="U108" s="156"/>
      <c r="V108" s="156"/>
      <c r="W108" s="156"/>
      <c r="X108" s="156"/>
      <c r="Y108" s="156"/>
      <c r="Z108" s="156"/>
      <c r="AA108" s="156"/>
      <c r="AB108" s="156"/>
      <c r="AC108" s="156"/>
      <c r="AD108" s="156"/>
      <c r="AE108" s="156"/>
      <c r="AF108" s="156"/>
      <c r="AG108" s="156"/>
      <c r="AH108" s="156"/>
      <c r="AI108" s="156"/>
      <c r="AJ108" s="156"/>
    </row>
    <row r="109" ht="15.75" customHeight="1">
      <c r="A109" s="150"/>
      <c r="B109" s="150"/>
      <c r="C109" s="150"/>
      <c r="D109" s="156"/>
      <c r="E109" s="150"/>
      <c r="F109" s="150"/>
      <c r="G109" s="150"/>
      <c r="H109" s="156"/>
      <c r="I109" s="150"/>
      <c r="J109" s="150"/>
      <c r="K109" s="155"/>
      <c r="L109" s="155"/>
      <c r="M109" s="150"/>
      <c r="N109" s="150"/>
      <c r="O109" s="155"/>
      <c r="P109" s="150"/>
      <c r="Q109" s="150"/>
      <c r="R109" s="156"/>
      <c r="S109" s="193"/>
      <c r="T109" s="156"/>
      <c r="U109" s="156"/>
      <c r="V109" s="156"/>
      <c r="W109" s="156"/>
      <c r="X109" s="156"/>
      <c r="Y109" s="156"/>
      <c r="Z109" s="156"/>
      <c r="AA109" s="156"/>
      <c r="AB109" s="156"/>
      <c r="AC109" s="156"/>
      <c r="AD109" s="156"/>
      <c r="AE109" s="156"/>
      <c r="AF109" s="156"/>
      <c r="AG109" s="156"/>
      <c r="AH109" s="156"/>
      <c r="AI109" s="156"/>
      <c r="AJ109" s="156"/>
    </row>
    <row r="110" ht="15.75" customHeight="1">
      <c r="A110" s="150"/>
      <c r="B110" s="150"/>
      <c r="C110" s="150"/>
      <c r="D110" s="156"/>
      <c r="E110" s="150"/>
      <c r="F110" s="150"/>
      <c r="G110" s="150"/>
      <c r="H110" s="156"/>
      <c r="I110" s="150"/>
      <c r="J110" s="150"/>
      <c r="K110" s="155"/>
      <c r="L110" s="155"/>
      <c r="M110" s="150"/>
      <c r="N110" s="150"/>
      <c r="O110" s="155"/>
      <c r="P110" s="150"/>
      <c r="Q110" s="150"/>
      <c r="R110" s="156"/>
      <c r="S110" s="193"/>
      <c r="T110" s="156"/>
      <c r="U110" s="156"/>
      <c r="V110" s="156"/>
      <c r="W110" s="156"/>
      <c r="X110" s="156"/>
      <c r="Y110" s="156"/>
      <c r="Z110" s="156"/>
      <c r="AA110" s="156"/>
      <c r="AB110" s="156"/>
      <c r="AC110" s="156"/>
      <c r="AD110" s="156"/>
      <c r="AE110" s="156"/>
      <c r="AF110" s="156"/>
      <c r="AG110" s="156"/>
      <c r="AH110" s="156"/>
      <c r="AI110" s="156"/>
      <c r="AJ110" s="156"/>
    </row>
    <row r="111" ht="15.75" customHeight="1">
      <c r="A111" s="150"/>
      <c r="B111" s="150"/>
      <c r="C111" s="150"/>
      <c r="D111" s="156"/>
      <c r="E111" s="150"/>
      <c r="F111" s="150"/>
      <c r="G111" s="150"/>
      <c r="H111" s="156"/>
      <c r="I111" s="150"/>
      <c r="J111" s="150"/>
      <c r="K111" s="155"/>
      <c r="L111" s="155"/>
      <c r="M111" s="150"/>
      <c r="N111" s="150"/>
      <c r="O111" s="155"/>
      <c r="P111" s="150"/>
      <c r="Q111" s="150"/>
      <c r="R111" s="156"/>
      <c r="S111" s="193"/>
      <c r="T111" s="156"/>
      <c r="U111" s="156"/>
      <c r="V111" s="156"/>
      <c r="W111" s="156"/>
      <c r="X111" s="156"/>
      <c r="Y111" s="156"/>
      <c r="Z111" s="156"/>
      <c r="AA111" s="156"/>
      <c r="AB111" s="156"/>
      <c r="AC111" s="156"/>
      <c r="AD111" s="156"/>
      <c r="AE111" s="156"/>
      <c r="AF111" s="156"/>
      <c r="AG111" s="156"/>
      <c r="AH111" s="156"/>
      <c r="AI111" s="156"/>
      <c r="AJ111" s="156"/>
    </row>
    <row r="112" ht="15.75" customHeight="1">
      <c r="A112" s="150"/>
      <c r="B112" s="150"/>
      <c r="C112" s="150"/>
      <c r="D112" s="156"/>
      <c r="E112" s="150"/>
      <c r="F112" s="150"/>
      <c r="G112" s="150"/>
      <c r="H112" s="156"/>
      <c r="I112" s="150"/>
      <c r="J112" s="150"/>
      <c r="K112" s="155"/>
      <c r="L112" s="155"/>
      <c r="M112" s="150"/>
      <c r="N112" s="150"/>
      <c r="O112" s="155"/>
      <c r="P112" s="150"/>
      <c r="Q112" s="150"/>
      <c r="R112" s="156"/>
      <c r="S112" s="193"/>
      <c r="T112" s="156"/>
      <c r="U112" s="156"/>
      <c r="V112" s="156"/>
      <c r="W112" s="156"/>
      <c r="X112" s="156"/>
      <c r="Y112" s="156"/>
      <c r="Z112" s="156"/>
      <c r="AA112" s="156"/>
      <c r="AB112" s="156"/>
      <c r="AC112" s="156"/>
      <c r="AD112" s="156"/>
      <c r="AE112" s="156"/>
      <c r="AF112" s="156"/>
      <c r="AG112" s="156"/>
      <c r="AH112" s="156"/>
      <c r="AI112" s="156"/>
      <c r="AJ112" s="156"/>
    </row>
    <row r="113" ht="15.75" customHeight="1">
      <c r="A113" s="150"/>
      <c r="B113" s="150"/>
      <c r="C113" s="150"/>
      <c r="D113" s="156"/>
      <c r="E113" s="150"/>
      <c r="F113" s="150"/>
      <c r="G113" s="150"/>
      <c r="H113" s="156"/>
      <c r="I113" s="150"/>
      <c r="J113" s="150"/>
      <c r="K113" s="155"/>
      <c r="L113" s="155"/>
      <c r="M113" s="150"/>
      <c r="N113" s="150"/>
      <c r="O113" s="155"/>
      <c r="P113" s="150"/>
      <c r="Q113" s="150"/>
      <c r="R113" s="156"/>
      <c r="S113" s="193"/>
      <c r="T113" s="156"/>
      <c r="U113" s="156"/>
      <c r="V113" s="156"/>
      <c r="W113" s="156"/>
      <c r="X113" s="156"/>
      <c r="Y113" s="156"/>
      <c r="Z113" s="156"/>
      <c r="AA113" s="156"/>
      <c r="AB113" s="156"/>
      <c r="AC113" s="156"/>
      <c r="AD113" s="156"/>
      <c r="AE113" s="156"/>
      <c r="AF113" s="156"/>
      <c r="AG113" s="156"/>
      <c r="AH113" s="156"/>
      <c r="AI113" s="156"/>
      <c r="AJ113" s="156"/>
    </row>
    <row r="114" ht="15.75" customHeight="1">
      <c r="A114" s="150"/>
      <c r="B114" s="150"/>
      <c r="C114" s="150"/>
      <c r="D114" s="156"/>
      <c r="E114" s="150"/>
      <c r="F114" s="150"/>
      <c r="G114" s="150"/>
      <c r="H114" s="156"/>
      <c r="I114" s="150"/>
      <c r="J114" s="150"/>
      <c r="K114" s="155"/>
      <c r="L114" s="155"/>
      <c r="M114" s="150"/>
      <c r="N114" s="150"/>
      <c r="O114" s="155"/>
      <c r="P114" s="150"/>
      <c r="Q114" s="150"/>
      <c r="R114" s="156"/>
      <c r="S114" s="193"/>
      <c r="T114" s="156"/>
      <c r="U114" s="156"/>
      <c r="V114" s="156"/>
      <c r="W114" s="156"/>
      <c r="X114" s="156"/>
      <c r="Y114" s="156"/>
      <c r="Z114" s="156"/>
      <c r="AA114" s="156"/>
      <c r="AB114" s="156"/>
      <c r="AC114" s="156"/>
      <c r="AD114" s="156"/>
      <c r="AE114" s="156"/>
      <c r="AF114" s="156"/>
      <c r="AG114" s="156"/>
      <c r="AH114" s="156"/>
      <c r="AI114" s="156"/>
      <c r="AJ114" s="156"/>
    </row>
    <row r="115" ht="15.75" customHeight="1">
      <c r="A115" s="150"/>
      <c r="B115" s="150"/>
      <c r="C115" s="150"/>
      <c r="D115" s="156"/>
      <c r="E115" s="150"/>
      <c r="F115" s="150"/>
      <c r="G115" s="150"/>
      <c r="H115" s="156"/>
      <c r="I115" s="150"/>
      <c r="J115" s="150"/>
      <c r="K115" s="155"/>
      <c r="L115" s="155"/>
      <c r="M115" s="150"/>
      <c r="N115" s="150"/>
      <c r="O115" s="155"/>
      <c r="P115" s="150"/>
      <c r="Q115" s="150"/>
      <c r="R115" s="156"/>
      <c r="S115" s="193"/>
      <c r="T115" s="156"/>
      <c r="U115" s="156"/>
      <c r="V115" s="156"/>
      <c r="W115" s="156"/>
      <c r="X115" s="156"/>
      <c r="Y115" s="156"/>
      <c r="Z115" s="156"/>
      <c r="AA115" s="156"/>
      <c r="AB115" s="156"/>
      <c r="AC115" s="156"/>
      <c r="AD115" s="156"/>
      <c r="AE115" s="156"/>
      <c r="AF115" s="156"/>
      <c r="AG115" s="156"/>
      <c r="AH115" s="156"/>
      <c r="AI115" s="156"/>
      <c r="AJ115" s="156"/>
    </row>
    <row r="116" ht="15.75" customHeight="1">
      <c r="A116" s="150"/>
      <c r="B116" s="150"/>
      <c r="C116" s="150"/>
      <c r="D116" s="156"/>
      <c r="E116" s="150"/>
      <c r="F116" s="150"/>
      <c r="G116" s="150"/>
      <c r="H116" s="156"/>
      <c r="I116" s="150"/>
      <c r="J116" s="150"/>
      <c r="K116" s="155"/>
      <c r="L116" s="155"/>
      <c r="M116" s="150"/>
      <c r="N116" s="150"/>
      <c r="O116" s="155"/>
      <c r="P116" s="150"/>
      <c r="Q116" s="150"/>
      <c r="R116" s="156"/>
      <c r="S116" s="193"/>
      <c r="T116" s="156"/>
      <c r="U116" s="156"/>
      <c r="V116" s="156"/>
      <c r="W116" s="156"/>
      <c r="X116" s="156"/>
      <c r="Y116" s="156"/>
      <c r="Z116" s="156"/>
      <c r="AA116" s="156"/>
      <c r="AB116" s="156"/>
      <c r="AC116" s="156"/>
      <c r="AD116" s="156"/>
      <c r="AE116" s="156"/>
      <c r="AF116" s="156"/>
      <c r="AG116" s="156"/>
      <c r="AH116" s="156"/>
      <c r="AI116" s="156"/>
      <c r="AJ116" s="156"/>
    </row>
    <row r="117" ht="15.75" customHeight="1">
      <c r="A117" s="150"/>
      <c r="B117" s="150"/>
      <c r="C117" s="150"/>
      <c r="D117" s="156"/>
      <c r="E117" s="150"/>
      <c r="F117" s="150"/>
      <c r="G117" s="150"/>
      <c r="H117" s="156"/>
      <c r="I117" s="150"/>
      <c r="J117" s="150"/>
      <c r="K117" s="155"/>
      <c r="L117" s="155"/>
      <c r="M117" s="150"/>
      <c r="N117" s="150"/>
      <c r="O117" s="155"/>
      <c r="P117" s="150"/>
      <c r="Q117" s="150"/>
      <c r="R117" s="156"/>
      <c r="S117" s="193"/>
      <c r="T117" s="156"/>
      <c r="U117" s="156"/>
      <c r="V117" s="156"/>
      <c r="W117" s="156"/>
      <c r="X117" s="156"/>
      <c r="Y117" s="156"/>
      <c r="Z117" s="156"/>
      <c r="AA117" s="156"/>
      <c r="AB117" s="156"/>
      <c r="AC117" s="156"/>
      <c r="AD117" s="156"/>
      <c r="AE117" s="156"/>
      <c r="AF117" s="156"/>
      <c r="AG117" s="156"/>
      <c r="AH117" s="156"/>
      <c r="AI117" s="156"/>
      <c r="AJ117" s="156"/>
    </row>
    <row r="118" ht="15.75" customHeight="1">
      <c r="A118" s="150"/>
      <c r="B118" s="150"/>
      <c r="C118" s="150"/>
      <c r="D118" s="156"/>
      <c r="E118" s="150"/>
      <c r="F118" s="150"/>
      <c r="G118" s="150"/>
      <c r="H118" s="156"/>
      <c r="I118" s="150"/>
      <c r="J118" s="150"/>
      <c r="K118" s="155"/>
      <c r="L118" s="155"/>
      <c r="M118" s="150"/>
      <c r="N118" s="150"/>
      <c r="O118" s="155"/>
      <c r="P118" s="150"/>
      <c r="Q118" s="150"/>
      <c r="R118" s="156"/>
      <c r="S118" s="193"/>
      <c r="T118" s="156"/>
      <c r="U118" s="156"/>
      <c r="V118" s="156"/>
      <c r="W118" s="156"/>
      <c r="X118" s="156"/>
      <c r="Y118" s="156"/>
      <c r="Z118" s="156"/>
      <c r="AA118" s="156"/>
      <c r="AB118" s="156"/>
      <c r="AC118" s="156"/>
      <c r="AD118" s="156"/>
      <c r="AE118" s="156"/>
      <c r="AF118" s="156"/>
      <c r="AG118" s="156"/>
      <c r="AH118" s="156"/>
      <c r="AI118" s="156"/>
      <c r="AJ118" s="156"/>
    </row>
    <row r="119" ht="15.75" customHeight="1">
      <c r="A119" s="150"/>
      <c r="B119" s="150"/>
      <c r="C119" s="150"/>
      <c r="D119" s="156"/>
      <c r="E119" s="150"/>
      <c r="F119" s="150"/>
      <c r="G119" s="150"/>
      <c r="H119" s="156"/>
      <c r="I119" s="150"/>
      <c r="J119" s="150"/>
      <c r="K119" s="155"/>
      <c r="L119" s="155"/>
      <c r="M119" s="150"/>
      <c r="N119" s="150"/>
      <c r="O119" s="155"/>
      <c r="P119" s="150"/>
      <c r="Q119" s="150"/>
      <c r="R119" s="156"/>
      <c r="S119" s="193"/>
      <c r="T119" s="156"/>
      <c r="U119" s="156"/>
      <c r="V119" s="156"/>
      <c r="W119" s="156"/>
      <c r="X119" s="156"/>
      <c r="Y119" s="156"/>
      <c r="Z119" s="156"/>
      <c r="AA119" s="156"/>
      <c r="AB119" s="156"/>
      <c r="AC119" s="156"/>
      <c r="AD119" s="156"/>
      <c r="AE119" s="156"/>
      <c r="AF119" s="156"/>
      <c r="AG119" s="156"/>
      <c r="AH119" s="156"/>
      <c r="AI119" s="156"/>
      <c r="AJ119" s="156"/>
    </row>
    <row r="120" ht="15.75" customHeight="1">
      <c r="A120" s="150"/>
      <c r="B120" s="150"/>
      <c r="C120" s="150"/>
      <c r="D120" s="156"/>
      <c r="E120" s="150"/>
      <c r="F120" s="150"/>
      <c r="G120" s="150"/>
      <c r="H120" s="156"/>
      <c r="I120" s="150"/>
      <c r="J120" s="150"/>
      <c r="K120" s="155"/>
      <c r="L120" s="155"/>
      <c r="M120" s="150"/>
      <c r="N120" s="150"/>
      <c r="O120" s="155"/>
      <c r="P120" s="150"/>
      <c r="Q120" s="150"/>
      <c r="R120" s="156"/>
      <c r="S120" s="193"/>
      <c r="T120" s="156"/>
      <c r="U120" s="156"/>
      <c r="V120" s="156"/>
      <c r="W120" s="156"/>
      <c r="X120" s="156"/>
      <c r="Y120" s="156"/>
      <c r="Z120" s="156"/>
      <c r="AA120" s="156"/>
      <c r="AB120" s="156"/>
      <c r="AC120" s="156"/>
      <c r="AD120" s="156"/>
      <c r="AE120" s="156"/>
      <c r="AF120" s="156"/>
      <c r="AG120" s="156"/>
      <c r="AH120" s="156"/>
      <c r="AI120" s="156"/>
      <c r="AJ120" s="156"/>
    </row>
    <row r="121" ht="15.75" customHeight="1">
      <c r="A121" s="150"/>
      <c r="B121" s="150"/>
      <c r="C121" s="150"/>
      <c r="D121" s="156"/>
      <c r="E121" s="150"/>
      <c r="F121" s="150"/>
      <c r="G121" s="150"/>
      <c r="H121" s="156"/>
      <c r="I121" s="150"/>
      <c r="J121" s="150"/>
      <c r="K121" s="155"/>
      <c r="L121" s="155"/>
      <c r="M121" s="150"/>
      <c r="N121" s="150"/>
      <c r="O121" s="155"/>
      <c r="P121" s="150"/>
      <c r="Q121" s="150"/>
      <c r="R121" s="156"/>
      <c r="S121" s="193"/>
      <c r="T121" s="156"/>
      <c r="U121" s="156"/>
      <c r="V121" s="156"/>
      <c r="W121" s="156"/>
      <c r="X121" s="156"/>
      <c r="Y121" s="156"/>
      <c r="Z121" s="156"/>
      <c r="AA121" s="156"/>
      <c r="AB121" s="156"/>
      <c r="AC121" s="156"/>
      <c r="AD121" s="156"/>
      <c r="AE121" s="156"/>
      <c r="AF121" s="156"/>
      <c r="AG121" s="156"/>
      <c r="AH121" s="156"/>
      <c r="AI121" s="156"/>
      <c r="AJ121" s="156"/>
    </row>
    <row r="122" ht="15.75" customHeight="1">
      <c r="A122" s="150"/>
      <c r="B122" s="150"/>
      <c r="C122" s="150"/>
      <c r="D122" s="156"/>
      <c r="E122" s="150"/>
      <c r="F122" s="150"/>
      <c r="G122" s="150"/>
      <c r="H122" s="156"/>
      <c r="I122" s="150"/>
      <c r="J122" s="150"/>
      <c r="K122" s="155"/>
      <c r="L122" s="155"/>
      <c r="M122" s="150"/>
      <c r="N122" s="150"/>
      <c r="O122" s="155"/>
      <c r="P122" s="150"/>
      <c r="Q122" s="150"/>
      <c r="R122" s="156"/>
      <c r="S122" s="193"/>
      <c r="T122" s="156"/>
      <c r="U122" s="156"/>
      <c r="V122" s="156"/>
      <c r="W122" s="156"/>
      <c r="X122" s="156"/>
      <c r="Y122" s="156"/>
      <c r="Z122" s="156"/>
      <c r="AA122" s="156"/>
      <c r="AB122" s="156"/>
      <c r="AC122" s="156"/>
      <c r="AD122" s="156"/>
      <c r="AE122" s="156"/>
      <c r="AF122" s="156"/>
      <c r="AG122" s="156"/>
      <c r="AH122" s="156"/>
      <c r="AI122" s="156"/>
      <c r="AJ122" s="156"/>
    </row>
    <row r="123" ht="15.75" customHeight="1">
      <c r="A123" s="150"/>
      <c r="B123" s="150"/>
      <c r="C123" s="150"/>
      <c r="D123" s="156"/>
      <c r="E123" s="150"/>
      <c r="F123" s="150"/>
      <c r="G123" s="150"/>
      <c r="H123" s="156"/>
      <c r="I123" s="150"/>
      <c r="J123" s="150"/>
      <c r="K123" s="155"/>
      <c r="L123" s="155"/>
      <c r="M123" s="150"/>
      <c r="N123" s="150"/>
      <c r="O123" s="155"/>
      <c r="P123" s="150"/>
      <c r="Q123" s="150"/>
      <c r="R123" s="156"/>
      <c r="S123" s="193"/>
      <c r="T123" s="156"/>
      <c r="U123" s="156"/>
      <c r="V123" s="156"/>
      <c r="W123" s="156"/>
      <c r="X123" s="156"/>
      <c r="Y123" s="156"/>
      <c r="Z123" s="156"/>
      <c r="AA123" s="156"/>
      <c r="AB123" s="156"/>
      <c r="AC123" s="156"/>
      <c r="AD123" s="156"/>
      <c r="AE123" s="156"/>
      <c r="AF123" s="156"/>
      <c r="AG123" s="156"/>
      <c r="AH123" s="156"/>
      <c r="AI123" s="156"/>
      <c r="AJ123" s="156"/>
    </row>
    <row r="124" ht="15.75" customHeight="1">
      <c r="A124" s="150"/>
      <c r="B124" s="150"/>
      <c r="C124" s="150"/>
      <c r="D124" s="156"/>
      <c r="E124" s="150"/>
      <c r="F124" s="150"/>
      <c r="G124" s="150"/>
      <c r="H124" s="156"/>
      <c r="I124" s="150"/>
      <c r="J124" s="150"/>
      <c r="K124" s="155"/>
      <c r="L124" s="155"/>
      <c r="M124" s="150"/>
      <c r="N124" s="150"/>
      <c r="O124" s="155"/>
      <c r="P124" s="150"/>
      <c r="Q124" s="150"/>
      <c r="R124" s="156"/>
      <c r="S124" s="193"/>
      <c r="T124" s="156"/>
      <c r="U124" s="156"/>
      <c r="V124" s="156"/>
      <c r="W124" s="156"/>
      <c r="X124" s="156"/>
      <c r="Y124" s="156"/>
      <c r="Z124" s="156"/>
      <c r="AA124" s="156"/>
      <c r="AB124" s="156"/>
      <c r="AC124" s="156"/>
      <c r="AD124" s="156"/>
      <c r="AE124" s="156"/>
      <c r="AF124" s="156"/>
      <c r="AG124" s="156"/>
      <c r="AH124" s="156"/>
      <c r="AI124" s="156"/>
      <c r="AJ124" s="156"/>
    </row>
    <row r="125" ht="15.75" customHeight="1">
      <c r="A125" s="150"/>
      <c r="B125" s="150"/>
      <c r="C125" s="150"/>
      <c r="D125" s="156"/>
      <c r="E125" s="150"/>
      <c r="F125" s="150"/>
      <c r="G125" s="150"/>
      <c r="H125" s="156"/>
      <c r="I125" s="150"/>
      <c r="J125" s="150"/>
      <c r="K125" s="155"/>
      <c r="L125" s="155"/>
      <c r="M125" s="150"/>
      <c r="N125" s="150"/>
      <c r="O125" s="155"/>
      <c r="P125" s="150"/>
      <c r="Q125" s="150"/>
      <c r="R125" s="156"/>
      <c r="S125" s="193"/>
      <c r="T125" s="156"/>
      <c r="U125" s="156"/>
      <c r="V125" s="156"/>
      <c r="W125" s="156"/>
      <c r="X125" s="156"/>
      <c r="Y125" s="156"/>
      <c r="Z125" s="156"/>
      <c r="AA125" s="156"/>
      <c r="AB125" s="156"/>
      <c r="AC125" s="156"/>
      <c r="AD125" s="156"/>
      <c r="AE125" s="156"/>
      <c r="AF125" s="156"/>
      <c r="AG125" s="156"/>
      <c r="AH125" s="156"/>
      <c r="AI125" s="156"/>
      <c r="AJ125" s="156"/>
    </row>
    <row r="126" ht="15.75" customHeight="1">
      <c r="A126" s="150"/>
      <c r="B126" s="150"/>
      <c r="C126" s="150"/>
      <c r="D126" s="156"/>
      <c r="E126" s="150"/>
      <c r="F126" s="150"/>
      <c r="G126" s="150"/>
      <c r="H126" s="156"/>
      <c r="I126" s="150"/>
      <c r="J126" s="150"/>
      <c r="K126" s="155"/>
      <c r="L126" s="155"/>
      <c r="M126" s="150"/>
      <c r="N126" s="150"/>
      <c r="O126" s="155"/>
      <c r="P126" s="150"/>
      <c r="Q126" s="150"/>
      <c r="R126" s="156"/>
      <c r="S126" s="193"/>
      <c r="T126" s="156"/>
      <c r="U126" s="156"/>
      <c r="V126" s="156"/>
      <c r="W126" s="156"/>
      <c r="X126" s="156"/>
      <c r="Y126" s="156"/>
      <c r="Z126" s="156"/>
      <c r="AA126" s="156"/>
      <c r="AB126" s="156"/>
      <c r="AC126" s="156"/>
      <c r="AD126" s="156"/>
      <c r="AE126" s="156"/>
      <c r="AF126" s="156"/>
      <c r="AG126" s="156"/>
      <c r="AH126" s="156"/>
      <c r="AI126" s="156"/>
      <c r="AJ126" s="156"/>
    </row>
    <row r="127" ht="15.75" customHeight="1">
      <c r="A127" s="150"/>
      <c r="B127" s="150"/>
      <c r="C127" s="150"/>
      <c r="D127" s="156"/>
      <c r="E127" s="150"/>
      <c r="F127" s="150"/>
      <c r="G127" s="150"/>
      <c r="H127" s="156"/>
      <c r="I127" s="150"/>
      <c r="J127" s="150"/>
      <c r="K127" s="155"/>
      <c r="L127" s="155"/>
      <c r="M127" s="150"/>
      <c r="N127" s="150"/>
      <c r="O127" s="155"/>
      <c r="P127" s="150"/>
      <c r="Q127" s="150"/>
      <c r="R127" s="156"/>
      <c r="S127" s="193"/>
      <c r="T127" s="156"/>
      <c r="U127" s="156"/>
      <c r="V127" s="156"/>
      <c r="W127" s="156"/>
      <c r="X127" s="156"/>
      <c r="Y127" s="156"/>
      <c r="Z127" s="156"/>
      <c r="AA127" s="156"/>
      <c r="AB127" s="156"/>
      <c r="AC127" s="156"/>
      <c r="AD127" s="156"/>
      <c r="AE127" s="156"/>
      <c r="AF127" s="156"/>
      <c r="AG127" s="156"/>
      <c r="AH127" s="156"/>
      <c r="AI127" s="156"/>
      <c r="AJ127" s="156"/>
    </row>
    <row r="128" ht="15.75" customHeight="1">
      <c r="A128" s="150"/>
      <c r="B128" s="150"/>
      <c r="C128" s="150"/>
      <c r="D128" s="156"/>
      <c r="E128" s="150"/>
      <c r="F128" s="150"/>
      <c r="G128" s="150"/>
      <c r="H128" s="156"/>
      <c r="I128" s="150"/>
      <c r="J128" s="150"/>
      <c r="K128" s="155"/>
      <c r="L128" s="155"/>
      <c r="M128" s="150"/>
      <c r="N128" s="150"/>
      <c r="O128" s="155"/>
      <c r="P128" s="150"/>
      <c r="Q128" s="150"/>
      <c r="R128" s="156"/>
      <c r="S128" s="193"/>
      <c r="T128" s="156"/>
      <c r="U128" s="156"/>
      <c r="V128" s="156"/>
      <c r="W128" s="156"/>
      <c r="X128" s="156"/>
      <c r="Y128" s="156"/>
      <c r="Z128" s="156"/>
      <c r="AA128" s="156"/>
      <c r="AB128" s="156"/>
      <c r="AC128" s="156"/>
      <c r="AD128" s="156"/>
      <c r="AE128" s="156"/>
      <c r="AF128" s="156"/>
      <c r="AG128" s="156"/>
      <c r="AH128" s="156"/>
      <c r="AI128" s="156"/>
      <c r="AJ128" s="156"/>
    </row>
    <row r="129" ht="15.75" customHeight="1">
      <c r="A129" s="150"/>
      <c r="B129" s="150"/>
      <c r="C129" s="150"/>
      <c r="D129" s="156"/>
      <c r="E129" s="150"/>
      <c r="F129" s="150"/>
      <c r="G129" s="150"/>
      <c r="H129" s="156"/>
      <c r="I129" s="150"/>
      <c r="J129" s="150"/>
      <c r="K129" s="155"/>
      <c r="L129" s="155"/>
      <c r="M129" s="150"/>
      <c r="N129" s="150"/>
      <c r="O129" s="155"/>
      <c r="P129" s="150"/>
      <c r="Q129" s="150"/>
      <c r="R129" s="156"/>
      <c r="S129" s="193"/>
      <c r="T129" s="156"/>
      <c r="U129" s="156"/>
      <c r="V129" s="156"/>
      <c r="W129" s="156"/>
      <c r="X129" s="156"/>
      <c r="Y129" s="156"/>
      <c r="Z129" s="156"/>
      <c r="AA129" s="156"/>
      <c r="AB129" s="156"/>
      <c r="AC129" s="156"/>
      <c r="AD129" s="156"/>
      <c r="AE129" s="156"/>
      <c r="AF129" s="156"/>
      <c r="AG129" s="156"/>
      <c r="AH129" s="156"/>
      <c r="AI129" s="156"/>
      <c r="AJ129" s="156"/>
    </row>
    <row r="130" ht="15.75" customHeight="1">
      <c r="A130" s="150"/>
      <c r="B130" s="150"/>
      <c r="C130" s="150"/>
      <c r="D130" s="156"/>
      <c r="E130" s="150"/>
      <c r="F130" s="150"/>
      <c r="G130" s="150"/>
      <c r="H130" s="156"/>
      <c r="I130" s="150"/>
      <c r="J130" s="150"/>
      <c r="K130" s="155"/>
      <c r="L130" s="155"/>
      <c r="M130" s="150"/>
      <c r="N130" s="150"/>
      <c r="O130" s="155"/>
      <c r="P130" s="150"/>
      <c r="Q130" s="150"/>
      <c r="R130" s="156"/>
      <c r="S130" s="193"/>
      <c r="T130" s="156"/>
      <c r="U130" s="156"/>
      <c r="V130" s="156"/>
      <c r="W130" s="156"/>
      <c r="X130" s="156"/>
      <c r="Y130" s="156"/>
      <c r="Z130" s="156"/>
      <c r="AA130" s="156"/>
      <c r="AB130" s="156"/>
      <c r="AC130" s="156"/>
      <c r="AD130" s="156"/>
      <c r="AE130" s="156"/>
      <c r="AF130" s="156"/>
      <c r="AG130" s="156"/>
      <c r="AH130" s="156"/>
      <c r="AI130" s="156"/>
      <c r="AJ130" s="156"/>
    </row>
    <row r="131" ht="15.75" customHeight="1">
      <c r="A131" s="150"/>
      <c r="B131" s="150"/>
      <c r="C131" s="150"/>
      <c r="D131" s="156"/>
      <c r="E131" s="150"/>
      <c r="F131" s="150"/>
      <c r="G131" s="150"/>
      <c r="H131" s="156"/>
      <c r="I131" s="150"/>
      <c r="J131" s="150"/>
      <c r="K131" s="155"/>
      <c r="L131" s="155"/>
      <c r="M131" s="150"/>
      <c r="N131" s="150"/>
      <c r="O131" s="155"/>
      <c r="P131" s="150"/>
      <c r="Q131" s="150"/>
      <c r="R131" s="156"/>
      <c r="S131" s="193"/>
      <c r="T131" s="156"/>
      <c r="U131" s="156"/>
      <c r="V131" s="156"/>
      <c r="W131" s="156"/>
      <c r="X131" s="156"/>
      <c r="Y131" s="156"/>
      <c r="Z131" s="156"/>
      <c r="AA131" s="156"/>
      <c r="AB131" s="156"/>
      <c r="AC131" s="156"/>
      <c r="AD131" s="156"/>
      <c r="AE131" s="156"/>
      <c r="AF131" s="156"/>
      <c r="AG131" s="156"/>
      <c r="AH131" s="156"/>
      <c r="AI131" s="156"/>
      <c r="AJ131" s="156"/>
    </row>
    <row r="132" ht="15.75" customHeight="1">
      <c r="A132" s="150"/>
      <c r="B132" s="150"/>
      <c r="C132" s="150"/>
      <c r="D132" s="156"/>
      <c r="E132" s="150"/>
      <c r="F132" s="150"/>
      <c r="G132" s="150"/>
      <c r="H132" s="156"/>
      <c r="I132" s="150"/>
      <c r="J132" s="150"/>
      <c r="K132" s="155"/>
      <c r="L132" s="155"/>
      <c r="M132" s="150"/>
      <c r="N132" s="150"/>
      <c r="O132" s="155"/>
      <c r="P132" s="150"/>
      <c r="Q132" s="150"/>
      <c r="R132" s="156"/>
      <c r="S132" s="193"/>
      <c r="T132" s="156"/>
      <c r="U132" s="156"/>
      <c r="V132" s="156"/>
      <c r="W132" s="156"/>
      <c r="X132" s="156"/>
      <c r="Y132" s="156"/>
      <c r="Z132" s="156"/>
      <c r="AA132" s="156"/>
      <c r="AB132" s="156"/>
      <c r="AC132" s="156"/>
      <c r="AD132" s="156"/>
      <c r="AE132" s="156"/>
      <c r="AF132" s="156"/>
      <c r="AG132" s="156"/>
      <c r="AH132" s="156"/>
      <c r="AI132" s="156"/>
      <c r="AJ132" s="156"/>
    </row>
    <row r="133" ht="15.75" customHeight="1">
      <c r="A133" s="150"/>
      <c r="B133" s="150"/>
      <c r="C133" s="150"/>
      <c r="D133" s="156"/>
      <c r="E133" s="150"/>
      <c r="F133" s="150"/>
      <c r="G133" s="150"/>
      <c r="H133" s="156"/>
      <c r="I133" s="150"/>
      <c r="J133" s="150"/>
      <c r="K133" s="155"/>
      <c r="L133" s="155"/>
      <c r="M133" s="150"/>
      <c r="N133" s="150"/>
      <c r="O133" s="155"/>
      <c r="P133" s="150"/>
      <c r="Q133" s="150"/>
      <c r="R133" s="156"/>
      <c r="S133" s="193"/>
      <c r="T133" s="156"/>
      <c r="U133" s="156"/>
      <c r="V133" s="156"/>
      <c r="W133" s="156"/>
      <c r="X133" s="156"/>
      <c r="Y133" s="156"/>
      <c r="Z133" s="156"/>
      <c r="AA133" s="156"/>
      <c r="AB133" s="156"/>
      <c r="AC133" s="156"/>
      <c r="AD133" s="156"/>
      <c r="AE133" s="156"/>
      <c r="AF133" s="156"/>
      <c r="AG133" s="156"/>
      <c r="AH133" s="156"/>
      <c r="AI133" s="156"/>
      <c r="AJ133" s="156"/>
    </row>
    <row r="134" ht="15.75" customHeight="1">
      <c r="A134" s="150"/>
      <c r="B134" s="150"/>
      <c r="C134" s="150"/>
      <c r="D134" s="156"/>
      <c r="E134" s="150"/>
      <c r="F134" s="150"/>
      <c r="G134" s="150"/>
      <c r="H134" s="156"/>
      <c r="I134" s="150"/>
      <c r="J134" s="150"/>
      <c r="K134" s="155"/>
      <c r="L134" s="155"/>
      <c r="M134" s="150"/>
      <c r="N134" s="150"/>
      <c r="O134" s="155"/>
      <c r="P134" s="150"/>
      <c r="Q134" s="150"/>
      <c r="R134" s="156"/>
      <c r="S134" s="193"/>
      <c r="T134" s="156"/>
      <c r="U134" s="156"/>
      <c r="V134" s="156"/>
      <c r="W134" s="156"/>
      <c r="X134" s="156"/>
      <c r="Y134" s="156"/>
      <c r="Z134" s="156"/>
      <c r="AA134" s="156"/>
      <c r="AB134" s="156"/>
      <c r="AC134" s="156"/>
      <c r="AD134" s="156"/>
      <c r="AE134" s="156"/>
      <c r="AF134" s="156"/>
      <c r="AG134" s="156"/>
      <c r="AH134" s="156"/>
      <c r="AI134" s="156"/>
      <c r="AJ134" s="156"/>
    </row>
    <row r="135" ht="15.75" customHeight="1">
      <c r="A135" s="150"/>
      <c r="B135" s="150"/>
      <c r="C135" s="150"/>
      <c r="D135" s="156"/>
      <c r="E135" s="150"/>
      <c r="F135" s="150"/>
      <c r="G135" s="150"/>
      <c r="H135" s="156"/>
      <c r="I135" s="150"/>
      <c r="J135" s="150"/>
      <c r="K135" s="155"/>
      <c r="L135" s="155"/>
      <c r="M135" s="150"/>
      <c r="N135" s="150"/>
      <c r="O135" s="155"/>
      <c r="P135" s="150"/>
      <c r="Q135" s="150"/>
      <c r="R135" s="156"/>
      <c r="S135" s="193"/>
      <c r="T135" s="156"/>
      <c r="U135" s="156"/>
      <c r="V135" s="156"/>
      <c r="W135" s="156"/>
      <c r="X135" s="156"/>
      <c r="Y135" s="156"/>
      <c r="Z135" s="156"/>
      <c r="AA135" s="156"/>
      <c r="AB135" s="156"/>
      <c r="AC135" s="156"/>
      <c r="AD135" s="156"/>
      <c r="AE135" s="156"/>
      <c r="AF135" s="156"/>
      <c r="AG135" s="156"/>
      <c r="AH135" s="156"/>
      <c r="AI135" s="156"/>
      <c r="AJ135" s="156"/>
    </row>
    <row r="136" ht="15.75" customHeight="1">
      <c r="A136" s="150"/>
      <c r="B136" s="150"/>
      <c r="C136" s="150"/>
      <c r="D136" s="156"/>
      <c r="E136" s="150"/>
      <c r="F136" s="150"/>
      <c r="G136" s="150"/>
      <c r="H136" s="156"/>
      <c r="I136" s="150"/>
      <c r="J136" s="150"/>
      <c r="K136" s="155"/>
      <c r="L136" s="155"/>
      <c r="M136" s="150"/>
      <c r="N136" s="150"/>
      <c r="O136" s="155"/>
      <c r="P136" s="150"/>
      <c r="Q136" s="150"/>
      <c r="R136" s="156"/>
      <c r="S136" s="193"/>
      <c r="T136" s="156"/>
      <c r="U136" s="156"/>
      <c r="V136" s="156"/>
      <c r="W136" s="156"/>
      <c r="X136" s="156"/>
      <c r="Y136" s="156"/>
      <c r="Z136" s="156"/>
      <c r="AA136" s="156"/>
      <c r="AB136" s="156"/>
      <c r="AC136" s="156"/>
      <c r="AD136" s="156"/>
      <c r="AE136" s="156"/>
      <c r="AF136" s="156"/>
      <c r="AG136" s="156"/>
      <c r="AH136" s="156"/>
      <c r="AI136" s="156"/>
      <c r="AJ136" s="156"/>
    </row>
    <row r="137" ht="15.75" customHeight="1">
      <c r="A137" s="150"/>
      <c r="B137" s="150"/>
      <c r="C137" s="150"/>
      <c r="D137" s="156"/>
      <c r="E137" s="150"/>
      <c r="F137" s="150"/>
      <c r="G137" s="150"/>
      <c r="H137" s="156"/>
      <c r="I137" s="150"/>
      <c r="J137" s="150"/>
      <c r="K137" s="155"/>
      <c r="L137" s="155"/>
      <c r="M137" s="150"/>
      <c r="N137" s="150"/>
      <c r="O137" s="155"/>
      <c r="P137" s="150"/>
      <c r="Q137" s="150"/>
      <c r="R137" s="156"/>
      <c r="S137" s="193"/>
      <c r="T137" s="156"/>
      <c r="U137" s="156"/>
      <c r="V137" s="156"/>
      <c r="W137" s="156"/>
      <c r="X137" s="156"/>
      <c r="Y137" s="156"/>
      <c r="Z137" s="156"/>
      <c r="AA137" s="156"/>
      <c r="AB137" s="156"/>
      <c r="AC137" s="156"/>
      <c r="AD137" s="156"/>
      <c r="AE137" s="156"/>
      <c r="AF137" s="156"/>
      <c r="AG137" s="156"/>
      <c r="AH137" s="156"/>
      <c r="AI137" s="156"/>
      <c r="AJ137" s="156"/>
    </row>
    <row r="138" ht="15.75" customHeight="1">
      <c r="A138" s="150"/>
      <c r="B138" s="150"/>
      <c r="C138" s="150"/>
      <c r="D138" s="156"/>
      <c r="E138" s="150"/>
      <c r="F138" s="150"/>
      <c r="G138" s="150"/>
      <c r="H138" s="156"/>
      <c r="I138" s="150"/>
      <c r="J138" s="150"/>
      <c r="K138" s="155"/>
      <c r="L138" s="155"/>
      <c r="M138" s="150"/>
      <c r="N138" s="150"/>
      <c r="O138" s="155"/>
      <c r="P138" s="150"/>
      <c r="Q138" s="150"/>
      <c r="R138" s="156"/>
      <c r="S138" s="193"/>
      <c r="T138" s="156"/>
      <c r="U138" s="156"/>
      <c r="V138" s="156"/>
      <c r="W138" s="156"/>
      <c r="X138" s="156"/>
      <c r="Y138" s="156"/>
      <c r="Z138" s="156"/>
      <c r="AA138" s="156"/>
      <c r="AB138" s="156"/>
      <c r="AC138" s="156"/>
      <c r="AD138" s="156"/>
      <c r="AE138" s="156"/>
      <c r="AF138" s="156"/>
      <c r="AG138" s="156"/>
      <c r="AH138" s="156"/>
      <c r="AI138" s="156"/>
      <c r="AJ138" s="156"/>
    </row>
    <row r="139" ht="15.75" customHeight="1">
      <c r="A139" s="150"/>
      <c r="B139" s="150"/>
      <c r="C139" s="150"/>
      <c r="D139" s="156"/>
      <c r="E139" s="150"/>
      <c r="F139" s="150"/>
      <c r="G139" s="150"/>
      <c r="H139" s="156"/>
      <c r="I139" s="150"/>
      <c r="J139" s="150"/>
      <c r="K139" s="155"/>
      <c r="L139" s="155"/>
      <c r="M139" s="150"/>
      <c r="N139" s="150"/>
      <c r="O139" s="155"/>
      <c r="P139" s="150"/>
      <c r="Q139" s="150"/>
      <c r="R139" s="156"/>
      <c r="S139" s="193"/>
      <c r="T139" s="156"/>
      <c r="U139" s="156"/>
      <c r="V139" s="156"/>
      <c r="W139" s="156"/>
      <c r="X139" s="156"/>
      <c r="Y139" s="156"/>
      <c r="Z139" s="156"/>
      <c r="AA139" s="156"/>
      <c r="AB139" s="156"/>
      <c r="AC139" s="156"/>
      <c r="AD139" s="156"/>
      <c r="AE139" s="156"/>
      <c r="AF139" s="156"/>
      <c r="AG139" s="156"/>
      <c r="AH139" s="156"/>
      <c r="AI139" s="156"/>
      <c r="AJ139" s="156"/>
    </row>
    <row r="140" ht="15.75" customHeight="1">
      <c r="A140" s="150"/>
      <c r="B140" s="150"/>
      <c r="C140" s="150"/>
      <c r="D140" s="156"/>
      <c r="E140" s="150"/>
      <c r="F140" s="150"/>
      <c r="G140" s="150"/>
      <c r="H140" s="156"/>
      <c r="I140" s="150"/>
      <c r="J140" s="150"/>
      <c r="K140" s="155"/>
      <c r="L140" s="155"/>
      <c r="M140" s="150"/>
      <c r="N140" s="150"/>
      <c r="O140" s="155"/>
      <c r="P140" s="150"/>
      <c r="Q140" s="150"/>
      <c r="R140" s="156"/>
      <c r="S140" s="193"/>
      <c r="T140" s="156"/>
      <c r="U140" s="156"/>
      <c r="V140" s="156"/>
      <c r="W140" s="156"/>
      <c r="X140" s="156"/>
      <c r="Y140" s="156"/>
      <c r="Z140" s="156"/>
      <c r="AA140" s="156"/>
      <c r="AB140" s="156"/>
      <c r="AC140" s="156"/>
      <c r="AD140" s="156"/>
      <c r="AE140" s="156"/>
      <c r="AF140" s="156"/>
      <c r="AG140" s="156"/>
      <c r="AH140" s="156"/>
      <c r="AI140" s="156"/>
      <c r="AJ140" s="156"/>
    </row>
    <row r="141" ht="15.75" customHeight="1">
      <c r="A141" s="150"/>
      <c r="B141" s="150"/>
      <c r="C141" s="150"/>
      <c r="D141" s="156"/>
      <c r="E141" s="150"/>
      <c r="F141" s="150"/>
      <c r="G141" s="150"/>
      <c r="H141" s="156"/>
      <c r="I141" s="150"/>
      <c r="J141" s="150"/>
      <c r="K141" s="155"/>
      <c r="L141" s="155"/>
      <c r="M141" s="150"/>
      <c r="N141" s="150"/>
      <c r="O141" s="155"/>
      <c r="P141" s="150"/>
      <c r="Q141" s="150"/>
      <c r="R141" s="156"/>
      <c r="S141" s="193"/>
      <c r="T141" s="156"/>
      <c r="U141" s="156"/>
      <c r="V141" s="156"/>
      <c r="W141" s="156"/>
      <c r="X141" s="156"/>
      <c r="Y141" s="156"/>
      <c r="Z141" s="156"/>
      <c r="AA141" s="156"/>
      <c r="AB141" s="156"/>
      <c r="AC141" s="156"/>
      <c r="AD141" s="156"/>
      <c r="AE141" s="156"/>
      <c r="AF141" s="156"/>
      <c r="AG141" s="156"/>
      <c r="AH141" s="156"/>
      <c r="AI141" s="156"/>
      <c r="AJ141" s="156"/>
    </row>
    <row r="142" ht="15.75" customHeight="1">
      <c r="A142" s="150"/>
      <c r="B142" s="150"/>
      <c r="C142" s="150"/>
      <c r="D142" s="156"/>
      <c r="E142" s="150"/>
      <c r="F142" s="150"/>
      <c r="G142" s="150"/>
      <c r="H142" s="156"/>
      <c r="I142" s="150"/>
      <c r="J142" s="150"/>
      <c r="K142" s="155"/>
      <c r="L142" s="155"/>
      <c r="M142" s="150"/>
      <c r="N142" s="150"/>
      <c r="O142" s="155"/>
      <c r="P142" s="150"/>
      <c r="Q142" s="150"/>
      <c r="R142" s="156"/>
      <c r="S142" s="193"/>
      <c r="T142" s="156"/>
      <c r="U142" s="156"/>
      <c r="V142" s="156"/>
      <c r="W142" s="156"/>
      <c r="X142" s="156"/>
      <c r="Y142" s="156"/>
      <c r="Z142" s="156"/>
      <c r="AA142" s="156"/>
      <c r="AB142" s="156"/>
      <c r="AC142" s="156"/>
      <c r="AD142" s="156"/>
      <c r="AE142" s="156"/>
      <c r="AF142" s="156"/>
      <c r="AG142" s="156"/>
      <c r="AH142" s="156"/>
      <c r="AI142" s="156"/>
      <c r="AJ142" s="156"/>
    </row>
    <row r="143" ht="15.75" customHeight="1">
      <c r="A143" s="150"/>
      <c r="B143" s="150"/>
      <c r="C143" s="150"/>
      <c r="D143" s="156"/>
      <c r="E143" s="150"/>
      <c r="F143" s="150"/>
      <c r="G143" s="150"/>
      <c r="H143" s="156"/>
      <c r="I143" s="150"/>
      <c r="J143" s="150"/>
      <c r="K143" s="155"/>
      <c r="L143" s="155"/>
      <c r="M143" s="150"/>
      <c r="N143" s="150"/>
      <c r="O143" s="155"/>
      <c r="P143" s="150"/>
      <c r="Q143" s="150"/>
      <c r="R143" s="156"/>
      <c r="S143" s="193"/>
      <c r="T143" s="156"/>
      <c r="U143" s="156"/>
      <c r="V143" s="156"/>
      <c r="W143" s="156"/>
      <c r="X143" s="156"/>
      <c r="Y143" s="156"/>
      <c r="Z143" s="156"/>
      <c r="AA143" s="156"/>
      <c r="AB143" s="156"/>
      <c r="AC143" s="156"/>
      <c r="AD143" s="156"/>
      <c r="AE143" s="156"/>
      <c r="AF143" s="156"/>
      <c r="AG143" s="156"/>
      <c r="AH143" s="156"/>
      <c r="AI143" s="156"/>
      <c r="AJ143" s="156"/>
    </row>
    <row r="144" ht="15.75" customHeight="1">
      <c r="A144" s="150"/>
      <c r="B144" s="150"/>
      <c r="C144" s="150"/>
      <c r="D144" s="156"/>
      <c r="E144" s="150"/>
      <c r="F144" s="150"/>
      <c r="G144" s="150"/>
      <c r="H144" s="156"/>
      <c r="I144" s="150"/>
      <c r="J144" s="150"/>
      <c r="K144" s="155"/>
      <c r="L144" s="155"/>
      <c r="M144" s="150"/>
      <c r="N144" s="150"/>
      <c r="O144" s="155"/>
      <c r="P144" s="150"/>
      <c r="Q144" s="150"/>
      <c r="R144" s="156"/>
      <c r="S144" s="193"/>
      <c r="T144" s="156"/>
      <c r="U144" s="156"/>
      <c r="V144" s="156"/>
      <c r="W144" s="156"/>
      <c r="X144" s="156"/>
      <c r="Y144" s="156"/>
      <c r="Z144" s="156"/>
      <c r="AA144" s="156"/>
      <c r="AB144" s="156"/>
      <c r="AC144" s="156"/>
      <c r="AD144" s="156"/>
      <c r="AE144" s="156"/>
      <c r="AF144" s="156"/>
      <c r="AG144" s="156"/>
      <c r="AH144" s="156"/>
      <c r="AI144" s="156"/>
      <c r="AJ144" s="156"/>
    </row>
    <row r="145" ht="15.75" customHeight="1">
      <c r="A145" s="150"/>
      <c r="B145" s="150"/>
      <c r="C145" s="150"/>
      <c r="D145" s="156"/>
      <c r="E145" s="150"/>
      <c r="F145" s="150"/>
      <c r="G145" s="150"/>
      <c r="H145" s="156"/>
      <c r="I145" s="150"/>
      <c r="J145" s="150"/>
      <c r="K145" s="155"/>
      <c r="L145" s="155"/>
      <c r="M145" s="150"/>
      <c r="N145" s="150"/>
      <c r="O145" s="155"/>
      <c r="P145" s="150"/>
      <c r="Q145" s="150"/>
      <c r="R145" s="156"/>
      <c r="S145" s="193"/>
      <c r="T145" s="156"/>
      <c r="U145" s="156"/>
      <c r="V145" s="156"/>
      <c r="W145" s="156"/>
      <c r="X145" s="156"/>
      <c r="Y145" s="156"/>
      <c r="Z145" s="156"/>
      <c r="AA145" s="156"/>
      <c r="AB145" s="156"/>
      <c r="AC145" s="156"/>
      <c r="AD145" s="156"/>
      <c r="AE145" s="156"/>
      <c r="AF145" s="156"/>
      <c r="AG145" s="156"/>
      <c r="AH145" s="156"/>
      <c r="AI145" s="156"/>
      <c r="AJ145" s="156"/>
    </row>
    <row r="146" ht="15.75" customHeight="1">
      <c r="A146" s="150"/>
      <c r="B146" s="150"/>
      <c r="C146" s="150"/>
      <c r="D146" s="156"/>
      <c r="E146" s="150"/>
      <c r="F146" s="150"/>
      <c r="G146" s="150"/>
      <c r="H146" s="156"/>
      <c r="I146" s="150"/>
      <c r="J146" s="150"/>
      <c r="K146" s="155"/>
      <c r="L146" s="155"/>
      <c r="M146" s="150"/>
      <c r="N146" s="150"/>
      <c r="O146" s="155"/>
      <c r="P146" s="150"/>
      <c r="Q146" s="150"/>
      <c r="R146" s="156"/>
      <c r="S146" s="193"/>
      <c r="T146" s="156"/>
      <c r="U146" s="156"/>
      <c r="V146" s="156"/>
      <c r="W146" s="156"/>
      <c r="X146" s="156"/>
      <c r="Y146" s="156"/>
      <c r="Z146" s="156"/>
      <c r="AA146" s="156"/>
      <c r="AB146" s="156"/>
      <c r="AC146" s="156"/>
      <c r="AD146" s="156"/>
      <c r="AE146" s="156"/>
      <c r="AF146" s="156"/>
      <c r="AG146" s="156"/>
      <c r="AH146" s="156"/>
      <c r="AI146" s="156"/>
      <c r="AJ146" s="156"/>
    </row>
    <row r="147" ht="15.75" customHeight="1">
      <c r="A147" s="150"/>
      <c r="B147" s="150"/>
      <c r="C147" s="150"/>
      <c r="D147" s="156"/>
      <c r="E147" s="150"/>
      <c r="F147" s="150"/>
      <c r="G147" s="150"/>
      <c r="H147" s="156"/>
      <c r="I147" s="150"/>
      <c r="J147" s="150"/>
      <c r="K147" s="155"/>
      <c r="L147" s="155"/>
      <c r="M147" s="150"/>
      <c r="N147" s="150"/>
      <c r="O147" s="155"/>
      <c r="P147" s="150"/>
      <c r="Q147" s="150"/>
      <c r="R147" s="156"/>
      <c r="S147" s="193"/>
      <c r="T147" s="156"/>
      <c r="U147" s="156"/>
      <c r="V147" s="156"/>
      <c r="W147" s="156"/>
      <c r="X147" s="156"/>
      <c r="Y147" s="156"/>
      <c r="Z147" s="156"/>
      <c r="AA147" s="156"/>
      <c r="AB147" s="156"/>
      <c r="AC147" s="156"/>
      <c r="AD147" s="156"/>
      <c r="AE147" s="156"/>
      <c r="AF147" s="156"/>
      <c r="AG147" s="156"/>
      <c r="AH147" s="156"/>
      <c r="AI147" s="156"/>
      <c r="AJ147" s="156"/>
    </row>
    <row r="148" ht="15.75" customHeight="1">
      <c r="A148" s="150"/>
      <c r="B148" s="150"/>
      <c r="C148" s="150"/>
      <c r="D148" s="156"/>
      <c r="E148" s="150"/>
      <c r="F148" s="150"/>
      <c r="G148" s="150"/>
      <c r="H148" s="156"/>
      <c r="I148" s="150"/>
      <c r="J148" s="150"/>
      <c r="K148" s="155"/>
      <c r="L148" s="155"/>
      <c r="M148" s="150"/>
      <c r="N148" s="150"/>
      <c r="O148" s="155"/>
      <c r="P148" s="150"/>
      <c r="Q148" s="150"/>
      <c r="R148" s="156"/>
      <c r="S148" s="193"/>
      <c r="T148" s="156"/>
      <c r="U148" s="156"/>
      <c r="V148" s="156"/>
      <c r="W148" s="156"/>
      <c r="X148" s="156"/>
      <c r="Y148" s="156"/>
      <c r="Z148" s="156"/>
      <c r="AA148" s="156"/>
      <c r="AB148" s="156"/>
      <c r="AC148" s="156"/>
      <c r="AD148" s="156"/>
      <c r="AE148" s="156"/>
      <c r="AF148" s="156"/>
      <c r="AG148" s="156"/>
      <c r="AH148" s="156"/>
      <c r="AI148" s="156"/>
      <c r="AJ148" s="156"/>
    </row>
    <row r="149" ht="15.75" customHeight="1">
      <c r="A149" s="150"/>
      <c r="B149" s="150"/>
      <c r="C149" s="150"/>
      <c r="D149" s="156"/>
      <c r="E149" s="150"/>
      <c r="F149" s="150"/>
      <c r="G149" s="150"/>
      <c r="H149" s="156"/>
      <c r="I149" s="150"/>
      <c r="J149" s="150"/>
      <c r="K149" s="155"/>
      <c r="L149" s="155"/>
      <c r="M149" s="150"/>
      <c r="N149" s="150"/>
      <c r="O149" s="155"/>
      <c r="P149" s="150"/>
      <c r="Q149" s="150"/>
      <c r="R149" s="156"/>
      <c r="S149" s="193"/>
      <c r="T149" s="156"/>
      <c r="U149" s="156"/>
      <c r="V149" s="156"/>
      <c r="W149" s="156"/>
      <c r="X149" s="156"/>
      <c r="Y149" s="156"/>
      <c r="Z149" s="156"/>
      <c r="AA149" s="156"/>
      <c r="AB149" s="156"/>
      <c r="AC149" s="156"/>
      <c r="AD149" s="156"/>
      <c r="AE149" s="156"/>
      <c r="AF149" s="156"/>
      <c r="AG149" s="156"/>
      <c r="AH149" s="156"/>
      <c r="AI149" s="156"/>
      <c r="AJ149" s="156"/>
    </row>
    <row r="150" ht="15.75" customHeight="1">
      <c r="A150" s="150"/>
      <c r="B150" s="150"/>
      <c r="C150" s="150"/>
      <c r="D150" s="156"/>
      <c r="E150" s="150"/>
      <c r="F150" s="150"/>
      <c r="G150" s="150"/>
      <c r="H150" s="156"/>
      <c r="I150" s="150"/>
      <c r="J150" s="150"/>
      <c r="K150" s="155"/>
      <c r="L150" s="155"/>
      <c r="M150" s="150"/>
      <c r="N150" s="150"/>
      <c r="O150" s="155"/>
      <c r="P150" s="150"/>
      <c r="Q150" s="150"/>
      <c r="R150" s="156"/>
      <c r="S150" s="193"/>
      <c r="T150" s="156"/>
      <c r="U150" s="156"/>
      <c r="V150" s="156"/>
      <c r="W150" s="156"/>
      <c r="X150" s="156"/>
      <c r="Y150" s="156"/>
      <c r="Z150" s="156"/>
      <c r="AA150" s="156"/>
      <c r="AB150" s="156"/>
      <c r="AC150" s="156"/>
      <c r="AD150" s="156"/>
      <c r="AE150" s="156"/>
      <c r="AF150" s="156"/>
      <c r="AG150" s="156"/>
      <c r="AH150" s="156"/>
      <c r="AI150" s="156"/>
      <c r="AJ150" s="156"/>
    </row>
    <row r="151" ht="15.75" customHeight="1">
      <c r="A151" s="150"/>
      <c r="B151" s="150"/>
      <c r="C151" s="150"/>
      <c r="D151" s="156"/>
      <c r="E151" s="150"/>
      <c r="F151" s="150"/>
      <c r="G151" s="150"/>
      <c r="H151" s="156"/>
      <c r="I151" s="150"/>
      <c r="J151" s="150"/>
      <c r="K151" s="155"/>
      <c r="L151" s="155"/>
      <c r="M151" s="150"/>
      <c r="N151" s="150"/>
      <c r="O151" s="155"/>
      <c r="P151" s="150"/>
      <c r="Q151" s="150"/>
      <c r="R151" s="156"/>
      <c r="S151" s="193"/>
      <c r="T151" s="156"/>
      <c r="U151" s="156"/>
      <c r="V151" s="156"/>
      <c r="W151" s="156"/>
      <c r="X151" s="156"/>
      <c r="Y151" s="156"/>
      <c r="Z151" s="156"/>
      <c r="AA151" s="156"/>
      <c r="AB151" s="156"/>
      <c r="AC151" s="156"/>
      <c r="AD151" s="156"/>
      <c r="AE151" s="156"/>
      <c r="AF151" s="156"/>
      <c r="AG151" s="156"/>
      <c r="AH151" s="156"/>
      <c r="AI151" s="156"/>
      <c r="AJ151" s="156"/>
    </row>
    <row r="152" ht="15.75" customHeight="1">
      <c r="A152" s="150"/>
      <c r="B152" s="150"/>
      <c r="C152" s="150"/>
      <c r="D152" s="156"/>
      <c r="E152" s="150"/>
      <c r="F152" s="150"/>
      <c r="G152" s="150"/>
      <c r="H152" s="156"/>
      <c r="I152" s="150"/>
      <c r="J152" s="150"/>
      <c r="K152" s="155"/>
      <c r="L152" s="155"/>
      <c r="M152" s="150"/>
      <c r="N152" s="150"/>
      <c r="O152" s="155"/>
      <c r="P152" s="150"/>
      <c r="Q152" s="150"/>
      <c r="R152" s="156"/>
      <c r="S152" s="193"/>
      <c r="T152" s="156"/>
      <c r="U152" s="156"/>
      <c r="V152" s="156"/>
      <c r="W152" s="156"/>
      <c r="X152" s="156"/>
      <c r="Y152" s="156"/>
      <c r="Z152" s="156"/>
      <c r="AA152" s="156"/>
      <c r="AB152" s="156"/>
      <c r="AC152" s="156"/>
      <c r="AD152" s="156"/>
      <c r="AE152" s="156"/>
      <c r="AF152" s="156"/>
      <c r="AG152" s="156"/>
      <c r="AH152" s="156"/>
      <c r="AI152" s="156"/>
      <c r="AJ152" s="156"/>
    </row>
    <row r="153" ht="15.75" customHeight="1">
      <c r="A153" s="150"/>
      <c r="B153" s="150"/>
      <c r="C153" s="150"/>
      <c r="D153" s="156"/>
      <c r="E153" s="150"/>
      <c r="F153" s="150"/>
      <c r="G153" s="150"/>
      <c r="H153" s="156"/>
      <c r="I153" s="150"/>
      <c r="J153" s="150"/>
      <c r="K153" s="155"/>
      <c r="L153" s="155"/>
      <c r="M153" s="150"/>
      <c r="N153" s="150"/>
      <c r="O153" s="155"/>
      <c r="P153" s="150"/>
      <c r="Q153" s="150"/>
      <c r="R153" s="156"/>
      <c r="S153" s="193"/>
      <c r="T153" s="156"/>
      <c r="U153" s="156"/>
      <c r="V153" s="156"/>
      <c r="W153" s="156"/>
      <c r="X153" s="156"/>
      <c r="Y153" s="156"/>
      <c r="Z153" s="156"/>
      <c r="AA153" s="156"/>
      <c r="AB153" s="156"/>
      <c r="AC153" s="156"/>
      <c r="AD153" s="156"/>
      <c r="AE153" s="156"/>
      <c r="AF153" s="156"/>
      <c r="AG153" s="156"/>
      <c r="AH153" s="156"/>
      <c r="AI153" s="156"/>
      <c r="AJ153" s="156"/>
    </row>
    <row r="154" ht="15.75" customHeight="1">
      <c r="A154" s="150"/>
      <c r="B154" s="150"/>
      <c r="C154" s="150"/>
      <c r="D154" s="156"/>
      <c r="E154" s="150"/>
      <c r="F154" s="150"/>
      <c r="G154" s="150"/>
      <c r="H154" s="156"/>
      <c r="I154" s="150"/>
      <c r="J154" s="150"/>
      <c r="K154" s="155"/>
      <c r="L154" s="155"/>
      <c r="M154" s="150"/>
      <c r="N154" s="150"/>
      <c r="O154" s="155"/>
      <c r="P154" s="150"/>
      <c r="Q154" s="150"/>
      <c r="R154" s="156"/>
      <c r="S154" s="193"/>
      <c r="T154" s="156"/>
      <c r="U154" s="156"/>
      <c r="V154" s="156"/>
      <c r="W154" s="156"/>
      <c r="X154" s="156"/>
      <c r="Y154" s="156"/>
      <c r="Z154" s="156"/>
      <c r="AA154" s="156"/>
      <c r="AB154" s="156"/>
      <c r="AC154" s="156"/>
      <c r="AD154" s="156"/>
      <c r="AE154" s="156"/>
      <c r="AF154" s="156"/>
      <c r="AG154" s="156"/>
      <c r="AH154" s="156"/>
      <c r="AI154" s="156"/>
      <c r="AJ154" s="156"/>
    </row>
    <row r="155" ht="15.75" customHeight="1">
      <c r="A155" s="150"/>
      <c r="B155" s="150"/>
      <c r="C155" s="150"/>
      <c r="D155" s="156"/>
      <c r="E155" s="150"/>
      <c r="F155" s="150"/>
      <c r="G155" s="150"/>
      <c r="H155" s="156"/>
      <c r="I155" s="150"/>
      <c r="J155" s="150"/>
      <c r="K155" s="155"/>
      <c r="L155" s="155"/>
      <c r="M155" s="150"/>
      <c r="N155" s="150"/>
      <c r="O155" s="155"/>
      <c r="P155" s="150"/>
      <c r="Q155" s="150"/>
      <c r="R155" s="156"/>
      <c r="S155" s="193"/>
      <c r="T155" s="156"/>
      <c r="U155" s="156"/>
      <c r="V155" s="156"/>
      <c r="W155" s="156"/>
      <c r="X155" s="156"/>
      <c r="Y155" s="156"/>
      <c r="Z155" s="156"/>
      <c r="AA155" s="156"/>
      <c r="AB155" s="156"/>
      <c r="AC155" s="156"/>
      <c r="AD155" s="156"/>
      <c r="AE155" s="156"/>
      <c r="AF155" s="156"/>
      <c r="AG155" s="156"/>
      <c r="AH155" s="156"/>
      <c r="AI155" s="156"/>
      <c r="AJ155" s="156"/>
    </row>
    <row r="156" ht="15.75" customHeight="1">
      <c r="A156" s="150"/>
      <c r="B156" s="150"/>
      <c r="C156" s="150"/>
      <c r="D156" s="156"/>
      <c r="E156" s="150"/>
      <c r="F156" s="150"/>
      <c r="G156" s="150"/>
      <c r="H156" s="156"/>
      <c r="I156" s="150"/>
      <c r="J156" s="150"/>
      <c r="K156" s="155"/>
      <c r="L156" s="155"/>
      <c r="M156" s="150"/>
      <c r="N156" s="150"/>
      <c r="O156" s="155"/>
      <c r="P156" s="150"/>
      <c r="Q156" s="150"/>
      <c r="R156" s="156"/>
      <c r="S156" s="193"/>
      <c r="T156" s="156"/>
      <c r="U156" s="156"/>
      <c r="V156" s="156"/>
      <c r="W156" s="156"/>
      <c r="X156" s="156"/>
      <c r="Y156" s="156"/>
      <c r="Z156" s="156"/>
      <c r="AA156" s="156"/>
      <c r="AB156" s="156"/>
      <c r="AC156" s="156"/>
      <c r="AD156" s="156"/>
      <c r="AE156" s="156"/>
      <c r="AF156" s="156"/>
      <c r="AG156" s="156"/>
      <c r="AH156" s="156"/>
      <c r="AI156" s="156"/>
      <c r="AJ156" s="156"/>
    </row>
    <row r="157" ht="15.75" customHeight="1">
      <c r="A157" s="150"/>
      <c r="B157" s="150"/>
      <c r="C157" s="150"/>
      <c r="D157" s="156"/>
      <c r="E157" s="150"/>
      <c r="F157" s="150"/>
      <c r="G157" s="150"/>
      <c r="H157" s="156"/>
      <c r="I157" s="150"/>
      <c r="J157" s="150"/>
      <c r="K157" s="155"/>
      <c r="L157" s="155"/>
      <c r="M157" s="150"/>
      <c r="N157" s="150"/>
      <c r="O157" s="155"/>
      <c r="P157" s="150"/>
      <c r="Q157" s="150"/>
      <c r="R157" s="156"/>
      <c r="S157" s="193"/>
      <c r="T157" s="156"/>
      <c r="U157" s="156"/>
      <c r="V157" s="156"/>
      <c r="W157" s="156"/>
      <c r="X157" s="156"/>
      <c r="Y157" s="156"/>
      <c r="Z157" s="156"/>
      <c r="AA157" s="156"/>
      <c r="AB157" s="156"/>
      <c r="AC157" s="156"/>
      <c r="AD157" s="156"/>
      <c r="AE157" s="156"/>
      <c r="AF157" s="156"/>
      <c r="AG157" s="156"/>
      <c r="AH157" s="156"/>
      <c r="AI157" s="156"/>
      <c r="AJ157" s="156"/>
    </row>
    <row r="158" ht="15.75" customHeight="1">
      <c r="A158" s="150"/>
      <c r="B158" s="150"/>
      <c r="C158" s="150"/>
      <c r="D158" s="156"/>
      <c r="E158" s="150"/>
      <c r="F158" s="150"/>
      <c r="G158" s="150"/>
      <c r="H158" s="156"/>
      <c r="I158" s="150"/>
      <c r="J158" s="150"/>
      <c r="K158" s="155"/>
      <c r="L158" s="155"/>
      <c r="M158" s="150"/>
      <c r="N158" s="150"/>
      <c r="O158" s="155"/>
      <c r="P158" s="150"/>
      <c r="Q158" s="150"/>
      <c r="R158" s="156"/>
      <c r="S158" s="193"/>
      <c r="T158" s="156"/>
      <c r="U158" s="156"/>
      <c r="V158" s="156"/>
      <c r="W158" s="156"/>
      <c r="X158" s="156"/>
      <c r="Y158" s="156"/>
      <c r="Z158" s="156"/>
      <c r="AA158" s="156"/>
      <c r="AB158" s="156"/>
      <c r="AC158" s="156"/>
      <c r="AD158" s="156"/>
      <c r="AE158" s="156"/>
      <c r="AF158" s="156"/>
      <c r="AG158" s="156"/>
      <c r="AH158" s="156"/>
      <c r="AI158" s="156"/>
      <c r="AJ158" s="156"/>
    </row>
    <row r="159" ht="15.75" customHeight="1">
      <c r="A159" s="150"/>
      <c r="B159" s="150"/>
      <c r="C159" s="150"/>
      <c r="D159" s="156"/>
      <c r="E159" s="150"/>
      <c r="F159" s="150"/>
      <c r="G159" s="150"/>
      <c r="H159" s="156"/>
      <c r="I159" s="150"/>
      <c r="J159" s="150"/>
      <c r="K159" s="155"/>
      <c r="L159" s="155"/>
      <c r="M159" s="150"/>
      <c r="N159" s="150"/>
      <c r="O159" s="155"/>
      <c r="P159" s="150"/>
      <c r="Q159" s="150"/>
      <c r="R159" s="156"/>
      <c r="S159" s="193"/>
      <c r="T159" s="156"/>
      <c r="U159" s="156"/>
      <c r="V159" s="156"/>
      <c r="W159" s="156"/>
      <c r="X159" s="156"/>
      <c r="Y159" s="156"/>
      <c r="Z159" s="156"/>
      <c r="AA159" s="156"/>
      <c r="AB159" s="156"/>
      <c r="AC159" s="156"/>
      <c r="AD159" s="156"/>
      <c r="AE159" s="156"/>
      <c r="AF159" s="156"/>
      <c r="AG159" s="156"/>
      <c r="AH159" s="156"/>
      <c r="AI159" s="156"/>
      <c r="AJ159" s="156"/>
    </row>
    <row r="160" ht="15.75" customHeight="1">
      <c r="A160" s="150"/>
      <c r="B160" s="150"/>
      <c r="C160" s="150"/>
      <c r="D160" s="156"/>
      <c r="E160" s="150"/>
      <c r="F160" s="150"/>
      <c r="G160" s="150"/>
      <c r="H160" s="156"/>
      <c r="I160" s="150"/>
      <c r="J160" s="150"/>
      <c r="K160" s="155"/>
      <c r="L160" s="155"/>
      <c r="M160" s="150"/>
      <c r="N160" s="150"/>
      <c r="O160" s="155"/>
      <c r="P160" s="150"/>
      <c r="Q160" s="150"/>
      <c r="R160" s="156"/>
      <c r="S160" s="193"/>
      <c r="T160" s="156"/>
      <c r="U160" s="156"/>
      <c r="V160" s="156"/>
      <c r="W160" s="156"/>
      <c r="X160" s="156"/>
      <c r="Y160" s="156"/>
      <c r="Z160" s="156"/>
      <c r="AA160" s="156"/>
      <c r="AB160" s="156"/>
      <c r="AC160" s="156"/>
      <c r="AD160" s="156"/>
      <c r="AE160" s="156"/>
      <c r="AF160" s="156"/>
      <c r="AG160" s="156"/>
      <c r="AH160" s="156"/>
      <c r="AI160" s="156"/>
      <c r="AJ160" s="156"/>
    </row>
    <row r="161" ht="15.75" customHeight="1">
      <c r="A161" s="150"/>
      <c r="B161" s="150"/>
      <c r="C161" s="150"/>
      <c r="D161" s="156"/>
      <c r="E161" s="150"/>
      <c r="F161" s="150"/>
      <c r="G161" s="150"/>
      <c r="H161" s="156"/>
      <c r="I161" s="150"/>
      <c r="J161" s="150"/>
      <c r="K161" s="155"/>
      <c r="L161" s="155"/>
      <c r="M161" s="150"/>
      <c r="N161" s="150"/>
      <c r="O161" s="155"/>
      <c r="P161" s="150"/>
      <c r="Q161" s="150"/>
      <c r="R161" s="156"/>
      <c r="S161" s="193"/>
      <c r="T161" s="156"/>
      <c r="U161" s="156"/>
      <c r="V161" s="156"/>
      <c r="W161" s="156"/>
      <c r="X161" s="156"/>
      <c r="Y161" s="156"/>
      <c r="Z161" s="156"/>
      <c r="AA161" s="156"/>
      <c r="AB161" s="156"/>
      <c r="AC161" s="156"/>
      <c r="AD161" s="156"/>
      <c r="AE161" s="156"/>
      <c r="AF161" s="156"/>
      <c r="AG161" s="156"/>
      <c r="AH161" s="156"/>
      <c r="AI161" s="156"/>
      <c r="AJ161" s="156"/>
    </row>
    <row r="162" ht="15.75" customHeight="1">
      <c r="A162" s="150"/>
      <c r="B162" s="150"/>
      <c r="C162" s="150"/>
      <c r="D162" s="156"/>
      <c r="E162" s="150"/>
      <c r="F162" s="150"/>
      <c r="G162" s="150"/>
      <c r="H162" s="156"/>
      <c r="I162" s="150"/>
      <c r="J162" s="150"/>
      <c r="K162" s="155"/>
      <c r="L162" s="155"/>
      <c r="M162" s="150"/>
      <c r="N162" s="150"/>
      <c r="O162" s="155"/>
      <c r="P162" s="150"/>
      <c r="Q162" s="150"/>
      <c r="R162" s="156"/>
      <c r="S162" s="193"/>
      <c r="T162" s="156"/>
      <c r="U162" s="156"/>
      <c r="V162" s="156"/>
      <c r="W162" s="156"/>
      <c r="X162" s="156"/>
      <c r="Y162" s="156"/>
      <c r="Z162" s="156"/>
      <c r="AA162" s="156"/>
      <c r="AB162" s="156"/>
      <c r="AC162" s="156"/>
      <c r="AD162" s="156"/>
      <c r="AE162" s="156"/>
      <c r="AF162" s="156"/>
      <c r="AG162" s="156"/>
      <c r="AH162" s="156"/>
      <c r="AI162" s="156"/>
      <c r="AJ162" s="156"/>
    </row>
    <row r="163" ht="15.75" customHeight="1">
      <c r="A163" s="150"/>
      <c r="B163" s="150"/>
      <c r="C163" s="150"/>
      <c r="D163" s="156"/>
      <c r="E163" s="150"/>
      <c r="F163" s="150"/>
      <c r="G163" s="150"/>
      <c r="H163" s="156"/>
      <c r="I163" s="150"/>
      <c r="J163" s="150"/>
      <c r="K163" s="155"/>
      <c r="L163" s="155"/>
      <c r="M163" s="150"/>
      <c r="N163" s="150"/>
      <c r="O163" s="155"/>
      <c r="P163" s="150"/>
      <c r="Q163" s="150"/>
      <c r="R163" s="156"/>
      <c r="S163" s="193"/>
      <c r="T163" s="156"/>
      <c r="U163" s="156"/>
      <c r="V163" s="156"/>
      <c r="W163" s="156"/>
      <c r="X163" s="156"/>
      <c r="Y163" s="156"/>
      <c r="Z163" s="156"/>
      <c r="AA163" s="156"/>
      <c r="AB163" s="156"/>
      <c r="AC163" s="156"/>
      <c r="AD163" s="156"/>
      <c r="AE163" s="156"/>
      <c r="AF163" s="156"/>
      <c r="AG163" s="156"/>
      <c r="AH163" s="156"/>
      <c r="AI163" s="156"/>
      <c r="AJ163" s="156"/>
    </row>
    <row r="164" ht="15.75" customHeight="1">
      <c r="A164" s="150"/>
      <c r="B164" s="150"/>
      <c r="C164" s="150"/>
      <c r="D164" s="156"/>
      <c r="E164" s="150"/>
      <c r="F164" s="150"/>
      <c r="G164" s="150"/>
      <c r="H164" s="156"/>
      <c r="I164" s="150"/>
      <c r="J164" s="150"/>
      <c r="K164" s="155"/>
      <c r="L164" s="155"/>
      <c r="M164" s="150"/>
      <c r="N164" s="150"/>
      <c r="O164" s="155"/>
      <c r="P164" s="150"/>
      <c r="Q164" s="150"/>
      <c r="R164" s="156"/>
      <c r="S164" s="193"/>
      <c r="T164" s="156"/>
      <c r="U164" s="156"/>
      <c r="V164" s="156"/>
      <c r="W164" s="156"/>
      <c r="X164" s="156"/>
      <c r="Y164" s="156"/>
      <c r="Z164" s="156"/>
      <c r="AA164" s="156"/>
      <c r="AB164" s="156"/>
      <c r="AC164" s="156"/>
      <c r="AD164" s="156"/>
      <c r="AE164" s="156"/>
      <c r="AF164" s="156"/>
      <c r="AG164" s="156"/>
      <c r="AH164" s="156"/>
      <c r="AI164" s="156"/>
      <c r="AJ164" s="156"/>
    </row>
    <row r="165" ht="15.75" customHeight="1">
      <c r="A165" s="150"/>
      <c r="B165" s="150"/>
      <c r="C165" s="150"/>
      <c r="D165" s="156"/>
      <c r="E165" s="150"/>
      <c r="F165" s="150"/>
      <c r="G165" s="150"/>
      <c r="H165" s="156"/>
      <c r="I165" s="150"/>
      <c r="J165" s="150"/>
      <c r="K165" s="155"/>
      <c r="L165" s="155"/>
      <c r="M165" s="150"/>
      <c r="N165" s="150"/>
      <c r="O165" s="155"/>
      <c r="P165" s="150"/>
      <c r="Q165" s="150"/>
      <c r="R165" s="156"/>
      <c r="S165" s="193"/>
      <c r="T165" s="156"/>
      <c r="U165" s="156"/>
      <c r="V165" s="156"/>
      <c r="W165" s="156"/>
      <c r="X165" s="156"/>
      <c r="Y165" s="156"/>
      <c r="Z165" s="156"/>
      <c r="AA165" s="156"/>
      <c r="AB165" s="156"/>
      <c r="AC165" s="156"/>
      <c r="AD165" s="156"/>
      <c r="AE165" s="156"/>
      <c r="AF165" s="156"/>
      <c r="AG165" s="156"/>
      <c r="AH165" s="156"/>
      <c r="AI165" s="156"/>
      <c r="AJ165" s="156"/>
    </row>
    <row r="166" ht="15.75" customHeight="1">
      <c r="A166" s="150"/>
      <c r="B166" s="150"/>
      <c r="C166" s="150"/>
      <c r="D166" s="156"/>
      <c r="E166" s="150"/>
      <c r="F166" s="150"/>
      <c r="G166" s="150"/>
      <c r="H166" s="156"/>
      <c r="I166" s="150"/>
      <c r="J166" s="150"/>
      <c r="K166" s="155"/>
      <c r="L166" s="155"/>
      <c r="M166" s="150"/>
      <c r="N166" s="150"/>
      <c r="O166" s="155"/>
      <c r="P166" s="150"/>
      <c r="Q166" s="150"/>
      <c r="R166" s="156"/>
      <c r="S166" s="193"/>
      <c r="T166" s="156"/>
      <c r="U166" s="156"/>
      <c r="V166" s="156"/>
      <c r="W166" s="156"/>
      <c r="X166" s="156"/>
      <c r="Y166" s="156"/>
      <c r="Z166" s="156"/>
      <c r="AA166" s="156"/>
      <c r="AB166" s="156"/>
      <c r="AC166" s="156"/>
      <c r="AD166" s="156"/>
      <c r="AE166" s="156"/>
      <c r="AF166" s="156"/>
      <c r="AG166" s="156"/>
      <c r="AH166" s="156"/>
      <c r="AI166" s="156"/>
      <c r="AJ166" s="156"/>
    </row>
    <row r="167" ht="15.75" customHeight="1">
      <c r="A167" s="150"/>
      <c r="B167" s="150"/>
      <c r="C167" s="150"/>
      <c r="D167" s="156"/>
      <c r="E167" s="150"/>
      <c r="F167" s="150"/>
      <c r="G167" s="150"/>
      <c r="H167" s="156"/>
      <c r="I167" s="150"/>
      <c r="J167" s="150"/>
      <c r="K167" s="155"/>
      <c r="L167" s="155"/>
      <c r="M167" s="150"/>
      <c r="N167" s="150"/>
      <c r="O167" s="155"/>
      <c r="P167" s="150"/>
      <c r="Q167" s="150"/>
      <c r="R167" s="156"/>
      <c r="S167" s="193"/>
      <c r="T167" s="156"/>
      <c r="U167" s="156"/>
      <c r="V167" s="156"/>
      <c r="W167" s="156"/>
      <c r="X167" s="156"/>
      <c r="Y167" s="156"/>
      <c r="Z167" s="156"/>
      <c r="AA167" s="156"/>
      <c r="AB167" s="156"/>
      <c r="AC167" s="156"/>
      <c r="AD167" s="156"/>
      <c r="AE167" s="156"/>
      <c r="AF167" s="156"/>
      <c r="AG167" s="156"/>
      <c r="AH167" s="156"/>
      <c r="AI167" s="156"/>
      <c r="AJ167" s="156"/>
    </row>
    <row r="168" ht="15.75" customHeight="1">
      <c r="A168" s="150"/>
      <c r="B168" s="150"/>
      <c r="C168" s="150"/>
      <c r="D168" s="156"/>
      <c r="E168" s="150"/>
      <c r="F168" s="150"/>
      <c r="G168" s="150"/>
      <c r="H168" s="156"/>
      <c r="I168" s="150"/>
      <c r="J168" s="150"/>
      <c r="K168" s="155"/>
      <c r="L168" s="155"/>
      <c r="M168" s="150"/>
      <c r="N168" s="150"/>
      <c r="O168" s="155"/>
      <c r="P168" s="150"/>
      <c r="Q168" s="150"/>
      <c r="R168" s="156"/>
      <c r="S168" s="193"/>
      <c r="T168" s="156"/>
      <c r="U168" s="156"/>
      <c r="V168" s="156"/>
      <c r="W168" s="156"/>
      <c r="X168" s="156"/>
      <c r="Y168" s="156"/>
      <c r="Z168" s="156"/>
      <c r="AA168" s="156"/>
      <c r="AB168" s="156"/>
      <c r="AC168" s="156"/>
      <c r="AD168" s="156"/>
      <c r="AE168" s="156"/>
      <c r="AF168" s="156"/>
      <c r="AG168" s="156"/>
      <c r="AH168" s="156"/>
      <c r="AI168" s="156"/>
      <c r="AJ168" s="156"/>
    </row>
    <row r="169" ht="15.75" customHeight="1">
      <c r="A169" s="150"/>
      <c r="B169" s="150"/>
      <c r="C169" s="150"/>
      <c r="D169" s="156"/>
      <c r="E169" s="150"/>
      <c r="F169" s="150"/>
      <c r="G169" s="150"/>
      <c r="H169" s="156"/>
      <c r="I169" s="150"/>
      <c r="J169" s="150"/>
      <c r="K169" s="155"/>
      <c r="L169" s="155"/>
      <c r="M169" s="150"/>
      <c r="N169" s="150"/>
      <c r="O169" s="155"/>
      <c r="P169" s="150"/>
      <c r="Q169" s="150"/>
      <c r="R169" s="156"/>
      <c r="S169" s="193"/>
      <c r="T169" s="156"/>
      <c r="U169" s="156"/>
      <c r="V169" s="156"/>
      <c r="W169" s="156"/>
      <c r="X169" s="156"/>
      <c r="Y169" s="156"/>
      <c r="Z169" s="156"/>
      <c r="AA169" s="156"/>
      <c r="AB169" s="156"/>
      <c r="AC169" s="156"/>
      <c r="AD169" s="156"/>
      <c r="AE169" s="156"/>
      <c r="AF169" s="156"/>
      <c r="AG169" s="156"/>
      <c r="AH169" s="156"/>
      <c r="AI169" s="156"/>
      <c r="AJ169" s="156"/>
    </row>
    <row r="170" ht="15.75" customHeight="1">
      <c r="A170" s="150"/>
      <c r="B170" s="150"/>
      <c r="C170" s="150"/>
      <c r="D170" s="156"/>
      <c r="E170" s="150"/>
      <c r="F170" s="150"/>
      <c r="G170" s="150"/>
      <c r="H170" s="156"/>
      <c r="I170" s="150"/>
      <c r="J170" s="150"/>
      <c r="K170" s="155"/>
      <c r="L170" s="155"/>
      <c r="M170" s="150"/>
      <c r="N170" s="150"/>
      <c r="O170" s="155"/>
      <c r="P170" s="150"/>
      <c r="Q170" s="150"/>
      <c r="R170" s="156"/>
      <c r="S170" s="193"/>
      <c r="T170" s="156"/>
      <c r="U170" s="156"/>
      <c r="V170" s="156"/>
      <c r="W170" s="156"/>
      <c r="X170" s="156"/>
      <c r="Y170" s="156"/>
      <c r="Z170" s="156"/>
      <c r="AA170" s="156"/>
      <c r="AB170" s="156"/>
      <c r="AC170" s="156"/>
      <c r="AD170" s="156"/>
      <c r="AE170" s="156"/>
      <c r="AF170" s="156"/>
      <c r="AG170" s="156"/>
      <c r="AH170" s="156"/>
      <c r="AI170" s="156"/>
      <c r="AJ170" s="156"/>
    </row>
    <row r="171" ht="15.75" customHeight="1">
      <c r="A171" s="150"/>
      <c r="B171" s="150"/>
      <c r="C171" s="150"/>
      <c r="D171" s="156"/>
      <c r="E171" s="150"/>
      <c r="F171" s="150"/>
      <c r="G171" s="150"/>
      <c r="H171" s="156"/>
      <c r="I171" s="150"/>
      <c r="J171" s="150"/>
      <c r="K171" s="155"/>
      <c r="L171" s="155"/>
      <c r="M171" s="150"/>
      <c r="N171" s="150"/>
      <c r="O171" s="155"/>
      <c r="P171" s="150"/>
      <c r="Q171" s="150"/>
      <c r="R171" s="156"/>
      <c r="S171" s="193"/>
      <c r="T171" s="156"/>
      <c r="U171" s="156"/>
      <c r="V171" s="156"/>
      <c r="W171" s="156"/>
      <c r="X171" s="156"/>
      <c r="Y171" s="156"/>
      <c r="Z171" s="156"/>
      <c r="AA171" s="156"/>
      <c r="AB171" s="156"/>
      <c r="AC171" s="156"/>
      <c r="AD171" s="156"/>
      <c r="AE171" s="156"/>
      <c r="AF171" s="156"/>
      <c r="AG171" s="156"/>
      <c r="AH171" s="156"/>
      <c r="AI171" s="156"/>
      <c r="AJ171" s="156"/>
    </row>
    <row r="172" ht="15.75" customHeight="1">
      <c r="A172" s="150"/>
      <c r="B172" s="150"/>
      <c r="C172" s="150"/>
      <c r="D172" s="156"/>
      <c r="E172" s="150"/>
      <c r="F172" s="150"/>
      <c r="G172" s="150"/>
      <c r="H172" s="156"/>
      <c r="I172" s="150"/>
      <c r="J172" s="150"/>
      <c r="K172" s="155"/>
      <c r="L172" s="155"/>
      <c r="M172" s="150"/>
      <c r="N172" s="150"/>
      <c r="O172" s="155"/>
      <c r="P172" s="150"/>
      <c r="Q172" s="150"/>
      <c r="R172" s="156"/>
      <c r="S172" s="193"/>
      <c r="T172" s="156"/>
      <c r="U172" s="156"/>
      <c r="V172" s="156"/>
      <c r="W172" s="156"/>
      <c r="X172" s="156"/>
      <c r="Y172" s="156"/>
      <c r="Z172" s="156"/>
      <c r="AA172" s="156"/>
      <c r="AB172" s="156"/>
      <c r="AC172" s="156"/>
      <c r="AD172" s="156"/>
      <c r="AE172" s="156"/>
      <c r="AF172" s="156"/>
      <c r="AG172" s="156"/>
      <c r="AH172" s="156"/>
      <c r="AI172" s="156"/>
      <c r="AJ172" s="156"/>
    </row>
    <row r="173" ht="15.75" customHeight="1">
      <c r="A173" s="150"/>
      <c r="B173" s="150"/>
      <c r="C173" s="150"/>
      <c r="D173" s="156"/>
      <c r="E173" s="150"/>
      <c r="F173" s="150"/>
      <c r="G173" s="150"/>
      <c r="H173" s="156"/>
      <c r="I173" s="150"/>
      <c r="J173" s="150"/>
      <c r="K173" s="155"/>
      <c r="L173" s="155"/>
      <c r="M173" s="150"/>
      <c r="N173" s="150"/>
      <c r="O173" s="155"/>
      <c r="P173" s="150"/>
      <c r="Q173" s="150"/>
      <c r="R173" s="156"/>
      <c r="S173" s="193"/>
      <c r="T173" s="156"/>
      <c r="U173" s="156"/>
      <c r="V173" s="156"/>
      <c r="W173" s="156"/>
      <c r="X173" s="156"/>
      <c r="Y173" s="156"/>
      <c r="Z173" s="156"/>
      <c r="AA173" s="156"/>
      <c r="AB173" s="156"/>
      <c r="AC173" s="156"/>
      <c r="AD173" s="156"/>
      <c r="AE173" s="156"/>
      <c r="AF173" s="156"/>
      <c r="AG173" s="156"/>
      <c r="AH173" s="156"/>
      <c r="AI173" s="156"/>
      <c r="AJ173" s="156"/>
    </row>
    <row r="174" ht="15.75" customHeight="1">
      <c r="A174" s="150"/>
      <c r="B174" s="150"/>
      <c r="C174" s="150"/>
      <c r="D174" s="156"/>
      <c r="E174" s="150"/>
      <c r="F174" s="150"/>
      <c r="G174" s="150"/>
      <c r="H174" s="156"/>
      <c r="I174" s="150"/>
      <c r="J174" s="150"/>
      <c r="K174" s="155"/>
      <c r="L174" s="155"/>
      <c r="M174" s="150"/>
      <c r="N174" s="150"/>
      <c r="O174" s="155"/>
      <c r="P174" s="150"/>
      <c r="Q174" s="150"/>
      <c r="R174" s="156"/>
      <c r="S174" s="193"/>
      <c r="T174" s="156"/>
      <c r="U174" s="156"/>
      <c r="V174" s="156"/>
      <c r="W174" s="156"/>
      <c r="X174" s="156"/>
      <c r="Y174" s="156"/>
      <c r="Z174" s="156"/>
      <c r="AA174" s="156"/>
      <c r="AB174" s="156"/>
      <c r="AC174" s="156"/>
      <c r="AD174" s="156"/>
      <c r="AE174" s="156"/>
      <c r="AF174" s="156"/>
      <c r="AG174" s="156"/>
      <c r="AH174" s="156"/>
      <c r="AI174" s="156"/>
      <c r="AJ174" s="156"/>
    </row>
    <row r="175" ht="15.75" customHeight="1">
      <c r="A175" s="150"/>
      <c r="B175" s="150"/>
      <c r="C175" s="150"/>
      <c r="D175" s="156"/>
      <c r="E175" s="150"/>
      <c r="F175" s="150"/>
      <c r="G175" s="150"/>
      <c r="H175" s="156"/>
      <c r="I175" s="150"/>
      <c r="J175" s="150"/>
      <c r="K175" s="155"/>
      <c r="L175" s="155"/>
      <c r="M175" s="150"/>
      <c r="N175" s="150"/>
      <c r="O175" s="155"/>
      <c r="P175" s="150"/>
      <c r="Q175" s="150"/>
      <c r="R175" s="156"/>
      <c r="S175" s="193"/>
      <c r="T175" s="156"/>
      <c r="U175" s="156"/>
      <c r="V175" s="156"/>
      <c r="W175" s="156"/>
      <c r="X175" s="156"/>
      <c r="Y175" s="156"/>
      <c r="Z175" s="156"/>
      <c r="AA175" s="156"/>
      <c r="AB175" s="156"/>
      <c r="AC175" s="156"/>
      <c r="AD175" s="156"/>
      <c r="AE175" s="156"/>
      <c r="AF175" s="156"/>
      <c r="AG175" s="156"/>
      <c r="AH175" s="156"/>
      <c r="AI175" s="156"/>
      <c r="AJ175" s="156"/>
    </row>
    <row r="176" ht="15.75" customHeight="1">
      <c r="A176" s="150"/>
      <c r="B176" s="150"/>
      <c r="C176" s="150"/>
      <c r="D176" s="156"/>
      <c r="E176" s="150"/>
      <c r="F176" s="150"/>
      <c r="G176" s="150"/>
      <c r="H176" s="156"/>
      <c r="I176" s="150"/>
      <c r="J176" s="150"/>
      <c r="K176" s="155"/>
      <c r="L176" s="155"/>
      <c r="M176" s="150"/>
      <c r="N176" s="150"/>
      <c r="O176" s="155"/>
      <c r="P176" s="150"/>
      <c r="Q176" s="150"/>
      <c r="R176" s="156"/>
      <c r="S176" s="193"/>
      <c r="T176" s="156"/>
      <c r="U176" s="156"/>
      <c r="V176" s="156"/>
      <c r="W176" s="156"/>
      <c r="X176" s="156"/>
      <c r="Y176" s="156"/>
      <c r="Z176" s="156"/>
      <c r="AA176" s="156"/>
      <c r="AB176" s="156"/>
      <c r="AC176" s="156"/>
      <c r="AD176" s="156"/>
      <c r="AE176" s="156"/>
      <c r="AF176" s="156"/>
      <c r="AG176" s="156"/>
      <c r="AH176" s="156"/>
      <c r="AI176" s="156"/>
      <c r="AJ176" s="156"/>
    </row>
    <row r="177" ht="15.75" customHeight="1">
      <c r="A177" s="150"/>
      <c r="B177" s="150"/>
      <c r="C177" s="150"/>
      <c r="D177" s="156"/>
      <c r="E177" s="150"/>
      <c r="F177" s="150"/>
      <c r="G177" s="150"/>
      <c r="H177" s="156"/>
      <c r="I177" s="150"/>
      <c r="J177" s="150"/>
      <c r="K177" s="155"/>
      <c r="L177" s="155"/>
      <c r="M177" s="150"/>
      <c r="N177" s="150"/>
      <c r="O177" s="155"/>
      <c r="P177" s="150"/>
      <c r="Q177" s="150"/>
      <c r="R177" s="156"/>
      <c r="S177" s="193"/>
      <c r="T177" s="156"/>
      <c r="U177" s="156"/>
      <c r="V177" s="156"/>
      <c r="W177" s="156"/>
      <c r="X177" s="156"/>
      <c r="Y177" s="156"/>
      <c r="Z177" s="156"/>
      <c r="AA177" s="156"/>
      <c r="AB177" s="156"/>
      <c r="AC177" s="156"/>
      <c r="AD177" s="156"/>
      <c r="AE177" s="156"/>
      <c r="AF177" s="156"/>
      <c r="AG177" s="156"/>
      <c r="AH177" s="156"/>
      <c r="AI177" s="156"/>
      <c r="AJ177" s="156"/>
    </row>
    <row r="178" ht="15.75" customHeight="1">
      <c r="A178" s="150"/>
      <c r="B178" s="150"/>
      <c r="C178" s="150"/>
      <c r="D178" s="156"/>
      <c r="E178" s="150"/>
      <c r="F178" s="150"/>
      <c r="G178" s="150"/>
      <c r="H178" s="156"/>
      <c r="I178" s="150"/>
      <c r="J178" s="150"/>
      <c r="K178" s="155"/>
      <c r="L178" s="155"/>
      <c r="M178" s="150"/>
      <c r="N178" s="150"/>
      <c r="O178" s="155"/>
      <c r="P178" s="150"/>
      <c r="Q178" s="150"/>
      <c r="R178" s="156"/>
      <c r="S178" s="193"/>
      <c r="T178" s="156"/>
      <c r="U178" s="156"/>
      <c r="V178" s="156"/>
      <c r="W178" s="156"/>
      <c r="X178" s="156"/>
      <c r="Y178" s="156"/>
      <c r="Z178" s="156"/>
      <c r="AA178" s="156"/>
      <c r="AB178" s="156"/>
      <c r="AC178" s="156"/>
      <c r="AD178" s="156"/>
      <c r="AE178" s="156"/>
      <c r="AF178" s="156"/>
      <c r="AG178" s="156"/>
      <c r="AH178" s="156"/>
      <c r="AI178" s="156"/>
      <c r="AJ178" s="156"/>
    </row>
    <row r="179" ht="15.75" customHeight="1">
      <c r="A179" s="150"/>
      <c r="B179" s="150"/>
      <c r="C179" s="150"/>
      <c r="D179" s="156"/>
      <c r="E179" s="150"/>
      <c r="F179" s="150"/>
      <c r="G179" s="150"/>
      <c r="H179" s="156"/>
      <c r="I179" s="150"/>
      <c r="J179" s="150"/>
      <c r="K179" s="155"/>
      <c r="L179" s="155"/>
      <c r="M179" s="150"/>
      <c r="N179" s="150"/>
      <c r="O179" s="155"/>
      <c r="P179" s="150"/>
      <c r="Q179" s="150"/>
      <c r="R179" s="156"/>
      <c r="S179" s="193"/>
      <c r="T179" s="156"/>
      <c r="U179" s="156"/>
      <c r="V179" s="156"/>
      <c r="W179" s="156"/>
      <c r="X179" s="156"/>
      <c r="Y179" s="156"/>
      <c r="Z179" s="156"/>
      <c r="AA179" s="156"/>
      <c r="AB179" s="156"/>
      <c r="AC179" s="156"/>
      <c r="AD179" s="156"/>
      <c r="AE179" s="156"/>
      <c r="AF179" s="156"/>
      <c r="AG179" s="156"/>
      <c r="AH179" s="156"/>
      <c r="AI179" s="156"/>
      <c r="AJ179" s="156"/>
    </row>
    <row r="180" ht="15.75" customHeight="1">
      <c r="A180" s="150"/>
      <c r="B180" s="150"/>
      <c r="C180" s="150"/>
      <c r="D180" s="156"/>
      <c r="E180" s="150"/>
      <c r="F180" s="150"/>
      <c r="G180" s="150"/>
      <c r="H180" s="156"/>
      <c r="I180" s="150"/>
      <c r="J180" s="150"/>
      <c r="K180" s="155"/>
      <c r="L180" s="155"/>
      <c r="M180" s="150"/>
      <c r="N180" s="150"/>
      <c r="O180" s="155"/>
      <c r="P180" s="150"/>
      <c r="Q180" s="150"/>
      <c r="R180" s="156"/>
      <c r="S180" s="193"/>
      <c r="T180" s="156"/>
      <c r="U180" s="156"/>
      <c r="V180" s="156"/>
      <c r="W180" s="156"/>
      <c r="X180" s="156"/>
      <c r="Y180" s="156"/>
      <c r="Z180" s="156"/>
      <c r="AA180" s="156"/>
      <c r="AB180" s="156"/>
      <c r="AC180" s="156"/>
      <c r="AD180" s="156"/>
      <c r="AE180" s="156"/>
      <c r="AF180" s="156"/>
      <c r="AG180" s="156"/>
      <c r="AH180" s="156"/>
      <c r="AI180" s="156"/>
      <c r="AJ180" s="156"/>
    </row>
    <row r="181" ht="15.75" customHeight="1">
      <c r="A181" s="150"/>
      <c r="B181" s="150"/>
      <c r="C181" s="150"/>
      <c r="D181" s="156"/>
      <c r="E181" s="150"/>
      <c r="F181" s="150"/>
      <c r="G181" s="150"/>
      <c r="H181" s="156"/>
      <c r="I181" s="150"/>
      <c r="J181" s="150"/>
      <c r="K181" s="155"/>
      <c r="L181" s="155"/>
      <c r="M181" s="150"/>
      <c r="N181" s="150"/>
      <c r="O181" s="155"/>
      <c r="P181" s="150"/>
      <c r="Q181" s="150"/>
      <c r="R181" s="156"/>
      <c r="S181" s="193"/>
      <c r="T181" s="156"/>
      <c r="U181" s="156"/>
      <c r="V181" s="156"/>
      <c r="W181" s="156"/>
      <c r="X181" s="156"/>
      <c r="Y181" s="156"/>
      <c r="Z181" s="156"/>
      <c r="AA181" s="156"/>
      <c r="AB181" s="156"/>
      <c r="AC181" s="156"/>
      <c r="AD181" s="156"/>
      <c r="AE181" s="156"/>
      <c r="AF181" s="156"/>
      <c r="AG181" s="156"/>
      <c r="AH181" s="156"/>
      <c r="AI181" s="156"/>
      <c r="AJ181" s="156"/>
    </row>
    <row r="182" ht="15.75" customHeight="1">
      <c r="A182" s="150"/>
      <c r="B182" s="150"/>
      <c r="C182" s="150"/>
      <c r="D182" s="156"/>
      <c r="E182" s="150"/>
      <c r="F182" s="150"/>
      <c r="G182" s="150"/>
      <c r="H182" s="156"/>
      <c r="I182" s="150"/>
      <c r="J182" s="150"/>
      <c r="K182" s="155"/>
      <c r="L182" s="155"/>
      <c r="M182" s="150"/>
      <c r="N182" s="150"/>
      <c r="O182" s="155"/>
      <c r="P182" s="150"/>
      <c r="Q182" s="150"/>
      <c r="R182" s="156"/>
      <c r="S182" s="193"/>
      <c r="T182" s="156"/>
      <c r="U182" s="156"/>
      <c r="V182" s="156"/>
      <c r="W182" s="156"/>
      <c r="X182" s="156"/>
      <c r="Y182" s="156"/>
      <c r="Z182" s="156"/>
      <c r="AA182" s="156"/>
      <c r="AB182" s="156"/>
      <c r="AC182" s="156"/>
      <c r="AD182" s="156"/>
      <c r="AE182" s="156"/>
      <c r="AF182" s="156"/>
      <c r="AG182" s="156"/>
      <c r="AH182" s="156"/>
      <c r="AI182" s="156"/>
      <c r="AJ182" s="156"/>
    </row>
    <row r="183" ht="15.75" customHeight="1">
      <c r="A183" s="150"/>
      <c r="B183" s="150"/>
      <c r="C183" s="150"/>
      <c r="D183" s="156"/>
      <c r="E183" s="150"/>
      <c r="F183" s="150"/>
      <c r="G183" s="150"/>
      <c r="H183" s="156"/>
      <c r="I183" s="150"/>
      <c r="J183" s="150"/>
      <c r="K183" s="155"/>
      <c r="L183" s="155"/>
      <c r="M183" s="150"/>
      <c r="N183" s="150"/>
      <c r="O183" s="155"/>
      <c r="P183" s="150"/>
      <c r="Q183" s="150"/>
      <c r="R183" s="156"/>
      <c r="S183" s="193"/>
      <c r="T183" s="156"/>
      <c r="U183" s="156"/>
      <c r="V183" s="156"/>
      <c r="W183" s="156"/>
      <c r="X183" s="156"/>
      <c r="Y183" s="156"/>
      <c r="Z183" s="156"/>
      <c r="AA183" s="156"/>
      <c r="AB183" s="156"/>
      <c r="AC183" s="156"/>
      <c r="AD183" s="156"/>
      <c r="AE183" s="156"/>
      <c r="AF183" s="156"/>
      <c r="AG183" s="156"/>
      <c r="AH183" s="156"/>
      <c r="AI183" s="156"/>
      <c r="AJ183" s="156"/>
    </row>
    <row r="184" ht="15.75" customHeight="1">
      <c r="A184" s="150"/>
      <c r="B184" s="150"/>
      <c r="C184" s="150"/>
      <c r="D184" s="156"/>
      <c r="E184" s="150"/>
      <c r="F184" s="150"/>
      <c r="G184" s="150"/>
      <c r="H184" s="156"/>
      <c r="I184" s="150"/>
      <c r="J184" s="150"/>
      <c r="K184" s="155"/>
      <c r="L184" s="155"/>
      <c r="M184" s="150"/>
      <c r="N184" s="150"/>
      <c r="O184" s="155"/>
      <c r="P184" s="150"/>
      <c r="Q184" s="150"/>
      <c r="R184" s="156"/>
      <c r="S184" s="193"/>
      <c r="T184" s="156"/>
      <c r="U184" s="156"/>
      <c r="V184" s="156"/>
      <c r="W184" s="156"/>
      <c r="X184" s="156"/>
      <c r="Y184" s="156"/>
      <c r="Z184" s="156"/>
      <c r="AA184" s="156"/>
      <c r="AB184" s="156"/>
      <c r="AC184" s="156"/>
      <c r="AD184" s="156"/>
      <c r="AE184" s="156"/>
      <c r="AF184" s="156"/>
      <c r="AG184" s="156"/>
      <c r="AH184" s="156"/>
      <c r="AI184" s="156"/>
      <c r="AJ184" s="156"/>
    </row>
    <row r="185" ht="15.75" customHeight="1">
      <c r="A185" s="150"/>
      <c r="B185" s="150"/>
      <c r="C185" s="150"/>
      <c r="D185" s="156"/>
      <c r="E185" s="150"/>
      <c r="F185" s="150"/>
      <c r="G185" s="150"/>
      <c r="H185" s="156"/>
      <c r="I185" s="150"/>
      <c r="J185" s="150"/>
      <c r="K185" s="155"/>
      <c r="L185" s="155"/>
      <c r="M185" s="150"/>
      <c r="N185" s="150"/>
      <c r="O185" s="155"/>
      <c r="P185" s="150"/>
      <c r="Q185" s="150"/>
      <c r="R185" s="156"/>
      <c r="S185" s="193"/>
      <c r="T185" s="156"/>
      <c r="U185" s="156"/>
      <c r="V185" s="156"/>
      <c r="W185" s="156"/>
      <c r="X185" s="156"/>
      <c r="Y185" s="156"/>
      <c r="Z185" s="156"/>
      <c r="AA185" s="156"/>
      <c r="AB185" s="156"/>
      <c r="AC185" s="156"/>
      <c r="AD185" s="156"/>
      <c r="AE185" s="156"/>
      <c r="AF185" s="156"/>
      <c r="AG185" s="156"/>
      <c r="AH185" s="156"/>
      <c r="AI185" s="156"/>
      <c r="AJ185" s="156"/>
    </row>
    <row r="186" ht="15.75" customHeight="1">
      <c r="A186" s="150"/>
      <c r="B186" s="150"/>
      <c r="C186" s="150"/>
      <c r="D186" s="156"/>
      <c r="E186" s="150"/>
      <c r="F186" s="150"/>
      <c r="G186" s="150"/>
      <c r="H186" s="156"/>
      <c r="I186" s="150"/>
      <c r="J186" s="150"/>
      <c r="K186" s="155"/>
      <c r="L186" s="155"/>
      <c r="M186" s="150"/>
      <c r="N186" s="150"/>
      <c r="O186" s="155"/>
      <c r="P186" s="150"/>
      <c r="Q186" s="150"/>
      <c r="R186" s="156"/>
      <c r="S186" s="193"/>
      <c r="T186" s="156"/>
      <c r="U186" s="156"/>
      <c r="V186" s="156"/>
      <c r="W186" s="156"/>
      <c r="X186" s="156"/>
      <c r="Y186" s="156"/>
      <c r="Z186" s="156"/>
      <c r="AA186" s="156"/>
      <c r="AB186" s="156"/>
      <c r="AC186" s="156"/>
      <c r="AD186" s="156"/>
      <c r="AE186" s="156"/>
      <c r="AF186" s="156"/>
      <c r="AG186" s="156"/>
      <c r="AH186" s="156"/>
      <c r="AI186" s="156"/>
      <c r="AJ186" s="156"/>
    </row>
    <row r="187" ht="15.75" customHeight="1">
      <c r="A187" s="150"/>
      <c r="B187" s="150"/>
      <c r="C187" s="150"/>
      <c r="D187" s="156"/>
      <c r="E187" s="150"/>
      <c r="F187" s="150"/>
      <c r="G187" s="150"/>
      <c r="H187" s="156"/>
      <c r="I187" s="150"/>
      <c r="J187" s="150"/>
      <c r="K187" s="155"/>
      <c r="L187" s="155"/>
      <c r="M187" s="150"/>
      <c r="N187" s="150"/>
      <c r="O187" s="155"/>
      <c r="P187" s="150"/>
      <c r="Q187" s="150"/>
      <c r="R187" s="156"/>
      <c r="S187" s="193"/>
      <c r="T187" s="156"/>
      <c r="U187" s="156"/>
      <c r="V187" s="156"/>
      <c r="W187" s="156"/>
      <c r="X187" s="156"/>
      <c r="Y187" s="156"/>
      <c r="Z187" s="156"/>
      <c r="AA187" s="156"/>
      <c r="AB187" s="156"/>
      <c r="AC187" s="156"/>
      <c r="AD187" s="156"/>
      <c r="AE187" s="156"/>
      <c r="AF187" s="156"/>
      <c r="AG187" s="156"/>
      <c r="AH187" s="156"/>
      <c r="AI187" s="156"/>
      <c r="AJ187" s="156"/>
    </row>
    <row r="188" ht="15.75" customHeight="1">
      <c r="A188" s="150"/>
      <c r="B188" s="150"/>
      <c r="C188" s="150"/>
      <c r="D188" s="156"/>
      <c r="E188" s="150"/>
      <c r="F188" s="150"/>
      <c r="G188" s="150"/>
      <c r="H188" s="156"/>
      <c r="I188" s="150"/>
      <c r="J188" s="150"/>
      <c r="K188" s="155"/>
      <c r="L188" s="155"/>
      <c r="M188" s="150"/>
      <c r="N188" s="150"/>
      <c r="O188" s="155"/>
      <c r="P188" s="150"/>
      <c r="Q188" s="150"/>
      <c r="R188" s="156"/>
      <c r="S188" s="193"/>
      <c r="T188" s="156"/>
      <c r="U188" s="156"/>
      <c r="V188" s="156"/>
      <c r="W188" s="156"/>
      <c r="X188" s="156"/>
      <c r="Y188" s="156"/>
      <c r="Z188" s="156"/>
      <c r="AA188" s="156"/>
      <c r="AB188" s="156"/>
      <c r="AC188" s="156"/>
      <c r="AD188" s="156"/>
      <c r="AE188" s="156"/>
      <c r="AF188" s="156"/>
      <c r="AG188" s="156"/>
      <c r="AH188" s="156"/>
      <c r="AI188" s="156"/>
      <c r="AJ188" s="156"/>
    </row>
    <row r="189" ht="15.75" customHeight="1">
      <c r="A189" s="150"/>
      <c r="B189" s="150"/>
      <c r="C189" s="150"/>
      <c r="D189" s="156"/>
      <c r="E189" s="150"/>
      <c r="F189" s="150"/>
      <c r="G189" s="150"/>
      <c r="H189" s="156"/>
      <c r="I189" s="150"/>
      <c r="J189" s="150"/>
      <c r="K189" s="155"/>
      <c r="L189" s="155"/>
      <c r="M189" s="150"/>
      <c r="N189" s="150"/>
      <c r="O189" s="155"/>
      <c r="P189" s="150"/>
      <c r="Q189" s="150"/>
      <c r="R189" s="156"/>
      <c r="S189" s="193"/>
      <c r="T189" s="156"/>
      <c r="U189" s="156"/>
      <c r="V189" s="156"/>
      <c r="W189" s="156"/>
      <c r="X189" s="156"/>
      <c r="Y189" s="156"/>
      <c r="Z189" s="156"/>
      <c r="AA189" s="156"/>
      <c r="AB189" s="156"/>
      <c r="AC189" s="156"/>
      <c r="AD189" s="156"/>
      <c r="AE189" s="156"/>
      <c r="AF189" s="156"/>
      <c r="AG189" s="156"/>
      <c r="AH189" s="156"/>
      <c r="AI189" s="156"/>
      <c r="AJ189" s="156"/>
    </row>
    <row r="190" ht="15.75" customHeight="1">
      <c r="A190" s="150"/>
      <c r="B190" s="150"/>
      <c r="C190" s="150"/>
      <c r="D190" s="156"/>
      <c r="E190" s="150"/>
      <c r="F190" s="150"/>
      <c r="G190" s="150"/>
      <c r="H190" s="156"/>
      <c r="I190" s="150"/>
      <c r="J190" s="150"/>
      <c r="K190" s="155"/>
      <c r="L190" s="155"/>
      <c r="M190" s="150"/>
      <c r="N190" s="150"/>
      <c r="O190" s="155"/>
      <c r="P190" s="150"/>
      <c r="Q190" s="150"/>
      <c r="R190" s="156"/>
      <c r="S190" s="193"/>
      <c r="T190" s="156"/>
      <c r="U190" s="156"/>
      <c r="V190" s="156"/>
      <c r="W190" s="156"/>
      <c r="X190" s="156"/>
      <c r="Y190" s="156"/>
      <c r="Z190" s="156"/>
      <c r="AA190" s="156"/>
      <c r="AB190" s="156"/>
      <c r="AC190" s="156"/>
      <c r="AD190" s="156"/>
      <c r="AE190" s="156"/>
      <c r="AF190" s="156"/>
      <c r="AG190" s="156"/>
      <c r="AH190" s="156"/>
      <c r="AI190" s="156"/>
      <c r="AJ190" s="156"/>
    </row>
    <row r="191" ht="15.75" customHeight="1">
      <c r="A191" s="150"/>
      <c r="B191" s="150"/>
      <c r="C191" s="150"/>
      <c r="D191" s="156"/>
      <c r="E191" s="150"/>
      <c r="F191" s="150"/>
      <c r="G191" s="150"/>
      <c r="H191" s="156"/>
      <c r="I191" s="150"/>
      <c r="J191" s="150"/>
      <c r="K191" s="155"/>
      <c r="L191" s="155"/>
      <c r="M191" s="150"/>
      <c r="N191" s="150"/>
      <c r="O191" s="155"/>
      <c r="P191" s="150"/>
      <c r="Q191" s="150"/>
      <c r="R191" s="156"/>
      <c r="S191" s="193"/>
      <c r="T191" s="156"/>
      <c r="U191" s="156"/>
      <c r="V191" s="156"/>
      <c r="W191" s="156"/>
      <c r="X191" s="156"/>
      <c r="Y191" s="156"/>
      <c r="Z191" s="156"/>
      <c r="AA191" s="156"/>
      <c r="AB191" s="156"/>
      <c r="AC191" s="156"/>
      <c r="AD191" s="156"/>
      <c r="AE191" s="156"/>
      <c r="AF191" s="156"/>
      <c r="AG191" s="156"/>
      <c r="AH191" s="156"/>
      <c r="AI191" s="156"/>
      <c r="AJ191" s="156"/>
    </row>
    <row r="192" ht="15.75" customHeight="1">
      <c r="A192" s="150"/>
      <c r="B192" s="150"/>
      <c r="C192" s="150"/>
      <c r="D192" s="156"/>
      <c r="E192" s="150"/>
      <c r="F192" s="150"/>
      <c r="G192" s="150"/>
      <c r="H192" s="156"/>
      <c r="I192" s="150"/>
      <c r="J192" s="150"/>
      <c r="K192" s="155"/>
      <c r="L192" s="155"/>
      <c r="M192" s="150"/>
      <c r="N192" s="150"/>
      <c r="O192" s="155"/>
      <c r="P192" s="150"/>
      <c r="Q192" s="150"/>
      <c r="R192" s="156"/>
      <c r="S192" s="193"/>
      <c r="T192" s="156"/>
      <c r="U192" s="156"/>
      <c r="V192" s="156"/>
      <c r="W192" s="156"/>
      <c r="X192" s="156"/>
      <c r="Y192" s="156"/>
      <c r="Z192" s="156"/>
      <c r="AA192" s="156"/>
      <c r="AB192" s="156"/>
      <c r="AC192" s="156"/>
      <c r="AD192" s="156"/>
      <c r="AE192" s="156"/>
      <c r="AF192" s="156"/>
      <c r="AG192" s="156"/>
      <c r="AH192" s="156"/>
      <c r="AI192" s="156"/>
      <c r="AJ192" s="156"/>
    </row>
    <row r="193" ht="15.75" customHeight="1">
      <c r="A193" s="150"/>
      <c r="B193" s="150"/>
      <c r="C193" s="150"/>
      <c r="D193" s="156"/>
      <c r="E193" s="150"/>
      <c r="F193" s="150"/>
      <c r="G193" s="150"/>
      <c r="H193" s="156"/>
      <c r="I193" s="150"/>
      <c r="J193" s="150"/>
      <c r="K193" s="155"/>
      <c r="L193" s="155"/>
      <c r="M193" s="150"/>
      <c r="N193" s="150"/>
      <c r="O193" s="155"/>
      <c r="P193" s="150"/>
      <c r="Q193" s="150"/>
      <c r="R193" s="156"/>
      <c r="S193" s="193"/>
      <c r="T193" s="156"/>
      <c r="U193" s="156"/>
      <c r="V193" s="156"/>
      <c r="W193" s="156"/>
      <c r="X193" s="156"/>
      <c r="Y193" s="156"/>
      <c r="Z193" s="156"/>
      <c r="AA193" s="156"/>
      <c r="AB193" s="156"/>
      <c r="AC193" s="156"/>
      <c r="AD193" s="156"/>
      <c r="AE193" s="156"/>
      <c r="AF193" s="156"/>
      <c r="AG193" s="156"/>
      <c r="AH193" s="156"/>
      <c r="AI193" s="156"/>
      <c r="AJ193" s="156"/>
    </row>
    <row r="194" ht="15.75" customHeight="1">
      <c r="A194" s="150"/>
      <c r="B194" s="150"/>
      <c r="C194" s="150"/>
      <c r="D194" s="156"/>
      <c r="E194" s="150"/>
      <c r="F194" s="150"/>
      <c r="G194" s="150"/>
      <c r="H194" s="156"/>
      <c r="I194" s="150"/>
      <c r="J194" s="150"/>
      <c r="K194" s="155"/>
      <c r="L194" s="155"/>
      <c r="M194" s="150"/>
      <c r="N194" s="150"/>
      <c r="O194" s="155"/>
      <c r="P194" s="150"/>
      <c r="Q194" s="150"/>
      <c r="R194" s="156"/>
      <c r="S194" s="193"/>
      <c r="T194" s="156"/>
      <c r="U194" s="156"/>
      <c r="V194" s="156"/>
      <c r="W194" s="156"/>
      <c r="X194" s="156"/>
      <c r="Y194" s="156"/>
      <c r="Z194" s="156"/>
      <c r="AA194" s="156"/>
      <c r="AB194" s="156"/>
      <c r="AC194" s="156"/>
      <c r="AD194" s="156"/>
      <c r="AE194" s="156"/>
      <c r="AF194" s="156"/>
      <c r="AG194" s="156"/>
      <c r="AH194" s="156"/>
      <c r="AI194" s="156"/>
      <c r="AJ194" s="156"/>
    </row>
    <row r="195" ht="15.75" customHeight="1">
      <c r="A195" s="150"/>
      <c r="B195" s="150"/>
      <c r="C195" s="150"/>
      <c r="D195" s="156"/>
      <c r="E195" s="150"/>
      <c r="F195" s="150"/>
      <c r="G195" s="150"/>
      <c r="H195" s="156"/>
      <c r="I195" s="150"/>
      <c r="J195" s="150"/>
      <c r="K195" s="155"/>
      <c r="L195" s="155"/>
      <c r="M195" s="150"/>
      <c r="N195" s="150"/>
      <c r="O195" s="155"/>
      <c r="P195" s="150"/>
      <c r="Q195" s="150"/>
      <c r="R195" s="156"/>
      <c r="S195" s="193"/>
      <c r="T195" s="156"/>
      <c r="U195" s="156"/>
      <c r="V195" s="156"/>
      <c r="W195" s="156"/>
      <c r="X195" s="156"/>
      <c r="Y195" s="156"/>
      <c r="Z195" s="156"/>
      <c r="AA195" s="156"/>
      <c r="AB195" s="156"/>
      <c r="AC195" s="156"/>
      <c r="AD195" s="156"/>
      <c r="AE195" s="156"/>
      <c r="AF195" s="156"/>
      <c r="AG195" s="156"/>
      <c r="AH195" s="156"/>
      <c r="AI195" s="156"/>
      <c r="AJ195" s="156"/>
    </row>
    <row r="196" ht="15.75" customHeight="1">
      <c r="A196" s="150"/>
      <c r="B196" s="150"/>
      <c r="C196" s="150"/>
      <c r="D196" s="156"/>
      <c r="E196" s="150"/>
      <c r="F196" s="150"/>
      <c r="G196" s="150"/>
      <c r="H196" s="156"/>
      <c r="I196" s="150"/>
      <c r="J196" s="150"/>
      <c r="K196" s="155"/>
      <c r="L196" s="155"/>
      <c r="M196" s="150"/>
      <c r="N196" s="150"/>
      <c r="O196" s="155"/>
      <c r="P196" s="150"/>
      <c r="Q196" s="150"/>
      <c r="R196" s="156"/>
      <c r="S196" s="193"/>
      <c r="T196" s="156"/>
      <c r="U196" s="156"/>
      <c r="V196" s="156"/>
      <c r="W196" s="156"/>
      <c r="X196" s="156"/>
      <c r="Y196" s="156"/>
      <c r="Z196" s="156"/>
      <c r="AA196" s="156"/>
      <c r="AB196" s="156"/>
      <c r="AC196" s="156"/>
      <c r="AD196" s="156"/>
      <c r="AE196" s="156"/>
      <c r="AF196" s="156"/>
      <c r="AG196" s="156"/>
      <c r="AH196" s="156"/>
      <c r="AI196" s="156"/>
      <c r="AJ196" s="156"/>
    </row>
    <row r="197" ht="15.75" customHeight="1">
      <c r="A197" s="150"/>
      <c r="B197" s="150"/>
      <c r="C197" s="150"/>
      <c r="D197" s="156"/>
      <c r="E197" s="150"/>
      <c r="F197" s="150"/>
      <c r="G197" s="150"/>
      <c r="H197" s="156"/>
      <c r="I197" s="150"/>
      <c r="J197" s="150"/>
      <c r="K197" s="155"/>
      <c r="L197" s="155"/>
      <c r="M197" s="150"/>
      <c r="N197" s="150"/>
      <c r="O197" s="155"/>
      <c r="P197" s="150"/>
      <c r="Q197" s="150"/>
      <c r="R197" s="156"/>
      <c r="S197" s="193"/>
      <c r="T197" s="156"/>
      <c r="U197" s="156"/>
      <c r="V197" s="156"/>
      <c r="W197" s="156"/>
      <c r="X197" s="156"/>
      <c r="Y197" s="156"/>
      <c r="Z197" s="156"/>
      <c r="AA197" s="156"/>
      <c r="AB197" s="156"/>
      <c r="AC197" s="156"/>
      <c r="AD197" s="156"/>
      <c r="AE197" s="156"/>
      <c r="AF197" s="156"/>
      <c r="AG197" s="156"/>
      <c r="AH197" s="156"/>
      <c r="AI197" s="156"/>
      <c r="AJ197" s="156"/>
    </row>
    <row r="198" ht="15.75" customHeight="1">
      <c r="A198" s="150"/>
      <c r="B198" s="150"/>
      <c r="C198" s="150"/>
      <c r="D198" s="156"/>
      <c r="E198" s="150"/>
      <c r="F198" s="150"/>
      <c r="G198" s="150"/>
      <c r="H198" s="156"/>
      <c r="I198" s="150"/>
      <c r="J198" s="150"/>
      <c r="K198" s="155"/>
      <c r="L198" s="155"/>
      <c r="M198" s="150"/>
      <c r="N198" s="150"/>
      <c r="O198" s="155"/>
      <c r="P198" s="150"/>
      <c r="Q198" s="150"/>
      <c r="R198" s="156"/>
      <c r="S198" s="193"/>
      <c r="T198" s="156"/>
      <c r="U198" s="156"/>
      <c r="V198" s="156"/>
      <c r="W198" s="156"/>
      <c r="X198" s="156"/>
      <c r="Y198" s="156"/>
      <c r="Z198" s="156"/>
      <c r="AA198" s="156"/>
      <c r="AB198" s="156"/>
      <c r="AC198" s="156"/>
      <c r="AD198" s="156"/>
      <c r="AE198" s="156"/>
      <c r="AF198" s="156"/>
      <c r="AG198" s="156"/>
      <c r="AH198" s="156"/>
      <c r="AI198" s="156"/>
      <c r="AJ198" s="156"/>
    </row>
    <row r="199" ht="15.75" customHeight="1">
      <c r="A199" s="150"/>
      <c r="B199" s="150"/>
      <c r="C199" s="150"/>
      <c r="D199" s="156"/>
      <c r="E199" s="150"/>
      <c r="F199" s="150"/>
      <c r="G199" s="150"/>
      <c r="H199" s="156"/>
      <c r="I199" s="150"/>
      <c r="J199" s="150"/>
      <c r="K199" s="155"/>
      <c r="L199" s="155"/>
      <c r="M199" s="150"/>
      <c r="N199" s="150"/>
      <c r="O199" s="155"/>
      <c r="P199" s="150"/>
      <c r="Q199" s="150"/>
      <c r="R199" s="156"/>
      <c r="S199" s="193"/>
      <c r="T199" s="156"/>
      <c r="U199" s="156"/>
      <c r="V199" s="156"/>
      <c r="W199" s="156"/>
      <c r="X199" s="156"/>
      <c r="Y199" s="156"/>
      <c r="Z199" s="156"/>
      <c r="AA199" s="156"/>
      <c r="AB199" s="156"/>
      <c r="AC199" s="156"/>
      <c r="AD199" s="156"/>
      <c r="AE199" s="156"/>
      <c r="AF199" s="156"/>
      <c r="AG199" s="156"/>
      <c r="AH199" s="156"/>
      <c r="AI199" s="156"/>
      <c r="AJ199" s="156"/>
    </row>
    <row r="200" ht="15.75" customHeight="1">
      <c r="A200" s="150"/>
      <c r="B200" s="150"/>
      <c r="C200" s="150"/>
      <c r="D200" s="156"/>
      <c r="E200" s="150"/>
      <c r="F200" s="150"/>
      <c r="G200" s="150"/>
      <c r="H200" s="156"/>
      <c r="I200" s="150"/>
      <c r="J200" s="150"/>
      <c r="K200" s="155"/>
      <c r="L200" s="155"/>
      <c r="M200" s="150"/>
      <c r="N200" s="150"/>
      <c r="O200" s="155"/>
      <c r="P200" s="150"/>
      <c r="Q200" s="150"/>
      <c r="R200" s="156"/>
      <c r="S200" s="193"/>
      <c r="T200" s="156"/>
      <c r="U200" s="156"/>
      <c r="V200" s="156"/>
      <c r="W200" s="156"/>
      <c r="X200" s="156"/>
      <c r="Y200" s="156"/>
      <c r="Z200" s="156"/>
      <c r="AA200" s="156"/>
      <c r="AB200" s="156"/>
      <c r="AC200" s="156"/>
      <c r="AD200" s="156"/>
      <c r="AE200" s="156"/>
      <c r="AF200" s="156"/>
      <c r="AG200" s="156"/>
      <c r="AH200" s="156"/>
      <c r="AI200" s="156"/>
      <c r="AJ200" s="156"/>
    </row>
    <row r="201" ht="15.75" customHeight="1">
      <c r="A201" s="150"/>
      <c r="B201" s="150"/>
      <c r="C201" s="150"/>
      <c r="D201" s="156"/>
      <c r="E201" s="150"/>
      <c r="F201" s="150"/>
      <c r="G201" s="150"/>
      <c r="H201" s="156"/>
      <c r="I201" s="150"/>
      <c r="J201" s="150"/>
      <c r="K201" s="155"/>
      <c r="L201" s="155"/>
      <c r="M201" s="150"/>
      <c r="N201" s="150"/>
      <c r="O201" s="155"/>
      <c r="P201" s="150"/>
      <c r="Q201" s="150"/>
      <c r="R201" s="156"/>
      <c r="S201" s="193"/>
      <c r="T201" s="156"/>
      <c r="U201" s="156"/>
      <c r="V201" s="156"/>
      <c r="W201" s="156"/>
      <c r="X201" s="156"/>
      <c r="Y201" s="156"/>
      <c r="Z201" s="156"/>
      <c r="AA201" s="156"/>
      <c r="AB201" s="156"/>
      <c r="AC201" s="156"/>
      <c r="AD201" s="156"/>
      <c r="AE201" s="156"/>
      <c r="AF201" s="156"/>
      <c r="AG201" s="156"/>
      <c r="AH201" s="156"/>
      <c r="AI201" s="156"/>
      <c r="AJ201" s="156"/>
    </row>
    <row r="202" ht="15.75" customHeight="1">
      <c r="A202" s="150"/>
      <c r="B202" s="150"/>
      <c r="C202" s="150"/>
      <c r="D202" s="156"/>
      <c r="E202" s="150"/>
      <c r="F202" s="150"/>
      <c r="G202" s="150"/>
      <c r="H202" s="156"/>
      <c r="I202" s="150"/>
      <c r="J202" s="150"/>
      <c r="K202" s="155"/>
      <c r="L202" s="155"/>
      <c r="M202" s="150"/>
      <c r="N202" s="150"/>
      <c r="O202" s="155"/>
      <c r="P202" s="150"/>
      <c r="Q202" s="150"/>
      <c r="R202" s="156"/>
      <c r="S202" s="193"/>
      <c r="T202" s="156"/>
      <c r="U202" s="156"/>
      <c r="V202" s="156"/>
      <c r="W202" s="156"/>
      <c r="X202" s="156"/>
      <c r="Y202" s="156"/>
      <c r="Z202" s="156"/>
      <c r="AA202" s="156"/>
      <c r="AB202" s="156"/>
      <c r="AC202" s="156"/>
      <c r="AD202" s="156"/>
      <c r="AE202" s="156"/>
      <c r="AF202" s="156"/>
      <c r="AG202" s="156"/>
      <c r="AH202" s="156"/>
      <c r="AI202" s="156"/>
      <c r="AJ202" s="156"/>
    </row>
    <row r="203" ht="15.75" customHeight="1">
      <c r="A203" s="150"/>
      <c r="B203" s="150"/>
      <c r="C203" s="150"/>
      <c r="D203" s="156"/>
      <c r="E203" s="150"/>
      <c r="F203" s="150"/>
      <c r="G203" s="150"/>
      <c r="H203" s="156"/>
      <c r="I203" s="150"/>
      <c r="J203" s="150"/>
      <c r="K203" s="155"/>
      <c r="L203" s="155"/>
      <c r="M203" s="150"/>
      <c r="N203" s="150"/>
      <c r="O203" s="155"/>
      <c r="P203" s="150"/>
      <c r="Q203" s="150"/>
      <c r="R203" s="156"/>
      <c r="S203" s="193"/>
      <c r="T203" s="156"/>
      <c r="U203" s="156"/>
      <c r="V203" s="156"/>
      <c r="W203" s="156"/>
      <c r="X203" s="156"/>
      <c r="Y203" s="156"/>
      <c r="Z203" s="156"/>
      <c r="AA203" s="156"/>
      <c r="AB203" s="156"/>
      <c r="AC203" s="156"/>
      <c r="AD203" s="156"/>
      <c r="AE203" s="156"/>
      <c r="AF203" s="156"/>
      <c r="AG203" s="156"/>
      <c r="AH203" s="156"/>
      <c r="AI203" s="156"/>
      <c r="AJ203" s="156"/>
    </row>
    <row r="204" ht="15.75" customHeight="1">
      <c r="A204" s="150"/>
      <c r="B204" s="150"/>
      <c r="C204" s="150"/>
      <c r="D204" s="156"/>
      <c r="E204" s="150"/>
      <c r="F204" s="150"/>
      <c r="G204" s="150"/>
      <c r="H204" s="156"/>
      <c r="I204" s="150"/>
      <c r="J204" s="150"/>
      <c r="K204" s="155"/>
      <c r="L204" s="155"/>
      <c r="M204" s="150"/>
      <c r="N204" s="150"/>
      <c r="O204" s="155"/>
      <c r="P204" s="150"/>
      <c r="Q204" s="150"/>
      <c r="R204" s="156"/>
      <c r="S204" s="193"/>
      <c r="T204" s="156"/>
      <c r="U204" s="156"/>
      <c r="V204" s="156"/>
      <c r="W204" s="156"/>
      <c r="X204" s="156"/>
      <c r="Y204" s="156"/>
      <c r="Z204" s="156"/>
      <c r="AA204" s="156"/>
      <c r="AB204" s="156"/>
      <c r="AC204" s="156"/>
      <c r="AD204" s="156"/>
      <c r="AE204" s="156"/>
      <c r="AF204" s="156"/>
      <c r="AG204" s="156"/>
      <c r="AH204" s="156"/>
      <c r="AI204" s="156"/>
      <c r="AJ204" s="156"/>
    </row>
    <row r="205" ht="15.75" customHeight="1">
      <c r="A205" s="150"/>
      <c r="B205" s="150"/>
      <c r="C205" s="150"/>
      <c r="D205" s="156"/>
      <c r="E205" s="150"/>
      <c r="F205" s="150"/>
      <c r="G205" s="150"/>
      <c r="H205" s="156"/>
      <c r="I205" s="150"/>
      <c r="J205" s="150"/>
      <c r="K205" s="155"/>
      <c r="L205" s="155"/>
      <c r="M205" s="150"/>
      <c r="N205" s="150"/>
      <c r="O205" s="155"/>
      <c r="P205" s="150"/>
      <c r="Q205" s="150"/>
      <c r="R205" s="156"/>
      <c r="S205" s="193"/>
      <c r="T205" s="156"/>
      <c r="U205" s="156"/>
      <c r="V205" s="156"/>
      <c r="W205" s="156"/>
      <c r="X205" s="156"/>
      <c r="Y205" s="156"/>
      <c r="Z205" s="156"/>
      <c r="AA205" s="156"/>
      <c r="AB205" s="156"/>
      <c r="AC205" s="156"/>
      <c r="AD205" s="156"/>
      <c r="AE205" s="156"/>
      <c r="AF205" s="156"/>
      <c r="AG205" s="156"/>
      <c r="AH205" s="156"/>
      <c r="AI205" s="156"/>
      <c r="AJ205" s="156"/>
    </row>
    <row r="206" ht="15.75" customHeight="1">
      <c r="A206" s="150"/>
      <c r="B206" s="150"/>
      <c r="C206" s="150"/>
      <c r="D206" s="156"/>
      <c r="E206" s="150"/>
      <c r="F206" s="150"/>
      <c r="G206" s="150"/>
      <c r="H206" s="156"/>
      <c r="I206" s="150"/>
      <c r="J206" s="150"/>
      <c r="K206" s="155"/>
      <c r="L206" s="155"/>
      <c r="M206" s="150"/>
      <c r="N206" s="150"/>
      <c r="O206" s="155"/>
      <c r="P206" s="150"/>
      <c r="Q206" s="150"/>
      <c r="R206" s="156"/>
      <c r="S206" s="193"/>
      <c r="T206" s="156"/>
      <c r="U206" s="156"/>
      <c r="V206" s="156"/>
      <c r="W206" s="156"/>
      <c r="X206" s="156"/>
      <c r="Y206" s="156"/>
      <c r="Z206" s="156"/>
      <c r="AA206" s="156"/>
      <c r="AB206" s="156"/>
      <c r="AC206" s="156"/>
      <c r="AD206" s="156"/>
      <c r="AE206" s="156"/>
      <c r="AF206" s="156"/>
      <c r="AG206" s="156"/>
      <c r="AH206" s="156"/>
      <c r="AI206" s="156"/>
      <c r="AJ206" s="156"/>
    </row>
    <row r="207" ht="15.75" customHeight="1">
      <c r="A207" s="150"/>
      <c r="B207" s="150"/>
      <c r="C207" s="150"/>
      <c r="D207" s="156"/>
      <c r="E207" s="150"/>
      <c r="F207" s="150"/>
      <c r="G207" s="150"/>
      <c r="H207" s="156"/>
      <c r="I207" s="150"/>
      <c r="J207" s="150"/>
      <c r="K207" s="155"/>
      <c r="L207" s="155"/>
      <c r="M207" s="150"/>
      <c r="N207" s="150"/>
      <c r="O207" s="155"/>
      <c r="P207" s="150"/>
      <c r="Q207" s="150"/>
      <c r="R207" s="156"/>
      <c r="S207" s="193"/>
      <c r="T207" s="156"/>
      <c r="U207" s="156"/>
      <c r="V207" s="156"/>
      <c r="W207" s="156"/>
      <c r="X207" s="156"/>
      <c r="Y207" s="156"/>
      <c r="Z207" s="156"/>
      <c r="AA207" s="156"/>
      <c r="AB207" s="156"/>
      <c r="AC207" s="156"/>
      <c r="AD207" s="156"/>
      <c r="AE207" s="156"/>
      <c r="AF207" s="156"/>
      <c r="AG207" s="156"/>
      <c r="AH207" s="156"/>
      <c r="AI207" s="156"/>
      <c r="AJ207" s="156"/>
    </row>
    <row r="208" ht="15.75" customHeight="1">
      <c r="A208" s="150"/>
      <c r="B208" s="150"/>
      <c r="C208" s="150"/>
      <c r="D208" s="156"/>
      <c r="E208" s="150"/>
      <c r="F208" s="150"/>
      <c r="G208" s="150"/>
      <c r="H208" s="156"/>
      <c r="I208" s="150"/>
      <c r="J208" s="150"/>
      <c r="K208" s="155"/>
      <c r="L208" s="155"/>
      <c r="M208" s="150"/>
      <c r="N208" s="150"/>
      <c r="O208" s="155"/>
      <c r="P208" s="150"/>
      <c r="Q208" s="150"/>
      <c r="R208" s="156"/>
      <c r="S208" s="193"/>
      <c r="T208" s="156"/>
      <c r="U208" s="156"/>
      <c r="V208" s="156"/>
      <c r="W208" s="156"/>
      <c r="X208" s="156"/>
      <c r="Y208" s="156"/>
      <c r="Z208" s="156"/>
      <c r="AA208" s="156"/>
      <c r="AB208" s="156"/>
      <c r="AC208" s="156"/>
      <c r="AD208" s="156"/>
      <c r="AE208" s="156"/>
      <c r="AF208" s="156"/>
      <c r="AG208" s="156"/>
      <c r="AH208" s="156"/>
      <c r="AI208" s="156"/>
      <c r="AJ208" s="156"/>
    </row>
    <row r="209" ht="15.75" customHeight="1">
      <c r="A209" s="150"/>
      <c r="B209" s="150"/>
      <c r="C209" s="150"/>
      <c r="D209" s="156"/>
      <c r="E209" s="150"/>
      <c r="F209" s="150"/>
      <c r="G209" s="150"/>
      <c r="H209" s="156"/>
      <c r="I209" s="150"/>
      <c r="J209" s="150"/>
      <c r="K209" s="155"/>
      <c r="L209" s="155"/>
      <c r="M209" s="150"/>
      <c r="N209" s="150"/>
      <c r="O209" s="155"/>
      <c r="P209" s="150"/>
      <c r="Q209" s="150"/>
      <c r="R209" s="156"/>
      <c r="S209" s="193"/>
      <c r="T209" s="156"/>
      <c r="U209" s="156"/>
      <c r="V209" s="156"/>
      <c r="W209" s="156"/>
      <c r="X209" s="156"/>
      <c r="Y209" s="156"/>
      <c r="Z209" s="156"/>
      <c r="AA209" s="156"/>
      <c r="AB209" s="156"/>
      <c r="AC209" s="156"/>
      <c r="AD209" s="156"/>
      <c r="AE209" s="156"/>
      <c r="AF209" s="156"/>
      <c r="AG209" s="156"/>
      <c r="AH209" s="156"/>
      <c r="AI209" s="156"/>
      <c r="AJ209" s="156"/>
    </row>
    <row r="210" ht="15.75" customHeight="1">
      <c r="A210" s="150"/>
      <c r="B210" s="150"/>
      <c r="C210" s="150"/>
      <c r="D210" s="156"/>
      <c r="E210" s="150"/>
      <c r="F210" s="150"/>
      <c r="G210" s="150"/>
      <c r="H210" s="156"/>
      <c r="I210" s="150"/>
      <c r="J210" s="150"/>
      <c r="K210" s="155"/>
      <c r="L210" s="155"/>
      <c r="M210" s="150"/>
      <c r="N210" s="150"/>
      <c r="O210" s="155"/>
      <c r="P210" s="150"/>
      <c r="Q210" s="150"/>
      <c r="R210" s="156"/>
      <c r="S210" s="193"/>
      <c r="T210" s="156"/>
      <c r="U210" s="156"/>
      <c r="V210" s="156"/>
      <c r="W210" s="156"/>
      <c r="X210" s="156"/>
      <c r="Y210" s="156"/>
      <c r="Z210" s="156"/>
      <c r="AA210" s="156"/>
      <c r="AB210" s="156"/>
      <c r="AC210" s="156"/>
      <c r="AD210" s="156"/>
      <c r="AE210" s="156"/>
      <c r="AF210" s="156"/>
      <c r="AG210" s="156"/>
      <c r="AH210" s="156"/>
      <c r="AI210" s="156"/>
      <c r="AJ210" s="156"/>
    </row>
    <row r="211" ht="15.75" customHeight="1">
      <c r="A211" s="150"/>
      <c r="B211" s="150"/>
      <c r="C211" s="150"/>
      <c r="D211" s="156"/>
      <c r="E211" s="150"/>
      <c r="F211" s="150"/>
      <c r="G211" s="150"/>
      <c r="H211" s="156"/>
      <c r="I211" s="150"/>
      <c r="J211" s="150"/>
      <c r="K211" s="155"/>
      <c r="L211" s="155"/>
      <c r="M211" s="150"/>
      <c r="N211" s="150"/>
      <c r="O211" s="155"/>
      <c r="P211" s="150"/>
      <c r="Q211" s="150"/>
      <c r="R211" s="156"/>
      <c r="S211" s="193"/>
      <c r="T211" s="156"/>
      <c r="U211" s="156"/>
      <c r="V211" s="156"/>
      <c r="W211" s="156"/>
      <c r="X211" s="156"/>
      <c r="Y211" s="156"/>
      <c r="Z211" s="156"/>
      <c r="AA211" s="156"/>
      <c r="AB211" s="156"/>
      <c r="AC211" s="156"/>
      <c r="AD211" s="156"/>
      <c r="AE211" s="156"/>
      <c r="AF211" s="156"/>
      <c r="AG211" s="156"/>
      <c r="AH211" s="156"/>
      <c r="AI211" s="156"/>
      <c r="AJ211" s="156"/>
    </row>
    <row r="212" ht="15.75" customHeight="1">
      <c r="A212" s="150"/>
      <c r="B212" s="150"/>
      <c r="C212" s="150"/>
      <c r="D212" s="156"/>
      <c r="E212" s="150"/>
      <c r="F212" s="150"/>
      <c r="G212" s="150"/>
      <c r="H212" s="156"/>
      <c r="I212" s="150"/>
      <c r="J212" s="150"/>
      <c r="K212" s="155"/>
      <c r="L212" s="155"/>
      <c r="M212" s="150"/>
      <c r="N212" s="150"/>
      <c r="O212" s="155"/>
      <c r="P212" s="150"/>
      <c r="Q212" s="150"/>
      <c r="R212" s="156"/>
      <c r="S212" s="193"/>
      <c r="T212" s="156"/>
      <c r="U212" s="156"/>
      <c r="V212" s="156"/>
      <c r="W212" s="156"/>
      <c r="X212" s="156"/>
      <c r="Y212" s="156"/>
      <c r="Z212" s="156"/>
      <c r="AA212" s="156"/>
      <c r="AB212" s="156"/>
      <c r="AC212" s="156"/>
      <c r="AD212" s="156"/>
      <c r="AE212" s="156"/>
      <c r="AF212" s="156"/>
      <c r="AG212" s="156"/>
      <c r="AH212" s="156"/>
      <c r="AI212" s="156"/>
      <c r="AJ212" s="156"/>
    </row>
    <row r="213" ht="15.75" customHeight="1">
      <c r="A213" s="150"/>
      <c r="B213" s="150"/>
      <c r="C213" s="150"/>
      <c r="D213" s="156"/>
      <c r="E213" s="150"/>
      <c r="F213" s="150"/>
      <c r="G213" s="150"/>
      <c r="H213" s="156"/>
      <c r="I213" s="150"/>
      <c r="J213" s="150"/>
      <c r="K213" s="155"/>
      <c r="L213" s="155"/>
      <c r="M213" s="150"/>
      <c r="N213" s="150"/>
      <c r="O213" s="155"/>
      <c r="P213" s="150"/>
      <c r="Q213" s="150"/>
      <c r="R213" s="156"/>
      <c r="S213" s="193"/>
      <c r="T213" s="156"/>
      <c r="U213" s="156"/>
      <c r="V213" s="156"/>
      <c r="W213" s="156"/>
      <c r="X213" s="156"/>
      <c r="Y213" s="156"/>
      <c r="Z213" s="156"/>
      <c r="AA213" s="156"/>
      <c r="AB213" s="156"/>
      <c r="AC213" s="156"/>
      <c r="AD213" s="156"/>
      <c r="AE213" s="156"/>
      <c r="AF213" s="156"/>
      <c r="AG213" s="156"/>
      <c r="AH213" s="156"/>
      <c r="AI213" s="156"/>
      <c r="AJ213" s="156"/>
    </row>
    <row r="214" ht="15.75" customHeight="1">
      <c r="A214" s="150"/>
      <c r="B214" s="150"/>
      <c r="C214" s="150"/>
      <c r="D214" s="156"/>
      <c r="E214" s="150"/>
      <c r="F214" s="150"/>
      <c r="G214" s="150"/>
      <c r="H214" s="156"/>
      <c r="I214" s="150"/>
      <c r="J214" s="150"/>
      <c r="K214" s="155"/>
      <c r="L214" s="155"/>
      <c r="M214" s="150"/>
      <c r="N214" s="150"/>
      <c r="O214" s="155"/>
      <c r="P214" s="150"/>
      <c r="Q214" s="150"/>
      <c r="R214" s="156"/>
      <c r="S214" s="193"/>
      <c r="T214" s="156"/>
      <c r="U214" s="156"/>
      <c r="V214" s="156"/>
      <c r="W214" s="156"/>
      <c r="X214" s="156"/>
      <c r="Y214" s="156"/>
      <c r="Z214" s="156"/>
      <c r="AA214" s="156"/>
      <c r="AB214" s="156"/>
      <c r="AC214" s="156"/>
      <c r="AD214" s="156"/>
      <c r="AE214" s="156"/>
      <c r="AF214" s="156"/>
      <c r="AG214" s="156"/>
      <c r="AH214" s="156"/>
      <c r="AI214" s="156"/>
      <c r="AJ214" s="156"/>
    </row>
    <row r="215" ht="15.75" customHeight="1">
      <c r="A215" s="150"/>
      <c r="B215" s="150"/>
      <c r="C215" s="150"/>
      <c r="D215" s="156"/>
      <c r="E215" s="150"/>
      <c r="F215" s="150"/>
      <c r="G215" s="150"/>
      <c r="H215" s="156"/>
      <c r="I215" s="150"/>
      <c r="J215" s="150"/>
      <c r="K215" s="155"/>
      <c r="L215" s="155"/>
      <c r="M215" s="150"/>
      <c r="N215" s="150"/>
      <c r="O215" s="155"/>
      <c r="P215" s="150"/>
      <c r="Q215" s="150"/>
      <c r="R215" s="156"/>
      <c r="S215" s="193"/>
      <c r="T215" s="156"/>
      <c r="U215" s="156"/>
      <c r="V215" s="156"/>
      <c r="W215" s="156"/>
      <c r="X215" s="156"/>
      <c r="Y215" s="156"/>
      <c r="Z215" s="156"/>
      <c r="AA215" s="156"/>
      <c r="AB215" s="156"/>
      <c r="AC215" s="156"/>
      <c r="AD215" s="156"/>
      <c r="AE215" s="156"/>
      <c r="AF215" s="156"/>
      <c r="AG215" s="156"/>
      <c r="AH215" s="156"/>
      <c r="AI215" s="156"/>
      <c r="AJ215" s="156"/>
    </row>
    <row r="216" ht="15.75" customHeight="1">
      <c r="A216" s="150"/>
      <c r="B216" s="150"/>
      <c r="C216" s="150"/>
      <c r="D216" s="156"/>
      <c r="E216" s="150"/>
      <c r="F216" s="150"/>
      <c r="G216" s="150"/>
      <c r="H216" s="156"/>
      <c r="I216" s="150"/>
      <c r="J216" s="150"/>
      <c r="K216" s="155"/>
      <c r="L216" s="155"/>
      <c r="M216" s="150"/>
      <c r="N216" s="150"/>
      <c r="O216" s="155"/>
      <c r="P216" s="150"/>
      <c r="Q216" s="150"/>
      <c r="R216" s="156"/>
      <c r="S216" s="193"/>
      <c r="T216" s="156"/>
      <c r="U216" s="156"/>
      <c r="V216" s="156"/>
      <c r="W216" s="156"/>
      <c r="X216" s="156"/>
      <c r="Y216" s="156"/>
      <c r="Z216" s="156"/>
      <c r="AA216" s="156"/>
      <c r="AB216" s="156"/>
      <c r="AC216" s="156"/>
      <c r="AD216" s="156"/>
      <c r="AE216" s="156"/>
      <c r="AF216" s="156"/>
      <c r="AG216" s="156"/>
      <c r="AH216" s="156"/>
      <c r="AI216" s="156"/>
      <c r="AJ216" s="156"/>
    </row>
    <row r="217" ht="15.75" customHeight="1">
      <c r="A217" s="150"/>
      <c r="B217" s="150"/>
      <c r="C217" s="150"/>
      <c r="D217" s="156"/>
      <c r="E217" s="150"/>
      <c r="F217" s="150"/>
      <c r="G217" s="150"/>
      <c r="H217" s="156"/>
      <c r="I217" s="150"/>
      <c r="J217" s="150"/>
      <c r="K217" s="155"/>
      <c r="L217" s="155"/>
      <c r="M217" s="150"/>
      <c r="N217" s="150"/>
      <c r="O217" s="155"/>
      <c r="P217" s="150"/>
      <c r="Q217" s="150"/>
      <c r="R217" s="156"/>
      <c r="S217" s="193"/>
      <c r="T217" s="156"/>
      <c r="U217" s="156"/>
      <c r="V217" s="156"/>
      <c r="W217" s="156"/>
      <c r="X217" s="156"/>
      <c r="Y217" s="156"/>
      <c r="Z217" s="156"/>
      <c r="AA217" s="156"/>
      <c r="AB217" s="156"/>
      <c r="AC217" s="156"/>
      <c r="AD217" s="156"/>
      <c r="AE217" s="156"/>
      <c r="AF217" s="156"/>
      <c r="AG217" s="156"/>
      <c r="AH217" s="156"/>
      <c r="AI217" s="156"/>
      <c r="AJ217" s="156"/>
    </row>
    <row r="218" ht="15.75" customHeight="1">
      <c r="A218" s="150"/>
      <c r="B218" s="150"/>
      <c r="C218" s="150"/>
      <c r="D218" s="156"/>
      <c r="E218" s="150"/>
      <c r="F218" s="150"/>
      <c r="G218" s="150"/>
      <c r="H218" s="156"/>
      <c r="I218" s="150"/>
      <c r="J218" s="150"/>
      <c r="K218" s="155"/>
      <c r="L218" s="155"/>
      <c r="M218" s="150"/>
      <c r="N218" s="150"/>
      <c r="O218" s="155"/>
      <c r="P218" s="150"/>
      <c r="Q218" s="150"/>
      <c r="R218" s="156"/>
      <c r="S218" s="193"/>
      <c r="T218" s="156"/>
      <c r="U218" s="156"/>
      <c r="V218" s="156"/>
      <c r="W218" s="156"/>
      <c r="X218" s="156"/>
      <c r="Y218" s="156"/>
      <c r="Z218" s="156"/>
      <c r="AA218" s="156"/>
      <c r="AB218" s="156"/>
      <c r="AC218" s="156"/>
      <c r="AD218" s="156"/>
      <c r="AE218" s="156"/>
      <c r="AF218" s="156"/>
      <c r="AG218" s="156"/>
      <c r="AH218" s="156"/>
      <c r="AI218" s="156"/>
      <c r="AJ218" s="156"/>
    </row>
    <row r="219" ht="15.75" customHeight="1">
      <c r="A219" s="150"/>
      <c r="B219" s="150"/>
      <c r="C219" s="150"/>
      <c r="D219" s="156"/>
      <c r="E219" s="150"/>
      <c r="F219" s="150"/>
      <c r="G219" s="150"/>
      <c r="H219" s="156"/>
      <c r="I219" s="150"/>
      <c r="J219" s="150"/>
      <c r="K219" s="155"/>
      <c r="L219" s="155"/>
      <c r="M219" s="150"/>
      <c r="N219" s="150"/>
      <c r="O219" s="155"/>
      <c r="P219" s="150"/>
      <c r="Q219" s="150"/>
      <c r="R219" s="156"/>
      <c r="S219" s="193"/>
      <c r="T219" s="156"/>
      <c r="U219" s="156"/>
      <c r="V219" s="156"/>
      <c r="W219" s="156"/>
      <c r="X219" s="156"/>
      <c r="Y219" s="156"/>
      <c r="Z219" s="156"/>
      <c r="AA219" s="156"/>
      <c r="AB219" s="156"/>
      <c r="AC219" s="156"/>
      <c r="AD219" s="156"/>
      <c r="AE219" s="156"/>
      <c r="AF219" s="156"/>
      <c r="AG219" s="156"/>
      <c r="AH219" s="156"/>
      <c r="AI219" s="156"/>
      <c r="AJ219" s="156"/>
    </row>
    <row r="220" ht="15.75" customHeight="1">
      <c r="A220" s="150"/>
      <c r="B220" s="150"/>
      <c r="C220" s="150"/>
      <c r="D220" s="156"/>
      <c r="E220" s="150"/>
      <c r="F220" s="150"/>
      <c r="G220" s="150"/>
      <c r="H220" s="156"/>
      <c r="I220" s="150"/>
      <c r="J220" s="150"/>
      <c r="K220" s="155"/>
      <c r="L220" s="155"/>
      <c r="M220" s="150"/>
      <c r="N220" s="150"/>
      <c r="O220" s="155"/>
      <c r="P220" s="150"/>
      <c r="Q220" s="150"/>
      <c r="R220" s="156"/>
      <c r="S220" s="193"/>
      <c r="T220" s="156"/>
      <c r="U220" s="156"/>
      <c r="V220" s="156"/>
      <c r="W220" s="156"/>
      <c r="X220" s="156"/>
      <c r="Y220" s="156"/>
      <c r="Z220" s="156"/>
      <c r="AA220" s="156"/>
      <c r="AB220" s="156"/>
      <c r="AC220" s="156"/>
      <c r="AD220" s="156"/>
      <c r="AE220" s="156"/>
      <c r="AF220" s="156"/>
      <c r="AG220" s="156"/>
      <c r="AH220" s="156"/>
      <c r="AI220" s="156"/>
      <c r="AJ220" s="156"/>
    </row>
    <row r="221" ht="15.75" customHeight="1">
      <c r="A221" s="150"/>
      <c r="B221" s="150"/>
      <c r="C221" s="150"/>
      <c r="D221" s="156"/>
      <c r="E221" s="150"/>
      <c r="F221" s="150"/>
      <c r="G221" s="150"/>
      <c r="H221" s="156"/>
      <c r="I221" s="150"/>
      <c r="J221" s="150"/>
      <c r="K221" s="155"/>
      <c r="L221" s="155"/>
      <c r="M221" s="150"/>
      <c r="N221" s="150"/>
      <c r="O221" s="155"/>
      <c r="P221" s="150"/>
      <c r="Q221" s="150"/>
      <c r="R221" s="156"/>
      <c r="S221" s="193"/>
      <c r="T221" s="156"/>
      <c r="U221" s="156"/>
      <c r="V221" s="156"/>
      <c r="W221" s="156"/>
      <c r="X221" s="156"/>
      <c r="Y221" s="156"/>
      <c r="Z221" s="156"/>
      <c r="AA221" s="156"/>
      <c r="AB221" s="156"/>
      <c r="AC221" s="156"/>
      <c r="AD221" s="156"/>
      <c r="AE221" s="156"/>
      <c r="AF221" s="156"/>
      <c r="AG221" s="156"/>
      <c r="AH221" s="156"/>
      <c r="AI221" s="156"/>
      <c r="AJ221" s="156"/>
    </row>
    <row r="222" ht="15.75" customHeight="1">
      <c r="A222" s="150"/>
      <c r="B222" s="150"/>
      <c r="C222" s="150"/>
      <c r="D222" s="156"/>
      <c r="E222" s="150"/>
      <c r="F222" s="150"/>
      <c r="G222" s="150"/>
      <c r="H222" s="156"/>
      <c r="I222" s="150"/>
      <c r="J222" s="150"/>
      <c r="K222" s="155"/>
      <c r="L222" s="155"/>
      <c r="M222" s="150"/>
      <c r="N222" s="150"/>
      <c r="O222" s="155"/>
      <c r="P222" s="150"/>
      <c r="Q222" s="150"/>
      <c r="R222" s="156"/>
      <c r="S222" s="193"/>
      <c r="T222" s="156"/>
      <c r="U222" s="156"/>
      <c r="V222" s="156"/>
      <c r="W222" s="156"/>
      <c r="X222" s="156"/>
      <c r="Y222" s="156"/>
      <c r="Z222" s="156"/>
      <c r="AA222" s="156"/>
      <c r="AB222" s="156"/>
      <c r="AC222" s="156"/>
      <c r="AD222" s="156"/>
      <c r="AE222" s="156"/>
      <c r="AF222" s="156"/>
      <c r="AG222" s="156"/>
      <c r="AH222" s="156"/>
      <c r="AI222" s="156"/>
      <c r="AJ222" s="156"/>
    </row>
    <row r="223" ht="15.75" customHeight="1">
      <c r="A223" s="150"/>
      <c r="B223" s="150"/>
      <c r="C223" s="150"/>
      <c r="D223" s="156"/>
      <c r="E223" s="150"/>
      <c r="F223" s="150"/>
      <c r="G223" s="150"/>
      <c r="H223" s="156"/>
      <c r="I223" s="150"/>
      <c r="J223" s="150"/>
      <c r="K223" s="155"/>
      <c r="L223" s="155"/>
      <c r="M223" s="150"/>
      <c r="N223" s="150"/>
      <c r="O223" s="155"/>
      <c r="P223" s="150"/>
      <c r="Q223" s="150"/>
      <c r="R223" s="156"/>
      <c r="S223" s="193"/>
      <c r="T223" s="156"/>
      <c r="U223" s="156"/>
      <c r="V223" s="156"/>
      <c r="W223" s="156"/>
      <c r="X223" s="156"/>
      <c r="Y223" s="156"/>
      <c r="Z223" s="156"/>
      <c r="AA223" s="156"/>
      <c r="AB223" s="156"/>
      <c r="AC223" s="156"/>
      <c r="AD223" s="156"/>
      <c r="AE223" s="156"/>
      <c r="AF223" s="156"/>
      <c r="AG223" s="156"/>
      <c r="AH223" s="156"/>
      <c r="AI223" s="156"/>
      <c r="AJ223" s="156"/>
    </row>
    <row r="224" ht="15.75" customHeight="1">
      <c r="A224" s="150"/>
      <c r="B224" s="150"/>
      <c r="C224" s="150"/>
      <c r="D224" s="156"/>
      <c r="E224" s="150"/>
      <c r="F224" s="150"/>
      <c r="G224" s="150"/>
      <c r="H224" s="156"/>
      <c r="I224" s="150"/>
      <c r="J224" s="150"/>
      <c r="K224" s="155"/>
      <c r="L224" s="155"/>
      <c r="M224" s="150"/>
      <c r="N224" s="150"/>
      <c r="O224" s="155"/>
      <c r="P224" s="150"/>
      <c r="Q224" s="150"/>
      <c r="R224" s="156"/>
      <c r="S224" s="193"/>
      <c r="T224" s="156"/>
      <c r="U224" s="156"/>
      <c r="V224" s="156"/>
      <c r="W224" s="156"/>
      <c r="X224" s="156"/>
      <c r="Y224" s="156"/>
      <c r="Z224" s="156"/>
      <c r="AA224" s="156"/>
      <c r="AB224" s="156"/>
      <c r="AC224" s="156"/>
      <c r="AD224" s="156"/>
      <c r="AE224" s="156"/>
      <c r="AF224" s="156"/>
      <c r="AG224" s="156"/>
      <c r="AH224" s="156"/>
      <c r="AI224" s="156"/>
      <c r="AJ224" s="156"/>
    </row>
    <row r="225" ht="15.75" customHeight="1">
      <c r="A225" s="150"/>
      <c r="B225" s="150"/>
      <c r="C225" s="150"/>
      <c r="D225" s="156"/>
      <c r="E225" s="150"/>
      <c r="F225" s="150"/>
      <c r="G225" s="150"/>
      <c r="H225" s="156"/>
      <c r="I225" s="150"/>
      <c r="J225" s="150"/>
      <c r="K225" s="155"/>
      <c r="L225" s="155"/>
      <c r="M225" s="150"/>
      <c r="N225" s="150"/>
      <c r="O225" s="155"/>
      <c r="P225" s="150"/>
      <c r="Q225" s="150"/>
      <c r="R225" s="156"/>
      <c r="S225" s="193"/>
      <c r="T225" s="156"/>
      <c r="U225" s="156"/>
      <c r="V225" s="156"/>
      <c r="W225" s="156"/>
      <c r="X225" s="156"/>
      <c r="Y225" s="156"/>
      <c r="Z225" s="156"/>
      <c r="AA225" s="156"/>
      <c r="AB225" s="156"/>
      <c r="AC225" s="156"/>
      <c r="AD225" s="156"/>
      <c r="AE225" s="156"/>
      <c r="AF225" s="156"/>
      <c r="AG225" s="156"/>
      <c r="AH225" s="156"/>
      <c r="AI225" s="156"/>
      <c r="AJ225" s="156"/>
    </row>
    <row r="226" ht="15.75" customHeight="1">
      <c r="A226" s="150"/>
      <c r="B226" s="150"/>
      <c r="C226" s="150"/>
      <c r="D226" s="156"/>
      <c r="E226" s="150"/>
      <c r="F226" s="150"/>
      <c r="G226" s="150"/>
      <c r="H226" s="156"/>
      <c r="I226" s="150"/>
      <c r="J226" s="150"/>
      <c r="K226" s="155"/>
      <c r="L226" s="155"/>
      <c r="M226" s="150"/>
      <c r="N226" s="150"/>
      <c r="O226" s="155"/>
      <c r="P226" s="150"/>
      <c r="Q226" s="150"/>
      <c r="R226" s="156"/>
      <c r="S226" s="193"/>
      <c r="T226" s="156"/>
      <c r="U226" s="156"/>
      <c r="V226" s="156"/>
      <c r="W226" s="156"/>
      <c r="X226" s="156"/>
      <c r="Y226" s="156"/>
      <c r="Z226" s="156"/>
      <c r="AA226" s="156"/>
      <c r="AB226" s="156"/>
      <c r="AC226" s="156"/>
      <c r="AD226" s="156"/>
      <c r="AE226" s="156"/>
      <c r="AF226" s="156"/>
      <c r="AG226" s="156"/>
      <c r="AH226" s="156"/>
      <c r="AI226" s="156"/>
      <c r="AJ226" s="156"/>
    </row>
    <row r="227" ht="15.75" customHeight="1">
      <c r="A227" s="150"/>
      <c r="B227" s="150"/>
      <c r="C227" s="150"/>
      <c r="D227" s="156"/>
      <c r="E227" s="150"/>
      <c r="F227" s="150"/>
      <c r="G227" s="150"/>
      <c r="H227" s="156"/>
      <c r="I227" s="150"/>
      <c r="J227" s="150"/>
      <c r="K227" s="155"/>
      <c r="L227" s="155"/>
      <c r="M227" s="150"/>
      <c r="N227" s="150"/>
      <c r="O227" s="155"/>
      <c r="P227" s="150"/>
      <c r="Q227" s="150"/>
      <c r="R227" s="156"/>
      <c r="S227" s="193"/>
      <c r="T227" s="156"/>
      <c r="U227" s="156"/>
      <c r="V227" s="156"/>
      <c r="W227" s="156"/>
      <c r="X227" s="156"/>
      <c r="Y227" s="156"/>
      <c r="Z227" s="156"/>
      <c r="AA227" s="156"/>
      <c r="AB227" s="156"/>
      <c r="AC227" s="156"/>
      <c r="AD227" s="156"/>
      <c r="AE227" s="156"/>
      <c r="AF227" s="156"/>
      <c r="AG227" s="156"/>
      <c r="AH227" s="156"/>
      <c r="AI227" s="156"/>
      <c r="AJ227" s="156"/>
    </row>
    <row r="228" ht="15.75" customHeight="1">
      <c r="A228" s="150"/>
      <c r="B228" s="150"/>
      <c r="C228" s="150"/>
      <c r="D228" s="156"/>
      <c r="E228" s="150"/>
      <c r="F228" s="150"/>
      <c r="G228" s="150"/>
      <c r="H228" s="156"/>
      <c r="I228" s="150"/>
      <c r="J228" s="150"/>
      <c r="K228" s="155"/>
      <c r="L228" s="155"/>
      <c r="M228" s="150"/>
      <c r="N228" s="150"/>
      <c r="O228" s="155"/>
      <c r="P228" s="150"/>
      <c r="Q228" s="150"/>
      <c r="R228" s="156"/>
      <c r="S228" s="193"/>
      <c r="T228" s="156"/>
      <c r="U228" s="156"/>
      <c r="V228" s="156"/>
      <c r="W228" s="156"/>
      <c r="X228" s="156"/>
      <c r="Y228" s="156"/>
      <c r="Z228" s="156"/>
      <c r="AA228" s="156"/>
      <c r="AB228" s="156"/>
      <c r="AC228" s="156"/>
      <c r="AD228" s="156"/>
      <c r="AE228" s="156"/>
      <c r="AF228" s="156"/>
      <c r="AG228" s="156"/>
      <c r="AH228" s="156"/>
      <c r="AI228" s="156"/>
      <c r="AJ228" s="156"/>
    </row>
    <row r="229" ht="15.75" customHeight="1">
      <c r="A229" s="150"/>
      <c r="B229" s="150"/>
      <c r="C229" s="150"/>
      <c r="D229" s="156"/>
      <c r="E229" s="150"/>
      <c r="F229" s="150"/>
      <c r="G229" s="150"/>
      <c r="H229" s="156"/>
      <c r="I229" s="150"/>
      <c r="J229" s="150"/>
      <c r="K229" s="155"/>
      <c r="L229" s="155"/>
      <c r="M229" s="150"/>
      <c r="N229" s="150"/>
      <c r="O229" s="155"/>
      <c r="P229" s="150"/>
      <c r="Q229" s="150"/>
      <c r="R229" s="156"/>
      <c r="S229" s="193"/>
      <c r="T229" s="156"/>
      <c r="U229" s="156"/>
      <c r="V229" s="156"/>
      <c r="W229" s="156"/>
      <c r="X229" s="156"/>
      <c r="Y229" s="156"/>
      <c r="Z229" s="156"/>
      <c r="AA229" s="156"/>
      <c r="AB229" s="156"/>
      <c r="AC229" s="156"/>
      <c r="AD229" s="156"/>
      <c r="AE229" s="156"/>
      <c r="AF229" s="156"/>
      <c r="AG229" s="156"/>
      <c r="AH229" s="156"/>
      <c r="AI229" s="156"/>
      <c r="AJ229" s="156"/>
    </row>
    <row r="230" ht="15.75" customHeight="1">
      <c r="A230" s="150"/>
      <c r="B230" s="150"/>
      <c r="C230" s="150"/>
      <c r="D230" s="156"/>
      <c r="E230" s="150"/>
      <c r="F230" s="150"/>
      <c r="G230" s="150"/>
      <c r="H230" s="156"/>
      <c r="I230" s="150"/>
      <c r="J230" s="150"/>
      <c r="K230" s="155"/>
      <c r="L230" s="155"/>
      <c r="M230" s="150"/>
      <c r="N230" s="150"/>
      <c r="O230" s="155"/>
      <c r="P230" s="150"/>
      <c r="Q230" s="150"/>
      <c r="R230" s="156"/>
      <c r="S230" s="193"/>
      <c r="T230" s="156"/>
      <c r="U230" s="156"/>
      <c r="V230" s="156"/>
      <c r="W230" s="156"/>
      <c r="X230" s="156"/>
      <c r="Y230" s="156"/>
      <c r="Z230" s="156"/>
      <c r="AA230" s="156"/>
      <c r="AB230" s="156"/>
      <c r="AC230" s="156"/>
      <c r="AD230" s="156"/>
      <c r="AE230" s="156"/>
      <c r="AF230" s="156"/>
      <c r="AG230" s="156"/>
      <c r="AH230" s="156"/>
      <c r="AI230" s="156"/>
      <c r="AJ230" s="156"/>
    </row>
    <row r="231" ht="15.75" customHeight="1">
      <c r="A231" s="150"/>
      <c r="B231" s="150"/>
      <c r="C231" s="150"/>
      <c r="D231" s="156"/>
      <c r="E231" s="150"/>
      <c r="F231" s="150"/>
      <c r="G231" s="150"/>
      <c r="H231" s="156"/>
      <c r="I231" s="150"/>
      <c r="J231" s="150"/>
      <c r="K231" s="155"/>
      <c r="L231" s="155"/>
      <c r="M231" s="150"/>
      <c r="N231" s="150"/>
      <c r="O231" s="155"/>
      <c r="P231" s="150"/>
      <c r="Q231" s="150"/>
      <c r="R231" s="156"/>
      <c r="S231" s="193"/>
      <c r="T231" s="156"/>
      <c r="U231" s="156"/>
      <c r="V231" s="156"/>
      <c r="W231" s="156"/>
      <c r="X231" s="156"/>
      <c r="Y231" s="156"/>
      <c r="Z231" s="156"/>
      <c r="AA231" s="156"/>
      <c r="AB231" s="156"/>
      <c r="AC231" s="156"/>
      <c r="AD231" s="156"/>
      <c r="AE231" s="156"/>
      <c r="AF231" s="156"/>
      <c r="AG231" s="156"/>
      <c r="AH231" s="156"/>
      <c r="AI231" s="156"/>
      <c r="AJ231" s="156"/>
    </row>
    <row r="232" ht="15.75" customHeight="1">
      <c r="A232" s="150"/>
      <c r="B232" s="150"/>
      <c r="C232" s="150"/>
      <c r="D232" s="156"/>
      <c r="E232" s="150"/>
      <c r="F232" s="150"/>
      <c r="G232" s="150"/>
      <c r="H232" s="156"/>
      <c r="I232" s="150"/>
      <c r="J232" s="150"/>
      <c r="K232" s="155"/>
      <c r="L232" s="155"/>
      <c r="M232" s="150"/>
      <c r="N232" s="150"/>
      <c r="O232" s="155"/>
      <c r="P232" s="150"/>
      <c r="Q232" s="150"/>
      <c r="R232" s="156"/>
      <c r="S232" s="193"/>
      <c r="T232" s="156"/>
      <c r="U232" s="156"/>
      <c r="V232" s="156"/>
      <c r="W232" s="156"/>
      <c r="X232" s="156"/>
      <c r="Y232" s="156"/>
      <c r="Z232" s="156"/>
      <c r="AA232" s="156"/>
      <c r="AB232" s="156"/>
      <c r="AC232" s="156"/>
      <c r="AD232" s="156"/>
      <c r="AE232" s="156"/>
      <c r="AF232" s="156"/>
      <c r="AG232" s="156"/>
      <c r="AH232" s="156"/>
      <c r="AI232" s="156"/>
      <c r="AJ232" s="156"/>
    </row>
    <row r="233" ht="15.75" customHeight="1">
      <c r="A233" s="150"/>
      <c r="B233" s="150"/>
      <c r="C233" s="150"/>
      <c r="D233" s="156"/>
      <c r="E233" s="150"/>
      <c r="F233" s="150"/>
      <c r="G233" s="150"/>
      <c r="H233" s="156"/>
      <c r="I233" s="150"/>
      <c r="J233" s="150"/>
      <c r="K233" s="155"/>
      <c r="L233" s="155"/>
      <c r="M233" s="150"/>
      <c r="N233" s="150"/>
      <c r="O233" s="155"/>
      <c r="P233" s="150"/>
      <c r="Q233" s="150"/>
      <c r="R233" s="156"/>
      <c r="S233" s="193"/>
      <c r="T233" s="156"/>
      <c r="U233" s="156"/>
      <c r="V233" s="156"/>
      <c r="W233" s="156"/>
      <c r="X233" s="156"/>
      <c r="Y233" s="156"/>
      <c r="Z233" s="156"/>
      <c r="AA233" s="156"/>
      <c r="AB233" s="156"/>
      <c r="AC233" s="156"/>
      <c r="AD233" s="156"/>
      <c r="AE233" s="156"/>
      <c r="AF233" s="156"/>
      <c r="AG233" s="156"/>
      <c r="AH233" s="156"/>
      <c r="AI233" s="156"/>
      <c r="AJ233" s="156"/>
    </row>
    <row r="234" ht="15.75" customHeight="1">
      <c r="A234" s="150"/>
      <c r="B234" s="150"/>
      <c r="C234" s="150"/>
      <c r="D234" s="156"/>
      <c r="E234" s="150"/>
      <c r="F234" s="150"/>
      <c r="G234" s="150"/>
      <c r="H234" s="156"/>
      <c r="I234" s="150"/>
      <c r="J234" s="150"/>
      <c r="K234" s="155"/>
      <c r="L234" s="155"/>
      <c r="M234" s="150"/>
      <c r="N234" s="150"/>
      <c r="O234" s="155"/>
      <c r="P234" s="150"/>
      <c r="Q234" s="150"/>
      <c r="R234" s="156"/>
      <c r="S234" s="193"/>
      <c r="T234" s="156"/>
      <c r="U234" s="156"/>
      <c r="V234" s="156"/>
      <c r="W234" s="156"/>
      <c r="X234" s="156"/>
      <c r="Y234" s="156"/>
      <c r="Z234" s="156"/>
      <c r="AA234" s="156"/>
      <c r="AB234" s="156"/>
      <c r="AC234" s="156"/>
      <c r="AD234" s="156"/>
      <c r="AE234" s="156"/>
      <c r="AF234" s="156"/>
      <c r="AG234" s="156"/>
      <c r="AH234" s="156"/>
      <c r="AI234" s="156"/>
      <c r="AJ234" s="156"/>
    </row>
    <row r="235" ht="15.75" customHeight="1">
      <c r="A235" s="150"/>
      <c r="B235" s="150"/>
      <c r="C235" s="150"/>
      <c r="D235" s="156"/>
      <c r="E235" s="150"/>
      <c r="F235" s="150"/>
      <c r="G235" s="150"/>
      <c r="H235" s="156"/>
      <c r="I235" s="150"/>
      <c r="J235" s="150"/>
      <c r="K235" s="155"/>
      <c r="L235" s="155"/>
      <c r="M235" s="150"/>
      <c r="N235" s="150"/>
      <c r="O235" s="155"/>
      <c r="P235" s="150"/>
      <c r="Q235" s="150"/>
      <c r="R235" s="156"/>
      <c r="S235" s="193"/>
      <c r="T235" s="156"/>
      <c r="U235" s="156"/>
      <c r="V235" s="156"/>
      <c r="W235" s="156"/>
      <c r="X235" s="156"/>
      <c r="Y235" s="156"/>
      <c r="Z235" s="156"/>
      <c r="AA235" s="156"/>
      <c r="AB235" s="156"/>
      <c r="AC235" s="156"/>
      <c r="AD235" s="156"/>
      <c r="AE235" s="156"/>
      <c r="AF235" s="156"/>
      <c r="AG235" s="156"/>
      <c r="AH235" s="156"/>
      <c r="AI235" s="156"/>
      <c r="AJ235" s="156"/>
    </row>
    <row r="236" ht="15.75" customHeight="1">
      <c r="A236" s="150"/>
      <c r="B236" s="150"/>
      <c r="C236" s="150"/>
      <c r="D236" s="156"/>
      <c r="E236" s="150"/>
      <c r="F236" s="150"/>
      <c r="G236" s="150"/>
      <c r="H236" s="156"/>
      <c r="I236" s="150"/>
      <c r="J236" s="150"/>
      <c r="K236" s="155"/>
      <c r="L236" s="155"/>
      <c r="M236" s="150"/>
      <c r="N236" s="150"/>
      <c r="O236" s="155"/>
      <c r="P236" s="150"/>
      <c r="Q236" s="150"/>
      <c r="R236" s="156"/>
      <c r="S236" s="193"/>
      <c r="T236" s="156"/>
      <c r="U236" s="156"/>
      <c r="V236" s="156"/>
      <c r="W236" s="156"/>
      <c r="X236" s="156"/>
      <c r="Y236" s="156"/>
      <c r="Z236" s="156"/>
      <c r="AA236" s="156"/>
      <c r="AB236" s="156"/>
      <c r="AC236" s="156"/>
      <c r="AD236" s="156"/>
      <c r="AE236" s="156"/>
      <c r="AF236" s="156"/>
      <c r="AG236" s="156"/>
      <c r="AH236" s="156"/>
      <c r="AI236" s="156"/>
      <c r="AJ236" s="156"/>
    </row>
    <row r="237" ht="15.75" customHeight="1">
      <c r="A237" s="150"/>
      <c r="B237" s="150"/>
      <c r="C237" s="150"/>
      <c r="D237" s="156"/>
      <c r="E237" s="150"/>
      <c r="F237" s="150"/>
      <c r="G237" s="150"/>
      <c r="H237" s="156"/>
      <c r="I237" s="150"/>
      <c r="J237" s="150"/>
      <c r="K237" s="155"/>
      <c r="L237" s="155"/>
      <c r="M237" s="150"/>
      <c r="N237" s="150"/>
      <c r="O237" s="155"/>
      <c r="P237" s="150"/>
      <c r="Q237" s="150"/>
      <c r="R237" s="156"/>
      <c r="S237" s="193"/>
      <c r="T237" s="156"/>
      <c r="U237" s="156"/>
      <c r="V237" s="156"/>
      <c r="W237" s="156"/>
      <c r="X237" s="156"/>
      <c r="Y237" s="156"/>
      <c r="Z237" s="156"/>
      <c r="AA237" s="156"/>
      <c r="AB237" s="156"/>
      <c r="AC237" s="156"/>
      <c r="AD237" s="156"/>
      <c r="AE237" s="156"/>
      <c r="AF237" s="156"/>
      <c r="AG237" s="156"/>
      <c r="AH237" s="156"/>
      <c r="AI237" s="156"/>
      <c r="AJ237" s="156"/>
    </row>
    <row r="238" ht="15.75" customHeight="1">
      <c r="A238" s="150"/>
      <c r="B238" s="150"/>
      <c r="C238" s="150"/>
      <c r="D238" s="156"/>
      <c r="E238" s="150"/>
      <c r="F238" s="150"/>
      <c r="G238" s="150"/>
      <c r="H238" s="156"/>
      <c r="I238" s="150"/>
      <c r="J238" s="150"/>
      <c r="K238" s="155"/>
      <c r="L238" s="155"/>
      <c r="M238" s="150"/>
      <c r="N238" s="150"/>
      <c r="O238" s="155"/>
      <c r="P238" s="150"/>
      <c r="Q238" s="150"/>
      <c r="R238" s="156"/>
      <c r="S238" s="193"/>
      <c r="T238" s="156"/>
      <c r="U238" s="156"/>
      <c r="V238" s="156"/>
      <c r="W238" s="156"/>
      <c r="X238" s="156"/>
      <c r="Y238" s="156"/>
      <c r="Z238" s="156"/>
      <c r="AA238" s="156"/>
      <c r="AB238" s="156"/>
      <c r="AC238" s="156"/>
      <c r="AD238" s="156"/>
      <c r="AE238" s="156"/>
      <c r="AF238" s="156"/>
      <c r="AG238" s="156"/>
      <c r="AH238" s="156"/>
      <c r="AI238" s="156"/>
      <c r="AJ238" s="156"/>
    </row>
    <row r="239" ht="15.75" customHeight="1">
      <c r="A239" s="150"/>
      <c r="B239" s="150"/>
      <c r="C239" s="150"/>
      <c r="D239" s="156"/>
      <c r="E239" s="150"/>
      <c r="F239" s="150"/>
      <c r="G239" s="150"/>
      <c r="H239" s="156"/>
      <c r="I239" s="150"/>
      <c r="J239" s="150"/>
      <c r="K239" s="155"/>
      <c r="L239" s="155"/>
      <c r="M239" s="150"/>
      <c r="N239" s="150"/>
      <c r="O239" s="155"/>
      <c r="P239" s="150"/>
      <c r="Q239" s="150"/>
      <c r="R239" s="156"/>
      <c r="S239" s="193"/>
      <c r="T239" s="156"/>
      <c r="U239" s="156"/>
      <c r="V239" s="156"/>
      <c r="W239" s="156"/>
      <c r="X239" s="156"/>
      <c r="Y239" s="156"/>
      <c r="Z239" s="156"/>
      <c r="AA239" s="156"/>
      <c r="AB239" s="156"/>
      <c r="AC239" s="156"/>
      <c r="AD239" s="156"/>
      <c r="AE239" s="156"/>
      <c r="AF239" s="156"/>
      <c r="AG239" s="156"/>
      <c r="AH239" s="156"/>
      <c r="AI239" s="156"/>
      <c r="AJ239" s="156"/>
    </row>
    <row r="240" ht="15.75" customHeight="1">
      <c r="A240" s="150"/>
      <c r="B240" s="150"/>
      <c r="C240" s="150"/>
      <c r="D240" s="156"/>
      <c r="E240" s="150"/>
      <c r="F240" s="150"/>
      <c r="G240" s="150"/>
      <c r="H240" s="156"/>
      <c r="I240" s="150"/>
      <c r="J240" s="150"/>
      <c r="K240" s="155"/>
      <c r="L240" s="155"/>
      <c r="M240" s="150"/>
      <c r="N240" s="150"/>
      <c r="O240" s="155"/>
      <c r="P240" s="150"/>
      <c r="Q240" s="150"/>
      <c r="R240" s="156"/>
      <c r="S240" s="193"/>
      <c r="T240" s="156"/>
      <c r="U240" s="156"/>
      <c r="V240" s="156"/>
      <c r="W240" s="156"/>
      <c r="X240" s="156"/>
      <c r="Y240" s="156"/>
      <c r="Z240" s="156"/>
      <c r="AA240" s="156"/>
      <c r="AB240" s="156"/>
      <c r="AC240" s="156"/>
      <c r="AD240" s="156"/>
      <c r="AE240" s="156"/>
      <c r="AF240" s="156"/>
      <c r="AG240" s="156"/>
      <c r="AH240" s="156"/>
      <c r="AI240" s="156"/>
      <c r="AJ240" s="156"/>
    </row>
    <row r="241" ht="15.75" customHeight="1">
      <c r="A241" s="150"/>
      <c r="B241" s="150"/>
      <c r="C241" s="150"/>
      <c r="D241" s="156"/>
      <c r="E241" s="150"/>
      <c r="F241" s="150"/>
      <c r="G241" s="150"/>
      <c r="H241" s="156"/>
      <c r="I241" s="150"/>
      <c r="J241" s="150"/>
      <c r="K241" s="155"/>
      <c r="L241" s="155"/>
      <c r="M241" s="150"/>
      <c r="N241" s="150"/>
      <c r="O241" s="155"/>
      <c r="P241" s="150"/>
      <c r="Q241" s="150"/>
      <c r="R241" s="156"/>
      <c r="S241" s="193"/>
      <c r="T241" s="156"/>
      <c r="U241" s="156"/>
      <c r="V241" s="156"/>
      <c r="W241" s="156"/>
      <c r="X241" s="156"/>
      <c r="Y241" s="156"/>
      <c r="Z241" s="156"/>
      <c r="AA241" s="156"/>
      <c r="AB241" s="156"/>
      <c r="AC241" s="156"/>
      <c r="AD241" s="156"/>
      <c r="AE241" s="156"/>
      <c r="AF241" s="156"/>
      <c r="AG241" s="156"/>
      <c r="AH241" s="156"/>
      <c r="AI241" s="156"/>
      <c r="AJ241" s="156"/>
    </row>
    <row r="242" ht="15.75" customHeight="1">
      <c r="A242" s="91"/>
      <c r="E242" s="91"/>
      <c r="H242" s="91"/>
      <c r="I242" s="91"/>
      <c r="M242" s="91"/>
      <c r="N242" s="91"/>
    </row>
    <row r="243" ht="15.75" customHeight="1">
      <c r="A243" s="91"/>
      <c r="E243" s="91"/>
      <c r="H243" s="91"/>
      <c r="I243" s="91"/>
      <c r="M243" s="91"/>
      <c r="N243" s="91"/>
    </row>
    <row r="244" ht="15.75" customHeight="1">
      <c r="A244" s="91"/>
      <c r="E244" s="91"/>
      <c r="H244" s="91"/>
      <c r="I244" s="91"/>
      <c r="M244" s="91"/>
      <c r="N244" s="91"/>
    </row>
    <row r="245" ht="15.75" customHeight="1">
      <c r="A245" s="91"/>
      <c r="E245" s="91"/>
      <c r="H245" s="91"/>
      <c r="I245" s="91"/>
      <c r="M245" s="91"/>
      <c r="N245" s="91"/>
    </row>
    <row r="246" ht="15.75" customHeight="1">
      <c r="A246" s="91"/>
      <c r="E246" s="91"/>
      <c r="H246" s="91"/>
      <c r="I246" s="91"/>
      <c r="M246" s="91"/>
      <c r="N246" s="91"/>
    </row>
    <row r="247" ht="15.75" customHeight="1">
      <c r="A247" s="91"/>
      <c r="E247" s="91"/>
      <c r="H247" s="91"/>
      <c r="I247" s="91"/>
      <c r="M247" s="91"/>
      <c r="N247" s="91"/>
    </row>
    <row r="248" ht="15.75" customHeight="1">
      <c r="A248" s="91"/>
      <c r="E248" s="91"/>
      <c r="H248" s="91"/>
      <c r="I248" s="91"/>
      <c r="M248" s="91"/>
      <c r="N248" s="91"/>
    </row>
    <row r="249" ht="15.75" customHeight="1">
      <c r="A249" s="91"/>
      <c r="E249" s="91"/>
      <c r="H249" s="91"/>
      <c r="I249" s="91"/>
      <c r="M249" s="91"/>
      <c r="N249" s="91"/>
    </row>
    <row r="250" ht="15.75" customHeight="1">
      <c r="A250" s="91"/>
      <c r="E250" s="91"/>
      <c r="H250" s="91"/>
      <c r="I250" s="91"/>
      <c r="M250" s="91"/>
      <c r="N250" s="91"/>
    </row>
    <row r="251" ht="15.75" customHeight="1">
      <c r="A251" s="91"/>
      <c r="E251" s="91"/>
      <c r="H251" s="91"/>
      <c r="I251" s="91"/>
      <c r="M251" s="91"/>
      <c r="N251" s="91"/>
    </row>
    <row r="252" ht="15.75" customHeight="1">
      <c r="A252" s="91"/>
      <c r="E252" s="91"/>
      <c r="H252" s="91"/>
      <c r="I252" s="91"/>
      <c r="M252" s="91"/>
      <c r="N252" s="91"/>
    </row>
    <row r="253" ht="15.75" customHeight="1">
      <c r="A253" s="91"/>
      <c r="E253" s="91"/>
      <c r="H253" s="91"/>
      <c r="I253" s="91"/>
      <c r="M253" s="91"/>
      <c r="N253" s="91"/>
    </row>
    <row r="254" ht="15.75" customHeight="1">
      <c r="A254" s="91"/>
      <c r="E254" s="91"/>
      <c r="H254" s="91"/>
      <c r="I254" s="91"/>
      <c r="M254" s="91"/>
      <c r="N254" s="91"/>
    </row>
    <row r="255" ht="15.75" customHeight="1">
      <c r="A255" s="91"/>
      <c r="E255" s="91"/>
      <c r="H255" s="91"/>
      <c r="I255" s="91"/>
      <c r="M255" s="91"/>
      <c r="N255" s="91"/>
    </row>
    <row r="256" ht="15.75" customHeight="1">
      <c r="A256" s="91"/>
      <c r="E256" s="91"/>
      <c r="H256" s="91"/>
      <c r="I256" s="91"/>
      <c r="M256" s="91"/>
      <c r="N256" s="91"/>
    </row>
    <row r="257" ht="15.75" customHeight="1">
      <c r="A257" s="91"/>
      <c r="E257" s="91"/>
      <c r="H257" s="91"/>
      <c r="I257" s="91"/>
      <c r="M257" s="91"/>
      <c r="N257" s="91"/>
    </row>
    <row r="258" ht="15.75" customHeight="1">
      <c r="A258" s="91"/>
      <c r="E258" s="91"/>
      <c r="H258" s="91"/>
      <c r="I258" s="91"/>
      <c r="M258" s="91"/>
      <c r="N258" s="91"/>
    </row>
    <row r="259" ht="15.75" customHeight="1">
      <c r="A259" s="91"/>
      <c r="E259" s="91"/>
      <c r="H259" s="91"/>
      <c r="I259" s="91"/>
      <c r="M259" s="91"/>
      <c r="N259" s="91"/>
    </row>
    <row r="260" ht="15.75" customHeight="1">
      <c r="A260" s="91"/>
      <c r="E260" s="91"/>
      <c r="H260" s="91"/>
      <c r="I260" s="91"/>
      <c r="M260" s="91"/>
      <c r="N260" s="91"/>
    </row>
    <row r="261" ht="15.75" customHeight="1">
      <c r="A261" s="91"/>
      <c r="E261" s="91"/>
      <c r="H261" s="91"/>
      <c r="I261" s="91"/>
      <c r="M261" s="91"/>
      <c r="N261" s="91"/>
    </row>
    <row r="262" ht="15.75" customHeight="1">
      <c r="A262" s="91"/>
      <c r="E262" s="91"/>
      <c r="H262" s="91"/>
      <c r="I262" s="91"/>
      <c r="M262" s="91"/>
      <c r="N262" s="91"/>
    </row>
    <row r="263" ht="15.75" customHeight="1">
      <c r="A263" s="91"/>
      <c r="E263" s="91"/>
      <c r="H263" s="91"/>
      <c r="I263" s="91"/>
      <c r="M263" s="91"/>
      <c r="N263" s="91"/>
    </row>
    <row r="264" ht="15.75" customHeight="1">
      <c r="A264" s="91"/>
      <c r="E264" s="91"/>
      <c r="H264" s="91"/>
      <c r="I264" s="91"/>
      <c r="M264" s="91"/>
      <c r="N264" s="91"/>
    </row>
    <row r="265" ht="15.75" customHeight="1">
      <c r="A265" s="91"/>
      <c r="E265" s="91"/>
      <c r="H265" s="91"/>
      <c r="I265" s="91"/>
      <c r="M265" s="91"/>
      <c r="N265" s="91"/>
    </row>
    <row r="266" ht="15.75" customHeight="1">
      <c r="A266" s="91"/>
      <c r="E266" s="91"/>
      <c r="H266" s="91"/>
      <c r="I266" s="91"/>
      <c r="M266" s="91"/>
      <c r="N266" s="91"/>
    </row>
    <row r="267" ht="15.75" customHeight="1">
      <c r="A267" s="91"/>
      <c r="E267" s="91"/>
      <c r="H267" s="91"/>
      <c r="I267" s="91"/>
      <c r="M267" s="91"/>
      <c r="N267" s="91"/>
    </row>
    <row r="268" ht="15.75" customHeight="1">
      <c r="A268" s="91"/>
      <c r="E268" s="91"/>
      <c r="H268" s="91"/>
      <c r="I268" s="91"/>
      <c r="M268" s="91"/>
      <c r="N268" s="91"/>
    </row>
    <row r="269" ht="15.75" customHeight="1">
      <c r="A269" s="91"/>
      <c r="E269" s="91"/>
      <c r="H269" s="91"/>
      <c r="I269" s="91"/>
      <c r="M269" s="91"/>
      <c r="N269" s="91"/>
    </row>
    <row r="270" ht="15.75" customHeight="1">
      <c r="A270" s="91"/>
      <c r="E270" s="91"/>
      <c r="H270" s="91"/>
      <c r="I270" s="91"/>
      <c r="M270" s="91"/>
      <c r="N270" s="91"/>
    </row>
    <row r="271" ht="15.75" customHeight="1">
      <c r="A271" s="91"/>
      <c r="E271" s="91"/>
      <c r="H271" s="91"/>
      <c r="I271" s="91"/>
      <c r="M271" s="91"/>
      <c r="N271" s="91"/>
    </row>
    <row r="272" ht="15.75" customHeight="1">
      <c r="A272" s="91"/>
      <c r="E272" s="91"/>
      <c r="H272" s="91"/>
      <c r="I272" s="91"/>
      <c r="M272" s="91"/>
      <c r="N272" s="91"/>
    </row>
    <row r="273" ht="15.75" customHeight="1">
      <c r="A273" s="91"/>
      <c r="E273" s="91"/>
      <c r="H273" s="91"/>
      <c r="I273" s="91"/>
      <c r="M273" s="91"/>
      <c r="N273" s="91"/>
    </row>
    <row r="274" ht="15.75" customHeight="1">
      <c r="A274" s="91"/>
      <c r="E274" s="91"/>
      <c r="H274" s="91"/>
      <c r="I274" s="91"/>
      <c r="M274" s="91"/>
      <c r="N274" s="91"/>
    </row>
    <row r="275" ht="15.75" customHeight="1">
      <c r="A275" s="91"/>
      <c r="E275" s="91"/>
      <c r="H275" s="91"/>
      <c r="I275" s="91"/>
      <c r="M275" s="91"/>
      <c r="N275" s="91"/>
    </row>
    <row r="276" ht="15.75" customHeight="1">
      <c r="A276" s="91"/>
      <c r="E276" s="91"/>
      <c r="H276" s="91"/>
      <c r="I276" s="91"/>
      <c r="M276" s="91"/>
      <c r="N276" s="91"/>
    </row>
    <row r="277" ht="15.75" customHeight="1">
      <c r="A277" s="91"/>
      <c r="E277" s="91"/>
      <c r="H277" s="91"/>
      <c r="I277" s="91"/>
      <c r="M277" s="91"/>
      <c r="N277" s="91"/>
    </row>
    <row r="278" ht="15.75" customHeight="1">
      <c r="A278" s="91"/>
      <c r="E278" s="91"/>
      <c r="H278" s="91"/>
      <c r="I278" s="91"/>
      <c r="M278" s="91"/>
      <c r="N278" s="91"/>
    </row>
    <row r="279" ht="15.75" customHeight="1">
      <c r="A279" s="91"/>
      <c r="E279" s="91"/>
      <c r="H279" s="91"/>
      <c r="I279" s="91"/>
      <c r="M279" s="91"/>
      <c r="N279" s="91"/>
    </row>
    <row r="280" ht="15.75" customHeight="1">
      <c r="A280" s="91"/>
      <c r="E280" s="91"/>
      <c r="H280" s="91"/>
      <c r="I280" s="91"/>
      <c r="M280" s="91"/>
      <c r="N280" s="91"/>
    </row>
    <row r="281" ht="15.75" customHeight="1">
      <c r="A281" s="91"/>
      <c r="E281" s="91"/>
      <c r="H281" s="91"/>
      <c r="I281" s="91"/>
      <c r="M281" s="91"/>
      <c r="N281" s="91"/>
    </row>
    <row r="282" ht="15.75" customHeight="1">
      <c r="A282" s="91"/>
      <c r="E282" s="91"/>
      <c r="H282" s="91"/>
      <c r="I282" s="91"/>
      <c r="M282" s="91"/>
      <c r="N282" s="91"/>
    </row>
    <row r="283" ht="15.75" customHeight="1">
      <c r="A283" s="91"/>
      <c r="E283" s="91"/>
      <c r="H283" s="91"/>
      <c r="I283" s="91"/>
      <c r="M283" s="91"/>
      <c r="N283" s="91"/>
    </row>
    <row r="284" ht="15.75" customHeight="1">
      <c r="A284" s="91"/>
      <c r="E284" s="91"/>
      <c r="H284" s="91"/>
      <c r="I284" s="91"/>
      <c r="M284" s="91"/>
      <c r="N284" s="91"/>
    </row>
    <row r="285" ht="15.75" customHeight="1">
      <c r="A285" s="91"/>
      <c r="E285" s="91"/>
      <c r="H285" s="91"/>
      <c r="I285" s="91"/>
      <c r="M285" s="91"/>
      <c r="N285" s="91"/>
    </row>
    <row r="286" ht="15.75" customHeight="1">
      <c r="A286" s="91"/>
      <c r="E286" s="91"/>
      <c r="H286" s="91"/>
      <c r="I286" s="91"/>
      <c r="M286" s="91"/>
      <c r="N286" s="91"/>
    </row>
    <row r="287" ht="15.75" customHeight="1">
      <c r="A287" s="91"/>
      <c r="E287" s="91"/>
      <c r="H287" s="91"/>
      <c r="I287" s="91"/>
      <c r="M287" s="91"/>
      <c r="N287" s="91"/>
    </row>
    <row r="288" ht="15.75" customHeight="1">
      <c r="A288" s="91"/>
      <c r="E288" s="91"/>
      <c r="H288" s="91"/>
      <c r="I288" s="91"/>
      <c r="M288" s="91"/>
      <c r="N288" s="91"/>
    </row>
    <row r="289" ht="15.75" customHeight="1">
      <c r="A289" s="91"/>
      <c r="E289" s="91"/>
      <c r="H289" s="91"/>
      <c r="I289" s="91"/>
      <c r="M289" s="91"/>
      <c r="N289" s="91"/>
    </row>
    <row r="290" ht="15.75" customHeight="1">
      <c r="A290" s="91"/>
      <c r="E290" s="91"/>
      <c r="H290" s="91"/>
      <c r="I290" s="91"/>
      <c r="M290" s="91"/>
      <c r="N290" s="91"/>
    </row>
    <row r="291" ht="15.75" customHeight="1">
      <c r="A291" s="91"/>
      <c r="E291" s="91"/>
      <c r="H291" s="91"/>
      <c r="I291" s="91"/>
      <c r="M291" s="91"/>
      <c r="N291" s="91"/>
    </row>
    <row r="292" ht="15.75" customHeight="1">
      <c r="A292" s="91"/>
      <c r="E292" s="91"/>
      <c r="H292" s="91"/>
      <c r="I292" s="91"/>
      <c r="M292" s="91"/>
      <c r="N292" s="91"/>
    </row>
    <row r="293" ht="15.75" customHeight="1">
      <c r="A293" s="91"/>
      <c r="E293" s="91"/>
      <c r="H293" s="91"/>
      <c r="I293" s="91"/>
      <c r="M293" s="91"/>
      <c r="N293" s="91"/>
    </row>
    <row r="294" ht="15.75" customHeight="1">
      <c r="A294" s="91"/>
      <c r="E294" s="91"/>
      <c r="H294" s="91"/>
      <c r="I294" s="91"/>
      <c r="M294" s="91"/>
      <c r="N294" s="91"/>
    </row>
    <row r="295" ht="15.75" customHeight="1">
      <c r="A295" s="91"/>
      <c r="E295" s="91"/>
      <c r="H295" s="91"/>
      <c r="I295" s="91"/>
      <c r="M295" s="91"/>
      <c r="N295" s="91"/>
    </row>
    <row r="296" ht="15.75" customHeight="1">
      <c r="A296" s="91"/>
      <c r="E296" s="91"/>
      <c r="H296" s="91"/>
      <c r="I296" s="91"/>
      <c r="M296" s="91"/>
      <c r="N296" s="91"/>
    </row>
    <row r="297" ht="15.75" customHeight="1">
      <c r="A297" s="91"/>
      <c r="E297" s="91"/>
      <c r="H297" s="91"/>
      <c r="I297" s="91"/>
      <c r="M297" s="91"/>
      <c r="N297" s="91"/>
    </row>
    <row r="298" ht="15.75" customHeight="1">
      <c r="A298" s="91"/>
      <c r="E298" s="91"/>
      <c r="H298" s="91"/>
      <c r="I298" s="91"/>
      <c r="M298" s="91"/>
      <c r="N298" s="91"/>
    </row>
    <row r="299" ht="15.75" customHeight="1">
      <c r="A299" s="91"/>
      <c r="E299" s="91"/>
      <c r="H299" s="91"/>
      <c r="I299" s="91"/>
      <c r="M299" s="91"/>
      <c r="N299" s="91"/>
    </row>
    <row r="300" ht="15.75" customHeight="1">
      <c r="A300" s="91"/>
      <c r="E300" s="91"/>
      <c r="H300" s="91"/>
      <c r="I300" s="91"/>
      <c r="M300" s="91"/>
      <c r="N300" s="91"/>
    </row>
    <row r="301" ht="15.75" customHeight="1">
      <c r="A301" s="91"/>
      <c r="E301" s="91"/>
      <c r="H301" s="91"/>
      <c r="I301" s="91"/>
      <c r="M301" s="91"/>
      <c r="N301" s="91"/>
    </row>
    <row r="302" ht="15.75" customHeight="1">
      <c r="A302" s="91"/>
      <c r="E302" s="91"/>
      <c r="H302" s="91"/>
      <c r="I302" s="91"/>
      <c r="M302" s="91"/>
      <c r="N302" s="91"/>
    </row>
    <row r="303" ht="15.75" customHeight="1">
      <c r="A303" s="91"/>
      <c r="E303" s="91"/>
      <c r="H303" s="91"/>
      <c r="I303" s="91"/>
      <c r="M303" s="91"/>
      <c r="N303" s="91"/>
    </row>
    <row r="304" ht="15.75" customHeight="1">
      <c r="A304" s="91"/>
      <c r="E304" s="91"/>
      <c r="H304" s="91"/>
      <c r="I304" s="91"/>
      <c r="M304" s="91"/>
      <c r="N304" s="91"/>
    </row>
    <row r="305" ht="15.75" customHeight="1">
      <c r="A305" s="91"/>
      <c r="E305" s="91"/>
      <c r="H305" s="91"/>
      <c r="I305" s="91"/>
      <c r="M305" s="91"/>
      <c r="N305" s="91"/>
    </row>
    <row r="306" ht="15.75" customHeight="1">
      <c r="A306" s="91"/>
      <c r="E306" s="91"/>
      <c r="H306" s="91"/>
      <c r="I306" s="91"/>
      <c r="M306" s="91"/>
      <c r="N306" s="91"/>
    </row>
    <row r="307" ht="15.75" customHeight="1">
      <c r="A307" s="91"/>
      <c r="E307" s="91"/>
      <c r="H307" s="91"/>
      <c r="I307" s="91"/>
      <c r="M307" s="91"/>
      <c r="N307" s="91"/>
    </row>
    <row r="308" ht="15.75" customHeight="1">
      <c r="A308" s="91"/>
      <c r="E308" s="91"/>
      <c r="H308" s="91"/>
      <c r="I308" s="91"/>
      <c r="M308" s="91"/>
      <c r="N308" s="91"/>
    </row>
    <row r="309" ht="15.75" customHeight="1">
      <c r="A309" s="91"/>
      <c r="E309" s="91"/>
      <c r="H309" s="91"/>
      <c r="I309" s="91"/>
      <c r="M309" s="91"/>
      <c r="N309" s="91"/>
    </row>
    <row r="310" ht="15.75" customHeight="1">
      <c r="A310" s="91"/>
      <c r="E310" s="91"/>
      <c r="H310" s="91"/>
      <c r="I310" s="91"/>
      <c r="M310" s="91"/>
      <c r="N310" s="91"/>
    </row>
    <row r="311" ht="15.75" customHeight="1">
      <c r="A311" s="91"/>
      <c r="E311" s="91"/>
      <c r="H311" s="91"/>
      <c r="I311" s="91"/>
      <c r="M311" s="91"/>
      <c r="N311" s="91"/>
    </row>
    <row r="312" ht="15.75" customHeight="1">
      <c r="A312" s="91"/>
      <c r="E312" s="91"/>
      <c r="H312" s="91"/>
      <c r="I312" s="91"/>
      <c r="M312" s="91"/>
      <c r="N312" s="91"/>
    </row>
    <row r="313" ht="15.75" customHeight="1">
      <c r="A313" s="91"/>
      <c r="E313" s="91"/>
      <c r="H313" s="91"/>
      <c r="I313" s="91"/>
      <c r="M313" s="91"/>
      <c r="N313" s="91"/>
    </row>
    <row r="314" ht="15.75" customHeight="1">
      <c r="A314" s="91"/>
      <c r="E314" s="91"/>
      <c r="H314" s="91"/>
      <c r="I314" s="91"/>
      <c r="M314" s="91"/>
      <c r="N314" s="91"/>
    </row>
    <row r="315" ht="15.75" customHeight="1">
      <c r="A315" s="91"/>
      <c r="E315" s="91"/>
      <c r="H315" s="91"/>
      <c r="I315" s="91"/>
      <c r="M315" s="91"/>
      <c r="N315" s="91"/>
    </row>
    <row r="316" ht="15.75" customHeight="1">
      <c r="A316" s="91"/>
      <c r="E316" s="91"/>
      <c r="H316" s="91"/>
      <c r="I316" s="91"/>
      <c r="M316" s="91"/>
      <c r="N316" s="91"/>
    </row>
    <row r="317" ht="15.75" customHeight="1">
      <c r="A317" s="91"/>
      <c r="E317" s="91"/>
      <c r="H317" s="91"/>
      <c r="I317" s="91"/>
      <c r="M317" s="91"/>
      <c r="N317" s="91"/>
    </row>
    <row r="318" ht="15.75" customHeight="1">
      <c r="A318" s="91"/>
      <c r="E318" s="91"/>
      <c r="H318" s="91"/>
      <c r="I318" s="91"/>
      <c r="M318" s="91"/>
      <c r="N318" s="91"/>
    </row>
    <row r="319" ht="15.75" customHeight="1">
      <c r="A319" s="91"/>
      <c r="E319" s="91"/>
      <c r="H319" s="91"/>
      <c r="I319" s="91"/>
      <c r="M319" s="91"/>
      <c r="N319" s="91"/>
    </row>
    <row r="320" ht="15.75" customHeight="1">
      <c r="A320" s="91"/>
      <c r="E320" s="91"/>
      <c r="H320" s="91"/>
      <c r="I320" s="91"/>
      <c r="M320" s="91"/>
      <c r="N320" s="91"/>
    </row>
    <row r="321" ht="15.75" customHeight="1">
      <c r="A321" s="91"/>
      <c r="E321" s="91"/>
      <c r="H321" s="91"/>
      <c r="I321" s="91"/>
      <c r="M321" s="91"/>
      <c r="N321" s="91"/>
    </row>
    <row r="322" ht="15.75" customHeight="1">
      <c r="A322" s="91"/>
      <c r="E322" s="91"/>
      <c r="H322" s="91"/>
      <c r="I322" s="91"/>
      <c r="M322" s="91"/>
      <c r="N322" s="91"/>
    </row>
    <row r="323" ht="15.75" customHeight="1">
      <c r="A323" s="91"/>
      <c r="E323" s="91"/>
      <c r="H323" s="91"/>
      <c r="I323" s="91"/>
      <c r="M323" s="91"/>
      <c r="N323" s="91"/>
    </row>
    <row r="324" ht="15.75" customHeight="1">
      <c r="A324" s="91"/>
      <c r="E324" s="91"/>
      <c r="H324" s="91"/>
      <c r="I324" s="91"/>
      <c r="M324" s="91"/>
      <c r="N324" s="91"/>
    </row>
    <row r="325" ht="15.75" customHeight="1">
      <c r="A325" s="91"/>
      <c r="E325" s="91"/>
      <c r="H325" s="91"/>
      <c r="I325" s="91"/>
      <c r="M325" s="91"/>
      <c r="N325" s="91"/>
    </row>
    <row r="326" ht="15.75" customHeight="1">
      <c r="A326" s="91"/>
      <c r="E326" s="91"/>
      <c r="H326" s="91"/>
      <c r="I326" s="91"/>
      <c r="M326" s="91"/>
      <c r="N326" s="91"/>
    </row>
    <row r="327" ht="15.75" customHeight="1">
      <c r="A327" s="91"/>
      <c r="E327" s="91"/>
      <c r="H327" s="91"/>
      <c r="I327" s="91"/>
      <c r="M327" s="91"/>
      <c r="N327" s="91"/>
    </row>
    <row r="328" ht="15.75" customHeight="1">
      <c r="A328" s="91"/>
      <c r="E328" s="91"/>
      <c r="H328" s="91"/>
      <c r="I328" s="91"/>
      <c r="M328" s="91"/>
      <c r="N328" s="91"/>
    </row>
    <row r="329" ht="15.75" customHeight="1">
      <c r="A329" s="91"/>
      <c r="E329" s="91"/>
      <c r="H329" s="91"/>
      <c r="I329" s="91"/>
      <c r="M329" s="91"/>
      <c r="N329" s="91"/>
    </row>
    <row r="330" ht="15.75" customHeight="1">
      <c r="A330" s="91"/>
      <c r="E330" s="91"/>
      <c r="H330" s="91"/>
      <c r="I330" s="91"/>
      <c r="M330" s="91"/>
      <c r="N330" s="91"/>
    </row>
    <row r="331" ht="15.75" customHeight="1">
      <c r="A331" s="91"/>
      <c r="E331" s="91"/>
      <c r="H331" s="91"/>
      <c r="I331" s="91"/>
      <c r="M331" s="91"/>
      <c r="N331" s="91"/>
    </row>
    <row r="332" ht="15.75" customHeight="1">
      <c r="A332" s="91"/>
      <c r="E332" s="91"/>
      <c r="H332" s="91"/>
      <c r="I332" s="91"/>
      <c r="M332" s="91"/>
      <c r="N332" s="91"/>
    </row>
    <row r="333" ht="15.75" customHeight="1">
      <c r="A333" s="91"/>
      <c r="E333" s="91"/>
      <c r="H333" s="91"/>
      <c r="I333" s="91"/>
      <c r="M333" s="91"/>
      <c r="N333" s="91"/>
    </row>
    <row r="334" ht="15.75" customHeight="1">
      <c r="A334" s="91"/>
      <c r="E334" s="91"/>
      <c r="H334" s="91"/>
      <c r="I334" s="91"/>
      <c r="M334" s="91"/>
      <c r="N334" s="91"/>
    </row>
    <row r="335" ht="15.75" customHeight="1">
      <c r="A335" s="91"/>
      <c r="E335" s="91"/>
      <c r="H335" s="91"/>
      <c r="I335" s="91"/>
      <c r="M335" s="91"/>
      <c r="N335" s="91"/>
    </row>
    <row r="336" ht="15.75" customHeight="1">
      <c r="A336" s="91"/>
      <c r="E336" s="91"/>
      <c r="H336" s="91"/>
      <c r="I336" s="91"/>
      <c r="M336" s="91"/>
      <c r="N336" s="91"/>
    </row>
    <row r="337" ht="15.75" customHeight="1">
      <c r="A337" s="91"/>
      <c r="E337" s="91"/>
      <c r="H337" s="91"/>
      <c r="I337" s="91"/>
      <c r="M337" s="91"/>
      <c r="N337" s="91"/>
    </row>
    <row r="338" ht="15.75" customHeight="1">
      <c r="A338" s="91"/>
      <c r="E338" s="91"/>
      <c r="H338" s="91"/>
      <c r="I338" s="91"/>
      <c r="M338" s="91"/>
      <c r="N338" s="91"/>
    </row>
    <row r="339" ht="15.75" customHeight="1">
      <c r="A339" s="91"/>
      <c r="E339" s="91"/>
      <c r="H339" s="91"/>
      <c r="I339" s="91"/>
      <c r="M339" s="91"/>
      <c r="N339" s="91"/>
    </row>
    <row r="340" ht="15.75" customHeight="1">
      <c r="A340" s="91"/>
      <c r="E340" s="91"/>
      <c r="H340" s="91"/>
      <c r="I340" s="91"/>
      <c r="M340" s="91"/>
      <c r="N340" s="91"/>
    </row>
    <row r="341" ht="15.75" customHeight="1">
      <c r="A341" s="91"/>
      <c r="E341" s="91"/>
      <c r="H341" s="91"/>
      <c r="I341" s="91"/>
      <c r="M341" s="91"/>
      <c r="N341" s="91"/>
    </row>
    <row r="342" ht="15.75" customHeight="1">
      <c r="A342" s="91"/>
      <c r="E342" s="91"/>
      <c r="H342" s="91"/>
      <c r="I342" s="91"/>
      <c r="M342" s="91"/>
      <c r="N342" s="91"/>
    </row>
    <row r="343" ht="15.75" customHeight="1">
      <c r="A343" s="91"/>
      <c r="E343" s="91"/>
      <c r="H343" s="91"/>
      <c r="I343" s="91"/>
      <c r="M343" s="91"/>
      <c r="N343" s="91"/>
    </row>
    <row r="344" ht="15.75" customHeight="1">
      <c r="A344" s="91"/>
      <c r="E344" s="91"/>
      <c r="H344" s="91"/>
      <c r="I344" s="91"/>
      <c r="M344" s="91"/>
      <c r="N344" s="91"/>
    </row>
    <row r="345" ht="15.75" customHeight="1">
      <c r="A345" s="91"/>
      <c r="E345" s="91"/>
      <c r="H345" s="91"/>
      <c r="I345" s="91"/>
      <c r="M345" s="91"/>
      <c r="N345" s="91"/>
    </row>
    <row r="346" ht="15.75" customHeight="1">
      <c r="A346" s="91"/>
      <c r="E346" s="91"/>
      <c r="H346" s="91"/>
      <c r="I346" s="91"/>
      <c r="M346" s="91"/>
      <c r="N346" s="91"/>
    </row>
    <row r="347" ht="15.75" customHeight="1">
      <c r="A347" s="91"/>
      <c r="E347" s="91"/>
      <c r="H347" s="91"/>
      <c r="I347" s="91"/>
      <c r="M347" s="91"/>
      <c r="N347" s="91"/>
    </row>
    <row r="348" ht="15.75" customHeight="1">
      <c r="A348" s="91"/>
      <c r="E348" s="91"/>
      <c r="H348" s="91"/>
      <c r="I348" s="91"/>
      <c r="M348" s="91"/>
      <c r="N348" s="91"/>
    </row>
    <row r="349" ht="15.75" customHeight="1">
      <c r="A349" s="91"/>
      <c r="E349" s="91"/>
      <c r="H349" s="91"/>
      <c r="I349" s="91"/>
      <c r="M349" s="91"/>
      <c r="N349" s="91"/>
    </row>
    <row r="350" ht="15.75" customHeight="1">
      <c r="A350" s="91"/>
      <c r="E350" s="91"/>
      <c r="H350" s="91"/>
      <c r="I350" s="91"/>
      <c r="M350" s="91"/>
      <c r="N350" s="91"/>
    </row>
    <row r="351" ht="15.75" customHeight="1">
      <c r="A351" s="91"/>
      <c r="E351" s="91"/>
      <c r="H351" s="91"/>
      <c r="I351" s="91"/>
      <c r="M351" s="91"/>
      <c r="N351" s="91"/>
    </row>
    <row r="352" ht="15.75" customHeight="1">
      <c r="A352" s="91"/>
      <c r="E352" s="91"/>
      <c r="H352" s="91"/>
      <c r="I352" s="91"/>
      <c r="M352" s="91"/>
      <c r="N352" s="91"/>
    </row>
    <row r="353" ht="15.75" customHeight="1">
      <c r="A353" s="91"/>
      <c r="E353" s="91"/>
      <c r="H353" s="91"/>
      <c r="I353" s="91"/>
      <c r="M353" s="91"/>
      <c r="N353" s="91"/>
    </row>
    <row r="354" ht="15.75" customHeight="1">
      <c r="A354" s="91"/>
      <c r="E354" s="91"/>
      <c r="H354" s="91"/>
      <c r="I354" s="91"/>
      <c r="M354" s="91"/>
      <c r="N354" s="91"/>
    </row>
    <row r="355" ht="15.75" customHeight="1">
      <c r="A355" s="91"/>
      <c r="E355" s="91"/>
      <c r="H355" s="91"/>
      <c r="I355" s="91"/>
      <c r="M355" s="91"/>
      <c r="N355" s="91"/>
    </row>
    <row r="356" ht="15.75" customHeight="1">
      <c r="A356" s="91"/>
      <c r="E356" s="91"/>
      <c r="H356" s="91"/>
      <c r="I356" s="91"/>
      <c r="M356" s="91"/>
      <c r="N356" s="91"/>
    </row>
    <row r="357" ht="15.75" customHeight="1">
      <c r="A357" s="91"/>
      <c r="E357" s="91"/>
      <c r="H357" s="91"/>
      <c r="I357" s="91"/>
      <c r="M357" s="91"/>
      <c r="N357" s="91"/>
    </row>
    <row r="358" ht="15.75" customHeight="1">
      <c r="A358" s="91"/>
      <c r="E358" s="91"/>
      <c r="H358" s="91"/>
      <c r="I358" s="91"/>
      <c r="M358" s="91"/>
      <c r="N358" s="91"/>
    </row>
    <row r="359" ht="15.75" customHeight="1">
      <c r="A359" s="91"/>
      <c r="E359" s="91"/>
      <c r="H359" s="91"/>
      <c r="I359" s="91"/>
      <c r="M359" s="91"/>
      <c r="N359" s="91"/>
    </row>
    <row r="360" ht="15.75" customHeight="1">
      <c r="A360" s="91"/>
      <c r="E360" s="91"/>
      <c r="H360" s="91"/>
      <c r="I360" s="91"/>
      <c r="M360" s="91"/>
      <c r="N360" s="91"/>
    </row>
    <row r="361" ht="15.75" customHeight="1">
      <c r="A361" s="91"/>
      <c r="E361" s="91"/>
      <c r="H361" s="91"/>
      <c r="I361" s="91"/>
      <c r="M361" s="91"/>
      <c r="N361" s="91"/>
    </row>
    <row r="362" ht="15.75" customHeight="1">
      <c r="A362" s="91"/>
      <c r="E362" s="91"/>
      <c r="H362" s="91"/>
      <c r="I362" s="91"/>
      <c r="M362" s="91"/>
      <c r="N362" s="91"/>
    </row>
    <row r="363" ht="15.75" customHeight="1">
      <c r="A363" s="91"/>
      <c r="E363" s="91"/>
      <c r="H363" s="91"/>
      <c r="I363" s="91"/>
      <c r="M363" s="91"/>
      <c r="N363" s="91"/>
    </row>
    <row r="364" ht="15.75" customHeight="1">
      <c r="A364" s="91"/>
      <c r="E364" s="91"/>
      <c r="H364" s="91"/>
      <c r="I364" s="91"/>
      <c r="M364" s="91"/>
      <c r="N364" s="91"/>
    </row>
    <row r="365" ht="15.75" customHeight="1">
      <c r="A365" s="91"/>
      <c r="E365" s="91"/>
      <c r="H365" s="91"/>
      <c r="I365" s="91"/>
      <c r="M365" s="91"/>
      <c r="N365" s="91"/>
    </row>
    <row r="366" ht="15.75" customHeight="1">
      <c r="A366" s="91"/>
      <c r="E366" s="91"/>
      <c r="H366" s="91"/>
      <c r="I366" s="91"/>
      <c r="M366" s="91"/>
      <c r="N366" s="91"/>
    </row>
    <row r="367" ht="15.75" customHeight="1">
      <c r="A367" s="91"/>
      <c r="E367" s="91"/>
      <c r="H367" s="91"/>
      <c r="I367" s="91"/>
      <c r="M367" s="91"/>
      <c r="N367" s="91"/>
    </row>
    <row r="368" ht="15.75" customHeight="1">
      <c r="A368" s="91"/>
      <c r="E368" s="91"/>
      <c r="H368" s="91"/>
      <c r="I368" s="91"/>
      <c r="M368" s="91"/>
      <c r="N368" s="91"/>
    </row>
    <row r="369" ht="15.75" customHeight="1">
      <c r="A369" s="91"/>
      <c r="E369" s="91"/>
      <c r="H369" s="91"/>
      <c r="I369" s="91"/>
      <c r="M369" s="91"/>
      <c r="N369" s="91"/>
    </row>
    <row r="370" ht="15.75" customHeight="1">
      <c r="A370" s="91"/>
      <c r="E370" s="91"/>
      <c r="H370" s="91"/>
      <c r="I370" s="91"/>
      <c r="M370" s="91"/>
      <c r="N370" s="91"/>
    </row>
    <row r="371" ht="15.75" customHeight="1">
      <c r="A371" s="91"/>
      <c r="E371" s="91"/>
      <c r="H371" s="91"/>
      <c r="I371" s="91"/>
      <c r="M371" s="91"/>
      <c r="N371" s="91"/>
    </row>
    <row r="372" ht="15.75" customHeight="1">
      <c r="A372" s="91"/>
      <c r="E372" s="91"/>
      <c r="H372" s="91"/>
      <c r="I372" s="91"/>
      <c r="M372" s="91"/>
      <c r="N372" s="91"/>
    </row>
    <row r="373" ht="15.75" customHeight="1">
      <c r="A373" s="91"/>
      <c r="E373" s="91"/>
      <c r="H373" s="91"/>
      <c r="I373" s="91"/>
      <c r="M373" s="91"/>
      <c r="N373" s="91"/>
    </row>
    <row r="374" ht="15.75" customHeight="1">
      <c r="A374" s="91"/>
      <c r="E374" s="91"/>
      <c r="H374" s="91"/>
      <c r="I374" s="91"/>
      <c r="M374" s="91"/>
      <c r="N374" s="91"/>
    </row>
    <row r="375" ht="15.75" customHeight="1">
      <c r="A375" s="91"/>
      <c r="E375" s="91"/>
      <c r="H375" s="91"/>
      <c r="I375" s="91"/>
      <c r="M375" s="91"/>
      <c r="N375" s="91"/>
    </row>
    <row r="376" ht="15.75" customHeight="1">
      <c r="A376" s="91"/>
      <c r="E376" s="91"/>
      <c r="H376" s="91"/>
      <c r="I376" s="91"/>
      <c r="M376" s="91"/>
      <c r="N376" s="91"/>
    </row>
    <row r="377" ht="15.75" customHeight="1">
      <c r="A377" s="91"/>
      <c r="E377" s="91"/>
      <c r="H377" s="91"/>
      <c r="I377" s="91"/>
      <c r="M377" s="91"/>
      <c r="N377" s="91"/>
    </row>
    <row r="378" ht="15.75" customHeight="1">
      <c r="A378" s="91"/>
      <c r="E378" s="91"/>
      <c r="H378" s="91"/>
      <c r="I378" s="91"/>
      <c r="M378" s="91"/>
      <c r="N378" s="91"/>
    </row>
    <row r="379" ht="15.75" customHeight="1">
      <c r="A379" s="91"/>
      <c r="E379" s="91"/>
      <c r="H379" s="91"/>
      <c r="I379" s="91"/>
      <c r="M379" s="91"/>
      <c r="N379" s="91"/>
    </row>
    <row r="380" ht="15.75" customHeight="1">
      <c r="A380" s="91"/>
      <c r="E380" s="91"/>
      <c r="H380" s="91"/>
      <c r="I380" s="91"/>
      <c r="M380" s="91"/>
      <c r="N380" s="91"/>
    </row>
    <row r="381" ht="15.75" customHeight="1">
      <c r="A381" s="91"/>
      <c r="E381" s="91"/>
      <c r="H381" s="91"/>
      <c r="I381" s="91"/>
      <c r="M381" s="91"/>
      <c r="N381" s="91"/>
    </row>
    <row r="382" ht="15.75" customHeight="1">
      <c r="A382" s="91"/>
      <c r="E382" s="91"/>
      <c r="H382" s="91"/>
      <c r="I382" s="91"/>
      <c r="M382" s="91"/>
      <c r="N382" s="91"/>
    </row>
    <row r="383" ht="15.75" customHeight="1">
      <c r="A383" s="91"/>
      <c r="E383" s="91"/>
      <c r="H383" s="91"/>
      <c r="I383" s="91"/>
      <c r="M383" s="91"/>
      <c r="N383" s="91"/>
    </row>
    <row r="384" ht="15.75" customHeight="1">
      <c r="A384" s="91"/>
      <c r="E384" s="91"/>
      <c r="H384" s="91"/>
      <c r="I384" s="91"/>
      <c r="M384" s="91"/>
      <c r="N384" s="91"/>
    </row>
    <row r="385" ht="15.75" customHeight="1">
      <c r="A385" s="91"/>
      <c r="E385" s="91"/>
      <c r="H385" s="91"/>
      <c r="I385" s="91"/>
      <c r="M385" s="91"/>
      <c r="N385" s="91"/>
    </row>
    <row r="386" ht="15.75" customHeight="1">
      <c r="A386" s="91"/>
      <c r="E386" s="91"/>
      <c r="H386" s="91"/>
      <c r="I386" s="91"/>
      <c r="M386" s="91"/>
      <c r="N386" s="91"/>
    </row>
    <row r="387" ht="15.75" customHeight="1">
      <c r="A387" s="91"/>
      <c r="E387" s="91"/>
      <c r="H387" s="91"/>
      <c r="I387" s="91"/>
      <c r="M387" s="91"/>
      <c r="N387" s="91"/>
    </row>
    <row r="388" ht="15.75" customHeight="1">
      <c r="A388" s="91"/>
      <c r="E388" s="91"/>
      <c r="H388" s="91"/>
      <c r="I388" s="91"/>
      <c r="M388" s="91"/>
      <c r="N388" s="91"/>
    </row>
    <row r="389" ht="15.75" customHeight="1">
      <c r="A389" s="91"/>
      <c r="E389" s="91"/>
      <c r="H389" s="91"/>
      <c r="I389" s="91"/>
      <c r="M389" s="91"/>
      <c r="N389" s="91"/>
    </row>
    <row r="390" ht="15.75" customHeight="1">
      <c r="A390" s="91"/>
      <c r="E390" s="91"/>
      <c r="H390" s="91"/>
      <c r="I390" s="91"/>
      <c r="M390" s="91"/>
      <c r="N390" s="91"/>
    </row>
    <row r="391" ht="15.75" customHeight="1">
      <c r="A391" s="91"/>
      <c r="E391" s="91"/>
      <c r="H391" s="91"/>
      <c r="I391" s="91"/>
      <c r="M391" s="91"/>
      <c r="N391" s="91"/>
    </row>
    <row r="392" ht="15.75" customHeight="1">
      <c r="A392" s="91"/>
      <c r="E392" s="91"/>
      <c r="H392" s="91"/>
      <c r="I392" s="91"/>
      <c r="M392" s="91"/>
      <c r="N392" s="91"/>
    </row>
    <row r="393" ht="15.75" customHeight="1">
      <c r="A393" s="91"/>
      <c r="E393" s="91"/>
      <c r="H393" s="91"/>
      <c r="I393" s="91"/>
      <c r="M393" s="91"/>
      <c r="N393" s="91"/>
    </row>
    <row r="394" ht="15.75" customHeight="1">
      <c r="A394" s="91"/>
      <c r="E394" s="91"/>
      <c r="H394" s="91"/>
      <c r="I394" s="91"/>
      <c r="M394" s="91"/>
      <c r="N394" s="91"/>
    </row>
    <row r="395" ht="15.75" customHeight="1">
      <c r="A395" s="91"/>
      <c r="E395" s="91"/>
      <c r="H395" s="91"/>
      <c r="I395" s="91"/>
      <c r="M395" s="91"/>
      <c r="N395" s="91"/>
    </row>
    <row r="396" ht="15.75" customHeight="1">
      <c r="A396" s="91"/>
      <c r="E396" s="91"/>
      <c r="H396" s="91"/>
      <c r="I396" s="91"/>
      <c r="M396" s="91"/>
      <c r="N396" s="91"/>
    </row>
    <row r="397" ht="15.75" customHeight="1">
      <c r="A397" s="91"/>
      <c r="E397" s="91"/>
      <c r="H397" s="91"/>
      <c r="I397" s="91"/>
      <c r="M397" s="91"/>
      <c r="N397" s="91"/>
    </row>
    <row r="398" ht="15.75" customHeight="1">
      <c r="A398" s="91"/>
      <c r="E398" s="91"/>
      <c r="H398" s="91"/>
      <c r="I398" s="91"/>
      <c r="M398" s="91"/>
      <c r="N398" s="91"/>
    </row>
    <row r="399" ht="15.75" customHeight="1">
      <c r="A399" s="91"/>
      <c r="E399" s="91"/>
      <c r="H399" s="91"/>
      <c r="I399" s="91"/>
      <c r="M399" s="91"/>
      <c r="N399" s="91"/>
    </row>
    <row r="400" ht="15.75" customHeight="1">
      <c r="A400" s="91"/>
      <c r="E400" s="91"/>
      <c r="H400" s="91"/>
      <c r="I400" s="91"/>
      <c r="M400" s="91"/>
      <c r="N400" s="91"/>
    </row>
    <row r="401" ht="15.75" customHeight="1">
      <c r="A401" s="91"/>
      <c r="E401" s="91"/>
      <c r="H401" s="91"/>
      <c r="I401" s="91"/>
      <c r="M401" s="91"/>
      <c r="N401" s="91"/>
    </row>
    <row r="402" ht="15.75" customHeight="1">
      <c r="A402" s="91"/>
      <c r="E402" s="91"/>
      <c r="H402" s="91"/>
      <c r="I402" s="91"/>
      <c r="M402" s="91"/>
      <c r="N402" s="91"/>
    </row>
    <row r="403" ht="15.75" customHeight="1">
      <c r="A403" s="91"/>
      <c r="E403" s="91"/>
      <c r="H403" s="91"/>
      <c r="I403" s="91"/>
      <c r="M403" s="91"/>
      <c r="N403" s="91"/>
    </row>
    <row r="404" ht="15.75" customHeight="1">
      <c r="A404" s="91"/>
      <c r="E404" s="91"/>
      <c r="H404" s="91"/>
      <c r="I404" s="91"/>
      <c r="M404" s="91"/>
      <c r="N404" s="91"/>
    </row>
    <row r="405" ht="15.75" customHeight="1">
      <c r="A405" s="91"/>
      <c r="E405" s="91"/>
      <c r="H405" s="91"/>
      <c r="I405" s="91"/>
      <c r="M405" s="91"/>
      <c r="N405" s="91"/>
    </row>
    <row r="406" ht="15.75" customHeight="1">
      <c r="A406" s="91"/>
      <c r="E406" s="91"/>
      <c r="H406" s="91"/>
      <c r="I406" s="91"/>
      <c r="M406" s="91"/>
      <c r="N406" s="91"/>
    </row>
    <row r="407" ht="15.75" customHeight="1">
      <c r="A407" s="91"/>
      <c r="E407" s="91"/>
      <c r="H407" s="91"/>
      <c r="I407" s="91"/>
      <c r="M407" s="91"/>
      <c r="N407" s="91"/>
    </row>
    <row r="408" ht="15.75" customHeight="1">
      <c r="A408" s="91"/>
      <c r="E408" s="91"/>
      <c r="H408" s="91"/>
      <c r="I408" s="91"/>
      <c r="M408" s="91"/>
      <c r="N408" s="91"/>
    </row>
    <row r="409" ht="15.75" customHeight="1">
      <c r="A409" s="91"/>
      <c r="E409" s="91"/>
      <c r="H409" s="91"/>
      <c r="I409" s="91"/>
      <c r="M409" s="91"/>
      <c r="N409" s="91"/>
    </row>
    <row r="410" ht="15.75" customHeight="1">
      <c r="A410" s="91"/>
      <c r="E410" s="91"/>
      <c r="H410" s="91"/>
      <c r="I410" s="91"/>
      <c r="M410" s="91"/>
      <c r="N410" s="91"/>
    </row>
    <row r="411" ht="15.75" customHeight="1">
      <c r="A411" s="91"/>
      <c r="E411" s="91"/>
      <c r="H411" s="91"/>
      <c r="I411" s="91"/>
      <c r="M411" s="91"/>
      <c r="N411" s="91"/>
    </row>
    <row r="412" ht="15.75" customHeight="1">
      <c r="A412" s="91"/>
      <c r="E412" s="91"/>
      <c r="H412" s="91"/>
      <c r="I412" s="91"/>
      <c r="M412" s="91"/>
      <c r="N412" s="91"/>
    </row>
    <row r="413" ht="15.75" customHeight="1">
      <c r="A413" s="91"/>
      <c r="E413" s="91"/>
      <c r="H413" s="91"/>
      <c r="I413" s="91"/>
      <c r="M413" s="91"/>
      <c r="N413" s="91"/>
    </row>
    <row r="414" ht="15.75" customHeight="1">
      <c r="A414" s="91"/>
      <c r="E414" s="91"/>
      <c r="H414" s="91"/>
      <c r="I414" s="91"/>
      <c r="M414" s="91"/>
      <c r="N414" s="91"/>
    </row>
    <row r="415" ht="15.75" customHeight="1">
      <c r="A415" s="91"/>
      <c r="E415" s="91"/>
      <c r="H415" s="91"/>
      <c r="I415" s="91"/>
      <c r="M415" s="91"/>
      <c r="N415" s="91"/>
    </row>
    <row r="416" ht="15.75" customHeight="1">
      <c r="A416" s="91"/>
      <c r="E416" s="91"/>
      <c r="H416" s="91"/>
      <c r="I416" s="91"/>
      <c r="M416" s="91"/>
      <c r="N416" s="91"/>
    </row>
    <row r="417" ht="15.75" customHeight="1">
      <c r="A417" s="91"/>
      <c r="E417" s="91"/>
      <c r="H417" s="91"/>
      <c r="I417" s="91"/>
      <c r="M417" s="91"/>
      <c r="N417" s="91"/>
    </row>
    <row r="418" ht="15.75" customHeight="1">
      <c r="A418" s="91"/>
      <c r="E418" s="91"/>
      <c r="H418" s="91"/>
      <c r="I418" s="91"/>
      <c r="M418" s="91"/>
      <c r="N418" s="91"/>
    </row>
    <row r="419" ht="15.75" customHeight="1">
      <c r="A419" s="91"/>
      <c r="E419" s="91"/>
      <c r="H419" s="91"/>
      <c r="I419" s="91"/>
      <c r="M419" s="91"/>
      <c r="N419" s="91"/>
    </row>
    <row r="420" ht="15.75" customHeight="1">
      <c r="A420" s="91"/>
      <c r="E420" s="91"/>
      <c r="H420" s="91"/>
      <c r="I420" s="91"/>
      <c r="M420" s="91"/>
      <c r="N420" s="91"/>
    </row>
    <row r="421" ht="15.75" customHeight="1">
      <c r="A421" s="91"/>
      <c r="E421" s="91"/>
      <c r="H421" s="91"/>
      <c r="I421" s="91"/>
      <c r="M421" s="91"/>
      <c r="N421" s="91"/>
    </row>
    <row r="422" ht="15.75" customHeight="1">
      <c r="A422" s="91"/>
      <c r="E422" s="91"/>
      <c r="H422" s="91"/>
      <c r="I422" s="91"/>
      <c r="M422" s="91"/>
      <c r="N422" s="91"/>
    </row>
    <row r="423" ht="15.75" customHeight="1">
      <c r="A423" s="91"/>
      <c r="E423" s="91"/>
      <c r="H423" s="91"/>
      <c r="I423" s="91"/>
      <c r="M423" s="91"/>
      <c r="N423" s="91"/>
    </row>
    <row r="424" ht="15.75" customHeight="1">
      <c r="A424" s="91"/>
      <c r="E424" s="91"/>
      <c r="H424" s="91"/>
      <c r="I424" s="91"/>
      <c r="M424" s="91"/>
      <c r="N424" s="91"/>
    </row>
    <row r="425" ht="15.75" customHeight="1">
      <c r="A425" s="91"/>
      <c r="E425" s="91"/>
      <c r="H425" s="91"/>
      <c r="I425" s="91"/>
      <c r="M425" s="91"/>
      <c r="N425" s="91"/>
    </row>
    <row r="426" ht="15.75" customHeight="1">
      <c r="A426" s="91"/>
      <c r="E426" s="91"/>
      <c r="H426" s="91"/>
      <c r="I426" s="91"/>
      <c r="M426" s="91"/>
      <c r="N426" s="91"/>
    </row>
    <row r="427" ht="15.75" customHeight="1">
      <c r="A427" s="91"/>
      <c r="E427" s="91"/>
      <c r="H427" s="91"/>
      <c r="I427" s="91"/>
      <c r="M427" s="91"/>
      <c r="N427" s="91"/>
    </row>
    <row r="428" ht="15.75" customHeight="1">
      <c r="A428" s="91"/>
      <c r="E428" s="91"/>
      <c r="H428" s="91"/>
      <c r="I428" s="91"/>
      <c r="M428" s="91"/>
      <c r="N428" s="91"/>
    </row>
    <row r="429" ht="15.75" customHeight="1">
      <c r="A429" s="91"/>
      <c r="E429" s="91"/>
      <c r="H429" s="91"/>
      <c r="I429" s="91"/>
      <c r="M429" s="91"/>
      <c r="N429" s="91"/>
    </row>
    <row r="430" ht="15.75" customHeight="1">
      <c r="A430" s="91"/>
      <c r="E430" s="91"/>
      <c r="H430" s="91"/>
      <c r="I430" s="91"/>
      <c r="M430" s="91"/>
      <c r="N430" s="91"/>
    </row>
    <row r="431" ht="15.75" customHeight="1">
      <c r="A431" s="91"/>
      <c r="E431" s="91"/>
      <c r="H431" s="91"/>
      <c r="I431" s="91"/>
      <c r="M431" s="91"/>
      <c r="N431" s="91"/>
    </row>
    <row r="432" ht="15.75" customHeight="1">
      <c r="A432" s="91"/>
      <c r="E432" s="91"/>
      <c r="H432" s="91"/>
      <c r="I432" s="91"/>
      <c r="M432" s="91"/>
      <c r="N432" s="91"/>
    </row>
    <row r="433" ht="15.75" customHeight="1">
      <c r="A433" s="91"/>
      <c r="E433" s="91"/>
      <c r="H433" s="91"/>
      <c r="I433" s="91"/>
      <c r="M433" s="91"/>
      <c r="N433" s="91"/>
    </row>
    <row r="434" ht="15.75" customHeight="1">
      <c r="A434" s="91"/>
      <c r="E434" s="91"/>
      <c r="H434" s="91"/>
      <c r="I434" s="91"/>
      <c r="M434" s="91"/>
      <c r="N434" s="91"/>
    </row>
    <row r="435" ht="15.75" customHeight="1">
      <c r="A435" s="91"/>
      <c r="E435" s="91"/>
      <c r="H435" s="91"/>
      <c r="I435" s="91"/>
      <c r="M435" s="91"/>
      <c r="N435" s="91"/>
    </row>
    <row r="436" ht="15.75" customHeight="1">
      <c r="A436" s="91"/>
      <c r="E436" s="91"/>
      <c r="H436" s="91"/>
      <c r="I436" s="91"/>
      <c r="M436" s="91"/>
      <c r="N436" s="91"/>
    </row>
    <row r="437" ht="15.75" customHeight="1">
      <c r="A437" s="91"/>
      <c r="E437" s="91"/>
      <c r="H437" s="91"/>
      <c r="I437" s="91"/>
      <c r="M437" s="91"/>
      <c r="N437" s="91"/>
    </row>
    <row r="438" ht="15.75" customHeight="1">
      <c r="A438" s="91"/>
      <c r="E438" s="91"/>
      <c r="H438" s="91"/>
      <c r="I438" s="91"/>
      <c r="M438" s="91"/>
      <c r="N438" s="91"/>
    </row>
    <row r="439" ht="15.75" customHeight="1">
      <c r="A439" s="91"/>
      <c r="E439" s="91"/>
      <c r="H439" s="91"/>
      <c r="I439" s="91"/>
      <c r="M439" s="91"/>
      <c r="N439" s="91"/>
    </row>
    <row r="440" ht="15.75" customHeight="1">
      <c r="A440" s="91"/>
      <c r="E440" s="91"/>
      <c r="H440" s="91"/>
      <c r="I440" s="91"/>
      <c r="M440" s="91"/>
      <c r="N440" s="91"/>
    </row>
    <row r="441" ht="15.75" customHeight="1">
      <c r="A441" s="91"/>
      <c r="E441" s="91"/>
      <c r="H441" s="91"/>
      <c r="I441" s="91"/>
      <c r="M441" s="91"/>
      <c r="N441" s="91"/>
    </row>
    <row r="442" ht="15.75" customHeight="1">
      <c r="A442" s="91"/>
      <c r="E442" s="91"/>
      <c r="H442" s="91"/>
      <c r="I442" s="91"/>
      <c r="M442" s="91"/>
      <c r="N442" s="91"/>
    </row>
    <row r="443" ht="15.75" customHeight="1">
      <c r="A443" s="91"/>
      <c r="E443" s="91"/>
      <c r="H443" s="91"/>
      <c r="I443" s="91"/>
      <c r="M443" s="91"/>
      <c r="N443" s="91"/>
    </row>
    <row r="444" ht="15.75" customHeight="1">
      <c r="A444" s="91"/>
      <c r="E444" s="91"/>
      <c r="H444" s="91"/>
      <c r="I444" s="91"/>
      <c r="M444" s="91"/>
      <c r="N444" s="91"/>
    </row>
    <row r="445" ht="15.75" customHeight="1">
      <c r="A445" s="91"/>
      <c r="E445" s="91"/>
      <c r="H445" s="91"/>
      <c r="I445" s="91"/>
      <c r="M445" s="91"/>
      <c r="N445" s="91"/>
    </row>
    <row r="446" ht="15.75" customHeight="1">
      <c r="A446" s="91"/>
      <c r="E446" s="91"/>
      <c r="H446" s="91"/>
      <c r="I446" s="91"/>
      <c r="M446" s="91"/>
      <c r="N446" s="91"/>
    </row>
    <row r="447" ht="15.75" customHeight="1">
      <c r="A447" s="91"/>
      <c r="E447" s="91"/>
      <c r="H447" s="91"/>
      <c r="I447" s="91"/>
      <c r="M447" s="91"/>
      <c r="N447" s="91"/>
    </row>
    <row r="448" ht="15.75" customHeight="1">
      <c r="A448" s="91"/>
      <c r="E448" s="91"/>
      <c r="H448" s="91"/>
      <c r="I448" s="91"/>
      <c r="M448" s="91"/>
      <c r="N448" s="91"/>
    </row>
    <row r="449" ht="15.75" customHeight="1">
      <c r="A449" s="91"/>
      <c r="E449" s="91"/>
      <c r="H449" s="91"/>
      <c r="I449" s="91"/>
      <c r="M449" s="91"/>
      <c r="N449" s="91"/>
    </row>
    <row r="450" ht="15.75" customHeight="1">
      <c r="A450" s="91"/>
      <c r="E450" s="91"/>
      <c r="H450" s="91"/>
      <c r="I450" s="91"/>
      <c r="M450" s="91"/>
      <c r="N450" s="91"/>
    </row>
    <row r="451" ht="15.75" customHeight="1">
      <c r="A451" s="91"/>
      <c r="E451" s="91"/>
      <c r="H451" s="91"/>
      <c r="I451" s="91"/>
      <c r="M451" s="91"/>
      <c r="N451" s="91"/>
    </row>
    <row r="452" ht="15.75" customHeight="1">
      <c r="A452" s="91"/>
      <c r="E452" s="91"/>
      <c r="H452" s="91"/>
      <c r="I452" s="91"/>
      <c r="M452" s="91"/>
      <c r="N452" s="91"/>
    </row>
    <row r="453" ht="15.75" customHeight="1">
      <c r="A453" s="91"/>
      <c r="E453" s="91"/>
      <c r="H453" s="91"/>
      <c r="I453" s="91"/>
      <c r="M453" s="91"/>
      <c r="N453" s="91"/>
    </row>
    <row r="454" ht="15.75" customHeight="1">
      <c r="A454" s="91"/>
      <c r="E454" s="91"/>
      <c r="H454" s="91"/>
      <c r="I454" s="91"/>
      <c r="M454" s="91"/>
      <c r="N454" s="91"/>
    </row>
    <row r="455" ht="15.75" customHeight="1">
      <c r="A455" s="91"/>
      <c r="E455" s="91"/>
      <c r="H455" s="91"/>
      <c r="I455" s="91"/>
      <c r="M455" s="91"/>
      <c r="N455" s="91"/>
    </row>
    <row r="456" ht="15.75" customHeight="1">
      <c r="A456" s="91"/>
      <c r="E456" s="91"/>
      <c r="H456" s="91"/>
      <c r="I456" s="91"/>
      <c r="M456" s="91"/>
      <c r="N456" s="91"/>
    </row>
    <row r="457" ht="15.75" customHeight="1">
      <c r="A457" s="91"/>
      <c r="E457" s="91"/>
      <c r="H457" s="91"/>
      <c r="I457" s="91"/>
      <c r="M457" s="91"/>
      <c r="N457" s="91"/>
    </row>
    <row r="458" ht="15.75" customHeight="1">
      <c r="A458" s="91"/>
      <c r="E458" s="91"/>
      <c r="H458" s="91"/>
      <c r="I458" s="91"/>
      <c r="M458" s="91"/>
      <c r="N458" s="91"/>
    </row>
    <row r="459" ht="15.75" customHeight="1">
      <c r="A459" s="91"/>
      <c r="E459" s="91"/>
      <c r="H459" s="91"/>
      <c r="I459" s="91"/>
      <c r="M459" s="91"/>
      <c r="N459" s="91"/>
    </row>
    <row r="460" ht="15.75" customHeight="1">
      <c r="A460" s="91"/>
      <c r="E460" s="91"/>
      <c r="H460" s="91"/>
      <c r="I460" s="91"/>
      <c r="M460" s="91"/>
      <c r="N460" s="91"/>
    </row>
    <row r="461" ht="15.75" customHeight="1">
      <c r="A461" s="91"/>
      <c r="E461" s="91"/>
      <c r="H461" s="91"/>
      <c r="I461" s="91"/>
      <c r="M461" s="91"/>
      <c r="N461" s="91"/>
    </row>
    <row r="462" ht="15.75" customHeight="1">
      <c r="A462" s="91"/>
      <c r="E462" s="91"/>
      <c r="H462" s="91"/>
      <c r="I462" s="91"/>
      <c r="M462" s="91"/>
      <c r="N462" s="91"/>
    </row>
    <row r="463" ht="15.75" customHeight="1">
      <c r="A463" s="91"/>
      <c r="E463" s="91"/>
      <c r="H463" s="91"/>
      <c r="I463" s="91"/>
      <c r="M463" s="91"/>
      <c r="N463" s="91"/>
    </row>
    <row r="464" ht="15.75" customHeight="1">
      <c r="A464" s="91"/>
      <c r="E464" s="91"/>
      <c r="H464" s="91"/>
      <c r="I464" s="91"/>
      <c r="M464" s="91"/>
      <c r="N464" s="91"/>
    </row>
    <row r="465" ht="15.75" customHeight="1">
      <c r="A465" s="91"/>
      <c r="E465" s="91"/>
      <c r="H465" s="91"/>
      <c r="I465" s="91"/>
      <c r="M465" s="91"/>
      <c r="N465" s="91"/>
    </row>
    <row r="466" ht="15.75" customHeight="1">
      <c r="A466" s="91"/>
      <c r="E466" s="91"/>
      <c r="H466" s="91"/>
      <c r="I466" s="91"/>
      <c r="M466" s="91"/>
      <c r="N466" s="91"/>
    </row>
    <row r="467" ht="15.75" customHeight="1">
      <c r="A467" s="91"/>
      <c r="E467" s="91"/>
      <c r="H467" s="91"/>
      <c r="I467" s="91"/>
      <c r="M467" s="91"/>
      <c r="N467" s="91"/>
    </row>
    <row r="468" ht="15.75" customHeight="1">
      <c r="A468" s="91"/>
      <c r="E468" s="91"/>
      <c r="H468" s="91"/>
      <c r="I468" s="91"/>
      <c r="M468" s="91"/>
      <c r="N468" s="91"/>
    </row>
    <row r="469" ht="15.75" customHeight="1">
      <c r="A469" s="91"/>
      <c r="E469" s="91"/>
      <c r="H469" s="91"/>
      <c r="I469" s="91"/>
      <c r="M469" s="91"/>
      <c r="N469" s="91"/>
    </row>
    <row r="470" ht="15.75" customHeight="1">
      <c r="A470" s="91"/>
      <c r="E470" s="91"/>
      <c r="H470" s="91"/>
      <c r="I470" s="91"/>
      <c r="M470" s="91"/>
      <c r="N470" s="91"/>
    </row>
    <row r="471" ht="15.75" customHeight="1">
      <c r="A471" s="91"/>
      <c r="E471" s="91"/>
      <c r="H471" s="91"/>
      <c r="I471" s="91"/>
      <c r="M471" s="91"/>
      <c r="N471" s="91"/>
    </row>
    <row r="472" ht="15.75" customHeight="1">
      <c r="A472" s="91"/>
      <c r="E472" s="91"/>
      <c r="H472" s="91"/>
      <c r="I472" s="91"/>
      <c r="M472" s="91"/>
      <c r="N472" s="91"/>
    </row>
    <row r="473" ht="15.75" customHeight="1">
      <c r="A473" s="91"/>
      <c r="E473" s="91"/>
      <c r="H473" s="91"/>
      <c r="I473" s="91"/>
      <c r="M473" s="91"/>
      <c r="N473" s="91"/>
    </row>
    <row r="474" ht="15.75" customHeight="1">
      <c r="A474" s="91"/>
      <c r="E474" s="91"/>
      <c r="H474" s="91"/>
      <c r="I474" s="91"/>
      <c r="M474" s="91"/>
      <c r="N474" s="91"/>
    </row>
    <row r="475" ht="15.75" customHeight="1">
      <c r="A475" s="91"/>
      <c r="E475" s="91"/>
      <c r="H475" s="91"/>
      <c r="I475" s="91"/>
      <c r="M475" s="91"/>
      <c r="N475" s="91"/>
    </row>
    <row r="476" ht="15.75" customHeight="1">
      <c r="A476" s="91"/>
      <c r="E476" s="91"/>
      <c r="H476" s="91"/>
      <c r="I476" s="91"/>
      <c r="M476" s="91"/>
      <c r="N476" s="91"/>
    </row>
    <row r="477" ht="15.75" customHeight="1">
      <c r="A477" s="91"/>
      <c r="E477" s="91"/>
      <c r="H477" s="91"/>
      <c r="I477" s="91"/>
      <c r="M477" s="91"/>
      <c r="N477" s="91"/>
    </row>
    <row r="478" ht="15.75" customHeight="1">
      <c r="A478" s="91"/>
      <c r="E478" s="91"/>
      <c r="H478" s="91"/>
      <c r="I478" s="91"/>
      <c r="M478" s="91"/>
      <c r="N478" s="91"/>
    </row>
    <row r="479" ht="15.75" customHeight="1">
      <c r="A479" s="91"/>
      <c r="E479" s="91"/>
      <c r="H479" s="91"/>
      <c r="I479" s="91"/>
      <c r="M479" s="91"/>
      <c r="N479" s="91"/>
    </row>
    <row r="480" ht="15.75" customHeight="1">
      <c r="A480" s="91"/>
      <c r="E480" s="91"/>
      <c r="H480" s="91"/>
      <c r="I480" s="91"/>
      <c r="M480" s="91"/>
      <c r="N480" s="91"/>
    </row>
    <row r="481" ht="15.75" customHeight="1">
      <c r="A481" s="91"/>
      <c r="E481" s="91"/>
      <c r="H481" s="91"/>
      <c r="I481" s="91"/>
      <c r="M481" s="91"/>
      <c r="N481" s="91"/>
    </row>
    <row r="482" ht="15.75" customHeight="1">
      <c r="A482" s="91"/>
      <c r="E482" s="91"/>
      <c r="H482" s="91"/>
      <c r="I482" s="91"/>
      <c r="M482" s="91"/>
      <c r="N482" s="91"/>
    </row>
    <row r="483" ht="15.75" customHeight="1">
      <c r="A483" s="91"/>
      <c r="E483" s="91"/>
      <c r="H483" s="91"/>
      <c r="I483" s="91"/>
      <c r="M483" s="91"/>
      <c r="N483" s="91"/>
    </row>
    <row r="484" ht="15.75" customHeight="1">
      <c r="A484" s="91"/>
      <c r="E484" s="91"/>
      <c r="H484" s="91"/>
      <c r="I484" s="91"/>
      <c r="M484" s="91"/>
      <c r="N484" s="91"/>
    </row>
    <row r="485" ht="15.75" customHeight="1">
      <c r="A485" s="91"/>
      <c r="E485" s="91"/>
      <c r="H485" s="91"/>
      <c r="I485" s="91"/>
      <c r="M485" s="91"/>
      <c r="N485" s="91"/>
    </row>
    <row r="486" ht="15.75" customHeight="1">
      <c r="A486" s="91"/>
      <c r="E486" s="91"/>
      <c r="H486" s="91"/>
      <c r="I486" s="91"/>
      <c r="M486" s="91"/>
      <c r="N486" s="91"/>
    </row>
    <row r="487" ht="15.75" customHeight="1">
      <c r="A487" s="91"/>
      <c r="E487" s="91"/>
      <c r="H487" s="91"/>
      <c r="I487" s="91"/>
      <c r="M487" s="91"/>
      <c r="N487" s="91"/>
    </row>
    <row r="488" ht="15.75" customHeight="1">
      <c r="A488" s="91"/>
      <c r="E488" s="91"/>
      <c r="H488" s="91"/>
      <c r="I488" s="91"/>
      <c r="M488" s="91"/>
      <c r="N488" s="91"/>
    </row>
    <row r="489" ht="15.75" customHeight="1">
      <c r="A489" s="91"/>
      <c r="E489" s="91"/>
      <c r="H489" s="91"/>
      <c r="I489" s="91"/>
      <c r="M489" s="91"/>
      <c r="N489" s="91"/>
    </row>
    <row r="490" ht="15.75" customHeight="1">
      <c r="A490" s="91"/>
      <c r="E490" s="91"/>
      <c r="H490" s="91"/>
      <c r="I490" s="91"/>
      <c r="M490" s="91"/>
      <c r="N490" s="91"/>
    </row>
    <row r="491" ht="15.75" customHeight="1">
      <c r="A491" s="91"/>
      <c r="E491" s="91"/>
      <c r="H491" s="91"/>
      <c r="I491" s="91"/>
      <c r="M491" s="91"/>
      <c r="N491" s="91"/>
    </row>
    <row r="492" ht="15.75" customHeight="1">
      <c r="A492" s="91"/>
      <c r="E492" s="91"/>
      <c r="H492" s="91"/>
      <c r="I492" s="91"/>
      <c r="M492" s="91"/>
      <c r="N492" s="91"/>
    </row>
    <row r="493" ht="15.75" customHeight="1">
      <c r="A493" s="91"/>
      <c r="E493" s="91"/>
      <c r="H493" s="91"/>
      <c r="I493" s="91"/>
      <c r="M493" s="91"/>
      <c r="N493" s="91"/>
    </row>
    <row r="494" ht="15.75" customHeight="1">
      <c r="A494" s="91"/>
      <c r="E494" s="91"/>
      <c r="H494" s="91"/>
      <c r="I494" s="91"/>
      <c r="M494" s="91"/>
      <c r="N494" s="91"/>
    </row>
    <row r="495" ht="15.75" customHeight="1">
      <c r="A495" s="91"/>
      <c r="E495" s="91"/>
      <c r="H495" s="91"/>
      <c r="I495" s="91"/>
      <c r="M495" s="91"/>
      <c r="N495" s="91"/>
    </row>
    <row r="496" ht="15.75" customHeight="1">
      <c r="A496" s="91"/>
      <c r="E496" s="91"/>
      <c r="H496" s="91"/>
      <c r="I496" s="91"/>
      <c r="M496" s="91"/>
      <c r="N496" s="91"/>
    </row>
    <row r="497" ht="15.75" customHeight="1">
      <c r="A497" s="91"/>
      <c r="E497" s="91"/>
      <c r="H497" s="91"/>
      <c r="I497" s="91"/>
      <c r="M497" s="91"/>
      <c r="N497" s="91"/>
    </row>
    <row r="498" ht="15.75" customHeight="1">
      <c r="A498" s="91"/>
      <c r="E498" s="91"/>
      <c r="H498" s="91"/>
      <c r="I498" s="91"/>
      <c r="M498" s="91"/>
      <c r="N498" s="91"/>
    </row>
    <row r="499" ht="15.75" customHeight="1">
      <c r="A499" s="91"/>
      <c r="E499" s="91"/>
      <c r="H499" s="91"/>
      <c r="I499" s="91"/>
      <c r="M499" s="91"/>
      <c r="N499" s="91"/>
    </row>
    <row r="500" ht="15.75" customHeight="1">
      <c r="A500" s="91"/>
      <c r="E500" s="91"/>
      <c r="H500" s="91"/>
      <c r="I500" s="91"/>
      <c r="M500" s="91"/>
      <c r="N500" s="91"/>
    </row>
    <row r="501" ht="15.75" customHeight="1">
      <c r="A501" s="91"/>
      <c r="E501" s="91"/>
      <c r="H501" s="91"/>
      <c r="I501" s="91"/>
      <c r="M501" s="91"/>
      <c r="N501" s="91"/>
    </row>
    <row r="502" ht="15.75" customHeight="1">
      <c r="A502" s="91"/>
      <c r="E502" s="91"/>
      <c r="H502" s="91"/>
      <c r="I502" s="91"/>
      <c r="M502" s="91"/>
      <c r="N502" s="91"/>
    </row>
    <row r="503" ht="15.75" customHeight="1">
      <c r="A503" s="91"/>
      <c r="E503" s="91"/>
      <c r="H503" s="91"/>
      <c r="I503" s="91"/>
      <c r="M503" s="91"/>
      <c r="N503" s="91"/>
    </row>
    <row r="504" ht="15.75" customHeight="1">
      <c r="A504" s="91"/>
      <c r="E504" s="91"/>
      <c r="H504" s="91"/>
      <c r="I504" s="91"/>
      <c r="M504" s="91"/>
      <c r="N504" s="91"/>
    </row>
    <row r="505" ht="15.75" customHeight="1">
      <c r="A505" s="91"/>
      <c r="E505" s="91"/>
      <c r="H505" s="91"/>
      <c r="I505" s="91"/>
      <c r="M505" s="91"/>
      <c r="N505" s="91"/>
    </row>
    <row r="506" ht="15.75" customHeight="1">
      <c r="A506" s="91"/>
      <c r="E506" s="91"/>
      <c r="H506" s="91"/>
      <c r="I506" s="91"/>
      <c r="M506" s="91"/>
      <c r="N506" s="91"/>
    </row>
    <row r="507" ht="15.75" customHeight="1">
      <c r="A507" s="91"/>
      <c r="E507" s="91"/>
      <c r="H507" s="91"/>
      <c r="I507" s="91"/>
      <c r="M507" s="91"/>
      <c r="N507" s="91"/>
    </row>
    <row r="508" ht="15.75" customHeight="1">
      <c r="A508" s="91"/>
      <c r="E508" s="91"/>
      <c r="H508" s="91"/>
      <c r="I508" s="91"/>
      <c r="M508" s="91"/>
      <c r="N508" s="91"/>
    </row>
    <row r="509" ht="15.75" customHeight="1">
      <c r="A509" s="91"/>
      <c r="E509" s="91"/>
      <c r="H509" s="91"/>
      <c r="I509" s="91"/>
      <c r="M509" s="91"/>
      <c r="N509" s="91"/>
    </row>
    <row r="510" ht="15.75" customHeight="1">
      <c r="A510" s="91"/>
      <c r="E510" s="91"/>
      <c r="H510" s="91"/>
      <c r="I510" s="91"/>
      <c r="M510" s="91"/>
      <c r="N510" s="91"/>
    </row>
    <row r="511" ht="15.75" customHeight="1">
      <c r="A511" s="91"/>
      <c r="E511" s="91"/>
      <c r="H511" s="91"/>
      <c r="I511" s="91"/>
      <c r="M511" s="91"/>
      <c r="N511" s="91"/>
    </row>
    <row r="512" ht="15.75" customHeight="1">
      <c r="A512" s="91"/>
      <c r="E512" s="91"/>
      <c r="H512" s="91"/>
      <c r="I512" s="91"/>
      <c r="M512" s="91"/>
      <c r="N512" s="91"/>
    </row>
    <row r="513" ht="15.75" customHeight="1">
      <c r="A513" s="91"/>
      <c r="E513" s="91"/>
      <c r="H513" s="91"/>
      <c r="I513" s="91"/>
      <c r="M513" s="91"/>
      <c r="N513" s="91"/>
    </row>
    <row r="514" ht="15.75" customHeight="1">
      <c r="A514" s="91"/>
      <c r="E514" s="91"/>
      <c r="H514" s="91"/>
      <c r="I514" s="91"/>
      <c r="M514" s="91"/>
      <c r="N514" s="91"/>
    </row>
    <row r="515" ht="15.75" customHeight="1">
      <c r="A515" s="91"/>
      <c r="E515" s="91"/>
      <c r="H515" s="91"/>
      <c r="I515" s="91"/>
      <c r="M515" s="91"/>
      <c r="N515" s="91"/>
    </row>
    <row r="516" ht="15.75" customHeight="1">
      <c r="A516" s="91"/>
      <c r="E516" s="91"/>
      <c r="H516" s="91"/>
      <c r="I516" s="91"/>
      <c r="M516" s="91"/>
      <c r="N516" s="91"/>
    </row>
    <row r="517" ht="15.75" customHeight="1">
      <c r="A517" s="91"/>
      <c r="E517" s="91"/>
      <c r="H517" s="91"/>
      <c r="I517" s="91"/>
      <c r="M517" s="91"/>
      <c r="N517" s="91"/>
    </row>
    <row r="518" ht="15.75" customHeight="1">
      <c r="A518" s="91"/>
      <c r="E518" s="91"/>
      <c r="H518" s="91"/>
      <c r="I518" s="91"/>
      <c r="M518" s="91"/>
      <c r="N518" s="91"/>
    </row>
    <row r="519" ht="15.75" customHeight="1">
      <c r="A519" s="91"/>
      <c r="E519" s="91"/>
      <c r="H519" s="91"/>
      <c r="I519" s="91"/>
      <c r="M519" s="91"/>
      <c r="N519" s="91"/>
    </row>
    <row r="520" ht="15.75" customHeight="1">
      <c r="A520" s="91"/>
      <c r="E520" s="91"/>
      <c r="H520" s="91"/>
      <c r="I520" s="91"/>
      <c r="M520" s="91"/>
      <c r="N520" s="91"/>
    </row>
    <row r="521" ht="15.75" customHeight="1">
      <c r="A521" s="91"/>
      <c r="E521" s="91"/>
      <c r="H521" s="91"/>
      <c r="I521" s="91"/>
      <c r="M521" s="91"/>
      <c r="N521" s="91"/>
    </row>
    <row r="522" ht="15.75" customHeight="1">
      <c r="A522" s="91"/>
      <c r="E522" s="91"/>
      <c r="H522" s="91"/>
      <c r="I522" s="91"/>
      <c r="M522" s="91"/>
      <c r="N522" s="91"/>
    </row>
    <row r="523" ht="15.75" customHeight="1">
      <c r="A523" s="91"/>
      <c r="E523" s="91"/>
      <c r="H523" s="91"/>
      <c r="I523" s="91"/>
      <c r="M523" s="91"/>
      <c r="N523" s="91"/>
    </row>
    <row r="524" ht="15.75" customHeight="1">
      <c r="A524" s="91"/>
      <c r="E524" s="91"/>
      <c r="H524" s="91"/>
      <c r="I524" s="91"/>
      <c r="M524" s="91"/>
      <c r="N524" s="91"/>
    </row>
    <row r="525" ht="15.75" customHeight="1">
      <c r="A525" s="91"/>
      <c r="E525" s="91"/>
      <c r="H525" s="91"/>
      <c r="I525" s="91"/>
      <c r="M525" s="91"/>
      <c r="N525" s="91"/>
    </row>
    <row r="526" ht="15.75" customHeight="1">
      <c r="A526" s="91"/>
      <c r="E526" s="91"/>
      <c r="H526" s="91"/>
      <c r="I526" s="91"/>
      <c r="M526" s="91"/>
      <c r="N526" s="91"/>
    </row>
    <row r="527" ht="15.75" customHeight="1">
      <c r="A527" s="91"/>
      <c r="E527" s="91"/>
      <c r="H527" s="91"/>
      <c r="I527" s="91"/>
      <c r="M527" s="91"/>
      <c r="N527" s="91"/>
    </row>
    <row r="528" ht="15.75" customHeight="1">
      <c r="A528" s="91"/>
      <c r="E528" s="91"/>
      <c r="H528" s="91"/>
      <c r="I528" s="91"/>
      <c r="M528" s="91"/>
      <c r="N528" s="91"/>
    </row>
    <row r="529" ht="15.75" customHeight="1">
      <c r="A529" s="91"/>
      <c r="E529" s="91"/>
      <c r="H529" s="91"/>
      <c r="I529" s="91"/>
      <c r="M529" s="91"/>
      <c r="N529" s="91"/>
    </row>
    <row r="530" ht="15.75" customHeight="1">
      <c r="A530" s="91"/>
      <c r="E530" s="91"/>
      <c r="H530" s="91"/>
      <c r="I530" s="91"/>
      <c r="M530" s="91"/>
      <c r="N530" s="91"/>
    </row>
    <row r="531" ht="15.75" customHeight="1">
      <c r="A531" s="91"/>
      <c r="E531" s="91"/>
      <c r="H531" s="91"/>
      <c r="I531" s="91"/>
      <c r="M531" s="91"/>
      <c r="N531" s="91"/>
    </row>
    <row r="532" ht="15.75" customHeight="1">
      <c r="A532" s="91"/>
      <c r="E532" s="91"/>
      <c r="H532" s="91"/>
      <c r="I532" s="91"/>
      <c r="M532" s="91"/>
      <c r="N532" s="91"/>
    </row>
    <row r="533" ht="15.75" customHeight="1">
      <c r="A533" s="91"/>
      <c r="E533" s="91"/>
      <c r="H533" s="91"/>
      <c r="I533" s="91"/>
      <c r="M533" s="91"/>
      <c r="N533" s="91"/>
    </row>
    <row r="534" ht="15.75" customHeight="1">
      <c r="A534" s="91"/>
      <c r="E534" s="91"/>
      <c r="H534" s="91"/>
      <c r="I534" s="91"/>
      <c r="M534" s="91"/>
      <c r="N534" s="91"/>
    </row>
    <row r="535" ht="15.75" customHeight="1">
      <c r="A535" s="91"/>
      <c r="E535" s="91"/>
      <c r="H535" s="91"/>
      <c r="I535" s="91"/>
      <c r="M535" s="91"/>
      <c r="N535" s="91"/>
    </row>
    <row r="536" ht="15.75" customHeight="1">
      <c r="A536" s="91"/>
      <c r="E536" s="91"/>
      <c r="H536" s="91"/>
      <c r="I536" s="91"/>
      <c r="M536" s="91"/>
      <c r="N536" s="91"/>
    </row>
    <row r="537" ht="15.75" customHeight="1">
      <c r="A537" s="91"/>
      <c r="E537" s="91"/>
      <c r="H537" s="91"/>
      <c r="I537" s="91"/>
      <c r="M537" s="91"/>
      <c r="N537" s="91"/>
    </row>
    <row r="538" ht="15.75" customHeight="1">
      <c r="A538" s="91"/>
      <c r="E538" s="91"/>
      <c r="H538" s="91"/>
      <c r="I538" s="91"/>
      <c r="M538" s="91"/>
      <c r="N538" s="91"/>
    </row>
    <row r="539" ht="15.75" customHeight="1">
      <c r="A539" s="91"/>
      <c r="E539" s="91"/>
      <c r="H539" s="91"/>
      <c r="I539" s="91"/>
      <c r="M539" s="91"/>
      <c r="N539" s="91"/>
    </row>
    <row r="540" ht="15.75" customHeight="1">
      <c r="A540" s="91"/>
      <c r="E540" s="91"/>
      <c r="H540" s="91"/>
      <c r="I540" s="91"/>
      <c r="M540" s="91"/>
      <c r="N540" s="91"/>
    </row>
    <row r="541" ht="15.75" customHeight="1">
      <c r="A541" s="91"/>
      <c r="E541" s="91"/>
      <c r="H541" s="91"/>
      <c r="I541" s="91"/>
      <c r="M541" s="91"/>
      <c r="N541" s="91"/>
    </row>
    <row r="542" ht="15.75" customHeight="1">
      <c r="A542" s="91"/>
      <c r="E542" s="91"/>
      <c r="H542" s="91"/>
      <c r="I542" s="91"/>
      <c r="M542" s="91"/>
      <c r="N542" s="91"/>
    </row>
    <row r="543" ht="15.75" customHeight="1">
      <c r="A543" s="91"/>
      <c r="E543" s="91"/>
      <c r="H543" s="91"/>
      <c r="I543" s="91"/>
      <c r="M543" s="91"/>
      <c r="N543" s="91"/>
    </row>
    <row r="544" ht="15.75" customHeight="1">
      <c r="A544" s="91"/>
      <c r="E544" s="91"/>
      <c r="H544" s="91"/>
      <c r="I544" s="91"/>
      <c r="M544" s="91"/>
      <c r="N544" s="91"/>
    </row>
    <row r="545" ht="15.75" customHeight="1">
      <c r="A545" s="91"/>
      <c r="E545" s="91"/>
      <c r="H545" s="91"/>
      <c r="I545" s="91"/>
      <c r="M545" s="91"/>
      <c r="N545" s="91"/>
    </row>
    <row r="546" ht="15.75" customHeight="1">
      <c r="A546" s="91"/>
      <c r="E546" s="91"/>
      <c r="H546" s="91"/>
      <c r="I546" s="91"/>
      <c r="M546" s="91"/>
      <c r="N546" s="91"/>
    </row>
    <row r="547" ht="15.75" customHeight="1">
      <c r="A547" s="91"/>
      <c r="E547" s="91"/>
      <c r="H547" s="91"/>
      <c r="I547" s="91"/>
      <c r="M547" s="91"/>
      <c r="N547" s="91"/>
    </row>
    <row r="548" ht="15.75" customHeight="1">
      <c r="A548" s="91"/>
      <c r="E548" s="91"/>
      <c r="H548" s="91"/>
      <c r="I548" s="91"/>
      <c r="M548" s="91"/>
      <c r="N548" s="91"/>
    </row>
    <row r="549" ht="15.75" customHeight="1">
      <c r="A549" s="91"/>
      <c r="E549" s="91"/>
      <c r="H549" s="91"/>
      <c r="I549" s="91"/>
      <c r="M549" s="91"/>
      <c r="N549" s="91"/>
    </row>
    <row r="550" ht="15.75" customHeight="1">
      <c r="A550" s="91"/>
      <c r="E550" s="91"/>
      <c r="H550" s="91"/>
      <c r="I550" s="91"/>
      <c r="M550" s="91"/>
      <c r="N550" s="91"/>
    </row>
    <row r="551" ht="15.75" customHeight="1">
      <c r="A551" s="91"/>
      <c r="E551" s="91"/>
      <c r="H551" s="91"/>
      <c r="I551" s="91"/>
      <c r="M551" s="91"/>
      <c r="N551" s="91"/>
    </row>
    <row r="552" ht="15.75" customHeight="1">
      <c r="A552" s="91"/>
      <c r="E552" s="91"/>
      <c r="H552" s="91"/>
      <c r="I552" s="91"/>
      <c r="M552" s="91"/>
      <c r="N552" s="91"/>
    </row>
    <row r="553" ht="15.75" customHeight="1">
      <c r="A553" s="91"/>
      <c r="E553" s="91"/>
      <c r="H553" s="91"/>
      <c r="I553" s="91"/>
      <c r="M553" s="91"/>
      <c r="N553" s="91"/>
    </row>
    <row r="554" ht="15.75" customHeight="1">
      <c r="A554" s="91"/>
      <c r="E554" s="91"/>
      <c r="H554" s="91"/>
      <c r="I554" s="91"/>
      <c r="M554" s="91"/>
      <c r="N554" s="91"/>
    </row>
    <row r="555" ht="15.75" customHeight="1">
      <c r="A555" s="91"/>
      <c r="E555" s="91"/>
      <c r="H555" s="91"/>
      <c r="I555" s="91"/>
      <c r="M555" s="91"/>
      <c r="N555" s="91"/>
    </row>
    <row r="556" ht="15.75" customHeight="1">
      <c r="A556" s="91"/>
      <c r="E556" s="91"/>
      <c r="H556" s="91"/>
      <c r="I556" s="91"/>
      <c r="M556" s="91"/>
      <c r="N556" s="91"/>
    </row>
    <row r="557" ht="15.75" customHeight="1">
      <c r="A557" s="91"/>
      <c r="E557" s="91"/>
      <c r="H557" s="91"/>
      <c r="I557" s="91"/>
      <c r="M557" s="91"/>
      <c r="N557" s="91"/>
    </row>
    <row r="558" ht="15.75" customHeight="1">
      <c r="A558" s="91"/>
      <c r="E558" s="91"/>
      <c r="H558" s="91"/>
      <c r="I558" s="91"/>
      <c r="M558" s="91"/>
      <c r="N558" s="91"/>
    </row>
    <row r="559" ht="15.75" customHeight="1">
      <c r="A559" s="91"/>
      <c r="E559" s="91"/>
      <c r="H559" s="91"/>
      <c r="I559" s="91"/>
      <c r="M559" s="91"/>
      <c r="N559" s="91"/>
    </row>
    <row r="560" ht="15.75" customHeight="1">
      <c r="A560" s="91"/>
      <c r="E560" s="91"/>
      <c r="H560" s="91"/>
      <c r="I560" s="91"/>
      <c r="M560" s="91"/>
      <c r="N560" s="91"/>
    </row>
    <row r="561" ht="15.75" customHeight="1">
      <c r="A561" s="91"/>
      <c r="E561" s="91"/>
      <c r="H561" s="91"/>
      <c r="I561" s="91"/>
      <c r="M561" s="91"/>
      <c r="N561" s="91"/>
    </row>
    <row r="562" ht="15.75" customHeight="1">
      <c r="A562" s="91"/>
      <c r="E562" s="91"/>
      <c r="H562" s="91"/>
      <c r="I562" s="91"/>
      <c r="M562" s="91"/>
      <c r="N562" s="91"/>
    </row>
    <row r="563" ht="15.75" customHeight="1">
      <c r="A563" s="91"/>
      <c r="E563" s="91"/>
      <c r="H563" s="91"/>
      <c r="I563" s="91"/>
      <c r="M563" s="91"/>
      <c r="N563" s="91"/>
    </row>
    <row r="564" ht="15.75" customHeight="1">
      <c r="A564" s="91"/>
      <c r="E564" s="91"/>
      <c r="H564" s="91"/>
      <c r="I564" s="91"/>
      <c r="M564" s="91"/>
      <c r="N564" s="91"/>
    </row>
    <row r="565" ht="15.75" customHeight="1">
      <c r="A565" s="91"/>
      <c r="E565" s="91"/>
      <c r="H565" s="91"/>
      <c r="I565" s="91"/>
      <c r="M565" s="91"/>
      <c r="N565" s="91"/>
    </row>
    <row r="566" ht="15.75" customHeight="1">
      <c r="A566" s="91"/>
      <c r="E566" s="91"/>
      <c r="H566" s="91"/>
      <c r="I566" s="91"/>
      <c r="M566" s="91"/>
      <c r="N566" s="91"/>
    </row>
    <row r="567" ht="15.75" customHeight="1">
      <c r="A567" s="91"/>
      <c r="E567" s="91"/>
      <c r="H567" s="91"/>
      <c r="I567" s="91"/>
      <c r="M567" s="91"/>
      <c r="N567" s="91"/>
    </row>
    <row r="568" ht="15.75" customHeight="1">
      <c r="A568" s="91"/>
      <c r="E568" s="91"/>
      <c r="H568" s="91"/>
      <c r="I568" s="91"/>
      <c r="M568" s="91"/>
      <c r="N568" s="91"/>
    </row>
    <row r="569" ht="15.75" customHeight="1">
      <c r="A569" s="91"/>
      <c r="E569" s="91"/>
      <c r="H569" s="91"/>
      <c r="I569" s="91"/>
      <c r="M569" s="91"/>
      <c r="N569" s="91"/>
    </row>
    <row r="570" ht="15.75" customHeight="1">
      <c r="A570" s="91"/>
      <c r="E570" s="91"/>
      <c r="H570" s="91"/>
      <c r="I570" s="91"/>
      <c r="M570" s="91"/>
      <c r="N570" s="91"/>
    </row>
    <row r="571" ht="15.75" customHeight="1">
      <c r="A571" s="91"/>
      <c r="E571" s="91"/>
      <c r="H571" s="91"/>
      <c r="I571" s="91"/>
      <c r="M571" s="91"/>
      <c r="N571" s="91"/>
    </row>
    <row r="572" ht="15.75" customHeight="1">
      <c r="A572" s="91"/>
      <c r="E572" s="91"/>
      <c r="H572" s="91"/>
      <c r="I572" s="91"/>
      <c r="M572" s="91"/>
      <c r="N572" s="91"/>
    </row>
    <row r="573" ht="15.75" customHeight="1">
      <c r="A573" s="91"/>
      <c r="E573" s="91"/>
      <c r="H573" s="91"/>
      <c r="I573" s="91"/>
      <c r="M573" s="91"/>
      <c r="N573" s="91"/>
    </row>
    <row r="574" ht="15.75" customHeight="1">
      <c r="A574" s="91"/>
      <c r="E574" s="91"/>
      <c r="H574" s="91"/>
      <c r="I574" s="91"/>
      <c r="M574" s="91"/>
      <c r="N574" s="91"/>
    </row>
    <row r="575" ht="15.75" customHeight="1">
      <c r="A575" s="91"/>
      <c r="E575" s="91"/>
      <c r="H575" s="91"/>
      <c r="I575" s="91"/>
      <c r="M575" s="91"/>
      <c r="N575" s="91"/>
    </row>
    <row r="576" ht="15.75" customHeight="1">
      <c r="A576" s="91"/>
      <c r="E576" s="91"/>
      <c r="H576" s="91"/>
      <c r="I576" s="91"/>
      <c r="M576" s="91"/>
      <c r="N576" s="91"/>
    </row>
    <row r="577" ht="15.75" customHeight="1">
      <c r="A577" s="91"/>
      <c r="E577" s="91"/>
      <c r="H577" s="91"/>
      <c r="I577" s="91"/>
      <c r="M577" s="91"/>
      <c r="N577" s="91"/>
    </row>
    <row r="578" ht="15.75" customHeight="1">
      <c r="A578" s="91"/>
      <c r="E578" s="91"/>
      <c r="H578" s="91"/>
      <c r="I578" s="91"/>
      <c r="M578" s="91"/>
      <c r="N578" s="91"/>
    </row>
    <row r="579" ht="15.75" customHeight="1">
      <c r="A579" s="91"/>
      <c r="E579" s="91"/>
      <c r="H579" s="91"/>
      <c r="I579" s="91"/>
      <c r="M579" s="91"/>
      <c r="N579" s="91"/>
    </row>
    <row r="580" ht="15.75" customHeight="1">
      <c r="A580" s="91"/>
      <c r="E580" s="91"/>
      <c r="H580" s="91"/>
      <c r="I580" s="91"/>
      <c r="M580" s="91"/>
      <c r="N580" s="91"/>
    </row>
    <row r="581" ht="15.75" customHeight="1">
      <c r="A581" s="91"/>
      <c r="E581" s="91"/>
      <c r="H581" s="91"/>
      <c r="I581" s="91"/>
      <c r="M581" s="91"/>
      <c r="N581" s="91"/>
    </row>
    <row r="582" ht="15.75" customHeight="1">
      <c r="A582" s="91"/>
      <c r="E582" s="91"/>
      <c r="H582" s="91"/>
      <c r="I582" s="91"/>
      <c r="M582" s="91"/>
      <c r="N582" s="91"/>
    </row>
    <row r="583" ht="15.75" customHeight="1">
      <c r="A583" s="91"/>
      <c r="E583" s="91"/>
      <c r="H583" s="91"/>
      <c r="I583" s="91"/>
      <c r="M583" s="91"/>
      <c r="N583" s="91"/>
    </row>
    <row r="584" ht="15.75" customHeight="1">
      <c r="A584" s="91"/>
      <c r="E584" s="91"/>
      <c r="H584" s="91"/>
      <c r="I584" s="91"/>
      <c r="M584" s="91"/>
      <c r="N584" s="91"/>
    </row>
    <row r="585" ht="15.75" customHeight="1">
      <c r="A585" s="91"/>
      <c r="E585" s="91"/>
      <c r="H585" s="91"/>
      <c r="I585" s="91"/>
      <c r="M585" s="91"/>
      <c r="N585" s="91"/>
    </row>
    <row r="586" ht="15.75" customHeight="1">
      <c r="A586" s="91"/>
      <c r="E586" s="91"/>
      <c r="H586" s="91"/>
      <c r="I586" s="91"/>
      <c r="M586" s="91"/>
      <c r="N586" s="91"/>
    </row>
    <row r="587" ht="15.75" customHeight="1">
      <c r="A587" s="91"/>
      <c r="E587" s="91"/>
      <c r="H587" s="91"/>
      <c r="I587" s="91"/>
      <c r="M587" s="91"/>
      <c r="N587" s="91"/>
    </row>
    <row r="588" ht="15.75" customHeight="1">
      <c r="A588" s="91"/>
      <c r="E588" s="91"/>
      <c r="H588" s="91"/>
      <c r="I588" s="91"/>
      <c r="M588" s="91"/>
      <c r="N588" s="91"/>
    </row>
    <row r="589" ht="15.75" customHeight="1">
      <c r="A589" s="91"/>
      <c r="E589" s="91"/>
      <c r="H589" s="91"/>
      <c r="I589" s="91"/>
      <c r="M589" s="91"/>
      <c r="N589" s="91"/>
    </row>
    <row r="590" ht="15.75" customHeight="1">
      <c r="A590" s="91"/>
      <c r="E590" s="91"/>
      <c r="H590" s="91"/>
      <c r="I590" s="91"/>
      <c r="M590" s="91"/>
      <c r="N590" s="91"/>
    </row>
    <row r="591" ht="15.75" customHeight="1">
      <c r="A591" s="91"/>
      <c r="E591" s="91"/>
      <c r="H591" s="91"/>
      <c r="I591" s="91"/>
      <c r="M591" s="91"/>
      <c r="N591" s="91"/>
    </row>
    <row r="592" ht="15.75" customHeight="1">
      <c r="A592" s="91"/>
      <c r="E592" s="91"/>
      <c r="H592" s="91"/>
      <c r="I592" s="91"/>
      <c r="M592" s="91"/>
      <c r="N592" s="91"/>
    </row>
    <row r="593" ht="15.75" customHeight="1">
      <c r="A593" s="91"/>
      <c r="E593" s="91"/>
      <c r="H593" s="91"/>
      <c r="I593" s="91"/>
      <c r="M593" s="91"/>
      <c r="N593" s="91"/>
    </row>
    <row r="594" ht="15.75" customHeight="1">
      <c r="A594" s="91"/>
      <c r="E594" s="91"/>
      <c r="H594" s="91"/>
      <c r="I594" s="91"/>
      <c r="M594" s="91"/>
      <c r="N594" s="91"/>
    </row>
    <row r="595" ht="15.75" customHeight="1">
      <c r="A595" s="91"/>
      <c r="E595" s="91"/>
      <c r="H595" s="91"/>
      <c r="I595" s="91"/>
      <c r="M595" s="91"/>
      <c r="N595" s="91"/>
    </row>
    <row r="596" ht="15.75" customHeight="1">
      <c r="A596" s="91"/>
      <c r="E596" s="91"/>
      <c r="H596" s="91"/>
      <c r="I596" s="91"/>
      <c r="M596" s="91"/>
      <c r="N596" s="91"/>
    </row>
    <row r="597" ht="15.75" customHeight="1">
      <c r="A597" s="91"/>
      <c r="E597" s="91"/>
      <c r="H597" s="91"/>
      <c r="I597" s="91"/>
      <c r="M597" s="91"/>
      <c r="N597" s="91"/>
    </row>
    <row r="598" ht="15.75" customHeight="1">
      <c r="A598" s="91"/>
      <c r="E598" s="91"/>
      <c r="H598" s="91"/>
      <c r="I598" s="91"/>
      <c r="M598" s="91"/>
      <c r="N598" s="91"/>
    </row>
    <row r="599" ht="15.75" customHeight="1">
      <c r="A599" s="91"/>
      <c r="E599" s="91"/>
      <c r="H599" s="91"/>
      <c r="I599" s="91"/>
      <c r="M599" s="91"/>
      <c r="N599" s="91"/>
    </row>
    <row r="600" ht="15.75" customHeight="1">
      <c r="A600" s="91"/>
      <c r="E600" s="91"/>
      <c r="H600" s="91"/>
      <c r="I600" s="91"/>
      <c r="M600" s="91"/>
      <c r="N600" s="91"/>
    </row>
    <row r="601" ht="15.75" customHeight="1">
      <c r="A601" s="91"/>
      <c r="E601" s="91"/>
      <c r="H601" s="91"/>
      <c r="I601" s="91"/>
      <c r="M601" s="91"/>
      <c r="N601" s="91"/>
    </row>
    <row r="602" ht="15.75" customHeight="1">
      <c r="A602" s="91"/>
      <c r="E602" s="91"/>
      <c r="H602" s="91"/>
      <c r="I602" s="91"/>
      <c r="M602" s="91"/>
      <c r="N602" s="91"/>
    </row>
    <row r="603" ht="15.75" customHeight="1">
      <c r="A603" s="91"/>
      <c r="E603" s="91"/>
      <c r="H603" s="91"/>
      <c r="I603" s="91"/>
      <c r="M603" s="91"/>
      <c r="N603" s="91"/>
    </row>
    <row r="604" ht="15.75" customHeight="1">
      <c r="A604" s="91"/>
      <c r="E604" s="91"/>
      <c r="H604" s="91"/>
      <c r="I604" s="91"/>
      <c r="M604" s="91"/>
      <c r="N604" s="91"/>
    </row>
    <row r="605" ht="15.75" customHeight="1">
      <c r="A605" s="91"/>
      <c r="E605" s="91"/>
      <c r="H605" s="91"/>
      <c r="I605" s="91"/>
      <c r="M605" s="91"/>
      <c r="N605" s="91"/>
    </row>
    <row r="606" ht="15.75" customHeight="1">
      <c r="A606" s="91"/>
      <c r="E606" s="91"/>
      <c r="H606" s="91"/>
      <c r="I606" s="91"/>
      <c r="M606" s="91"/>
      <c r="N606" s="91"/>
    </row>
    <row r="607" ht="15.75" customHeight="1">
      <c r="A607" s="91"/>
      <c r="E607" s="91"/>
      <c r="H607" s="91"/>
      <c r="I607" s="91"/>
      <c r="M607" s="91"/>
      <c r="N607" s="91"/>
    </row>
    <row r="608" ht="15.75" customHeight="1">
      <c r="A608" s="91"/>
      <c r="E608" s="91"/>
      <c r="H608" s="91"/>
      <c r="I608" s="91"/>
      <c r="M608" s="91"/>
      <c r="N608" s="91"/>
    </row>
    <row r="609" ht="15.75" customHeight="1">
      <c r="A609" s="91"/>
      <c r="E609" s="91"/>
      <c r="H609" s="91"/>
      <c r="I609" s="91"/>
      <c r="M609" s="91"/>
      <c r="N609" s="91"/>
    </row>
    <row r="610" ht="15.75" customHeight="1">
      <c r="A610" s="91"/>
      <c r="E610" s="91"/>
      <c r="H610" s="91"/>
      <c r="I610" s="91"/>
      <c r="M610" s="91"/>
      <c r="N610" s="91"/>
    </row>
    <row r="611" ht="15.75" customHeight="1">
      <c r="A611" s="91"/>
      <c r="E611" s="91"/>
      <c r="H611" s="91"/>
      <c r="I611" s="91"/>
      <c r="M611" s="91"/>
      <c r="N611" s="91"/>
    </row>
    <row r="612" ht="15.75" customHeight="1">
      <c r="A612" s="91"/>
      <c r="E612" s="91"/>
      <c r="H612" s="91"/>
      <c r="I612" s="91"/>
      <c r="M612" s="91"/>
      <c r="N612" s="91"/>
    </row>
    <row r="613" ht="15.75" customHeight="1">
      <c r="A613" s="91"/>
      <c r="E613" s="91"/>
      <c r="H613" s="91"/>
      <c r="I613" s="91"/>
      <c r="M613" s="91"/>
      <c r="N613" s="91"/>
    </row>
    <row r="614" ht="15.75" customHeight="1">
      <c r="A614" s="91"/>
      <c r="E614" s="91"/>
      <c r="H614" s="91"/>
      <c r="I614" s="91"/>
      <c r="M614" s="91"/>
      <c r="N614" s="91"/>
    </row>
    <row r="615" ht="15.75" customHeight="1">
      <c r="A615" s="91"/>
      <c r="E615" s="91"/>
      <c r="H615" s="91"/>
      <c r="I615" s="91"/>
      <c r="M615" s="91"/>
      <c r="N615" s="91"/>
    </row>
    <row r="616" ht="15.75" customHeight="1">
      <c r="A616" s="91"/>
      <c r="E616" s="91"/>
      <c r="H616" s="91"/>
      <c r="I616" s="91"/>
      <c r="M616" s="91"/>
      <c r="N616" s="91"/>
    </row>
    <row r="617" ht="15.75" customHeight="1">
      <c r="A617" s="91"/>
      <c r="E617" s="91"/>
      <c r="H617" s="91"/>
      <c r="I617" s="91"/>
      <c r="M617" s="91"/>
      <c r="N617" s="91"/>
    </row>
    <row r="618" ht="15.75" customHeight="1">
      <c r="A618" s="91"/>
      <c r="E618" s="91"/>
      <c r="H618" s="91"/>
      <c r="I618" s="91"/>
      <c r="M618" s="91"/>
      <c r="N618" s="91"/>
    </row>
    <row r="619" ht="15.75" customHeight="1">
      <c r="A619" s="91"/>
      <c r="E619" s="91"/>
      <c r="H619" s="91"/>
      <c r="I619" s="91"/>
      <c r="M619" s="91"/>
      <c r="N619" s="91"/>
    </row>
    <row r="620" ht="15.75" customHeight="1">
      <c r="A620" s="91"/>
      <c r="E620" s="91"/>
      <c r="H620" s="91"/>
      <c r="I620" s="91"/>
      <c r="M620" s="91"/>
      <c r="N620" s="91"/>
    </row>
    <row r="621" ht="15.75" customHeight="1">
      <c r="A621" s="91"/>
      <c r="E621" s="91"/>
      <c r="H621" s="91"/>
      <c r="I621" s="91"/>
      <c r="M621" s="91"/>
      <c r="N621" s="91"/>
    </row>
    <row r="622" ht="15.75" customHeight="1">
      <c r="A622" s="91"/>
      <c r="E622" s="91"/>
      <c r="H622" s="91"/>
      <c r="I622" s="91"/>
      <c r="M622" s="91"/>
      <c r="N622" s="91"/>
    </row>
    <row r="623" ht="15.75" customHeight="1">
      <c r="A623" s="91"/>
      <c r="E623" s="91"/>
      <c r="H623" s="91"/>
      <c r="I623" s="91"/>
      <c r="M623" s="91"/>
      <c r="N623" s="91"/>
    </row>
    <row r="624" ht="15.75" customHeight="1">
      <c r="A624" s="91"/>
      <c r="E624" s="91"/>
      <c r="H624" s="91"/>
      <c r="I624" s="91"/>
      <c r="M624" s="91"/>
      <c r="N624" s="91"/>
    </row>
    <row r="625" ht="15.75" customHeight="1">
      <c r="A625" s="91"/>
      <c r="E625" s="91"/>
      <c r="H625" s="91"/>
      <c r="I625" s="91"/>
      <c r="M625" s="91"/>
      <c r="N625" s="91"/>
    </row>
    <row r="626" ht="15.75" customHeight="1">
      <c r="A626" s="91"/>
      <c r="E626" s="91"/>
      <c r="H626" s="91"/>
      <c r="I626" s="91"/>
      <c r="M626" s="91"/>
      <c r="N626" s="91"/>
    </row>
    <row r="627" ht="15.75" customHeight="1">
      <c r="A627" s="91"/>
      <c r="E627" s="91"/>
      <c r="H627" s="91"/>
      <c r="I627" s="91"/>
      <c r="M627" s="91"/>
      <c r="N627" s="91"/>
    </row>
    <row r="628" ht="15.75" customHeight="1">
      <c r="A628" s="91"/>
      <c r="E628" s="91"/>
      <c r="H628" s="91"/>
      <c r="I628" s="91"/>
      <c r="M628" s="91"/>
      <c r="N628" s="91"/>
    </row>
    <row r="629" ht="15.75" customHeight="1">
      <c r="A629" s="91"/>
      <c r="E629" s="91"/>
      <c r="H629" s="91"/>
      <c r="I629" s="91"/>
      <c r="M629" s="91"/>
      <c r="N629" s="91"/>
    </row>
    <row r="630" ht="15.75" customHeight="1">
      <c r="A630" s="91"/>
      <c r="E630" s="91"/>
      <c r="H630" s="91"/>
      <c r="I630" s="91"/>
      <c r="M630" s="91"/>
      <c r="N630" s="91"/>
    </row>
    <row r="631" ht="15.75" customHeight="1">
      <c r="A631" s="91"/>
      <c r="E631" s="91"/>
      <c r="H631" s="91"/>
      <c r="I631" s="91"/>
      <c r="M631" s="91"/>
      <c r="N631" s="91"/>
    </row>
    <row r="632" ht="15.75" customHeight="1">
      <c r="A632" s="91"/>
      <c r="E632" s="91"/>
      <c r="H632" s="91"/>
      <c r="I632" s="91"/>
      <c r="M632" s="91"/>
      <c r="N632" s="91"/>
    </row>
    <row r="633" ht="15.75" customHeight="1">
      <c r="A633" s="91"/>
      <c r="E633" s="91"/>
      <c r="H633" s="91"/>
      <c r="I633" s="91"/>
      <c r="M633" s="91"/>
      <c r="N633" s="91"/>
    </row>
    <row r="634" ht="15.75" customHeight="1">
      <c r="A634" s="91"/>
      <c r="E634" s="91"/>
      <c r="H634" s="91"/>
      <c r="I634" s="91"/>
      <c r="M634" s="91"/>
      <c r="N634" s="91"/>
    </row>
    <row r="635" ht="15.75" customHeight="1">
      <c r="A635" s="91"/>
      <c r="E635" s="91"/>
      <c r="H635" s="91"/>
      <c r="I635" s="91"/>
      <c r="M635" s="91"/>
      <c r="N635" s="91"/>
    </row>
    <row r="636" ht="15.75" customHeight="1">
      <c r="A636" s="91"/>
      <c r="E636" s="91"/>
      <c r="H636" s="91"/>
      <c r="I636" s="91"/>
      <c r="M636" s="91"/>
      <c r="N636" s="91"/>
    </row>
    <row r="637" ht="15.75" customHeight="1">
      <c r="A637" s="91"/>
      <c r="E637" s="91"/>
      <c r="H637" s="91"/>
      <c r="I637" s="91"/>
      <c r="M637" s="91"/>
      <c r="N637" s="91"/>
    </row>
    <row r="638" ht="15.75" customHeight="1">
      <c r="A638" s="91"/>
      <c r="E638" s="91"/>
      <c r="H638" s="91"/>
      <c r="I638" s="91"/>
      <c r="M638" s="91"/>
      <c r="N638" s="91"/>
    </row>
    <row r="639" ht="15.75" customHeight="1">
      <c r="A639" s="91"/>
      <c r="E639" s="91"/>
      <c r="H639" s="91"/>
      <c r="I639" s="91"/>
      <c r="M639" s="91"/>
      <c r="N639" s="91"/>
    </row>
    <row r="640" ht="15.75" customHeight="1">
      <c r="A640" s="91"/>
      <c r="E640" s="91"/>
      <c r="H640" s="91"/>
      <c r="I640" s="91"/>
      <c r="M640" s="91"/>
      <c r="N640" s="91"/>
    </row>
    <row r="641" ht="15.75" customHeight="1">
      <c r="A641" s="91"/>
      <c r="E641" s="91"/>
      <c r="H641" s="91"/>
      <c r="I641" s="91"/>
      <c r="M641" s="91"/>
      <c r="N641" s="91"/>
    </row>
    <row r="642" ht="15.75" customHeight="1">
      <c r="A642" s="91"/>
      <c r="E642" s="91"/>
      <c r="H642" s="91"/>
      <c r="I642" s="91"/>
      <c r="M642" s="91"/>
      <c r="N642" s="91"/>
    </row>
    <row r="643" ht="15.75" customHeight="1">
      <c r="A643" s="91"/>
      <c r="E643" s="91"/>
      <c r="H643" s="91"/>
      <c r="I643" s="91"/>
      <c r="M643" s="91"/>
      <c r="N643" s="91"/>
    </row>
    <row r="644" ht="15.75" customHeight="1">
      <c r="A644" s="91"/>
      <c r="E644" s="91"/>
      <c r="H644" s="91"/>
      <c r="I644" s="91"/>
      <c r="M644" s="91"/>
      <c r="N644" s="91"/>
    </row>
    <row r="645" ht="15.75" customHeight="1">
      <c r="A645" s="91"/>
      <c r="E645" s="91"/>
      <c r="H645" s="91"/>
      <c r="I645" s="91"/>
      <c r="M645" s="91"/>
      <c r="N645" s="91"/>
    </row>
    <row r="646" ht="15.75" customHeight="1">
      <c r="A646" s="91"/>
      <c r="E646" s="91"/>
      <c r="H646" s="91"/>
      <c r="I646" s="91"/>
      <c r="M646" s="91"/>
      <c r="N646" s="91"/>
    </row>
    <row r="647" ht="15.75" customHeight="1">
      <c r="A647" s="91"/>
      <c r="E647" s="91"/>
      <c r="H647" s="91"/>
      <c r="I647" s="91"/>
      <c r="M647" s="91"/>
      <c r="N647" s="91"/>
    </row>
    <row r="648" ht="15.75" customHeight="1">
      <c r="A648" s="91"/>
      <c r="E648" s="91"/>
      <c r="H648" s="91"/>
      <c r="I648" s="91"/>
      <c r="M648" s="91"/>
      <c r="N648" s="91"/>
    </row>
    <row r="649" ht="15.75" customHeight="1">
      <c r="A649" s="91"/>
      <c r="E649" s="91"/>
      <c r="H649" s="91"/>
      <c r="I649" s="91"/>
      <c r="M649" s="91"/>
      <c r="N649" s="91"/>
    </row>
    <row r="650" ht="15.75" customHeight="1">
      <c r="A650" s="91"/>
      <c r="E650" s="91"/>
      <c r="H650" s="91"/>
      <c r="I650" s="91"/>
      <c r="M650" s="91"/>
      <c r="N650" s="91"/>
    </row>
    <row r="651" ht="15.75" customHeight="1">
      <c r="A651" s="91"/>
      <c r="E651" s="91"/>
      <c r="H651" s="91"/>
      <c r="I651" s="91"/>
      <c r="M651" s="91"/>
      <c r="N651" s="91"/>
    </row>
    <row r="652" ht="15.75" customHeight="1">
      <c r="A652" s="91"/>
      <c r="E652" s="91"/>
      <c r="H652" s="91"/>
      <c r="I652" s="91"/>
      <c r="M652" s="91"/>
      <c r="N652" s="91"/>
    </row>
    <row r="653" ht="15.75" customHeight="1">
      <c r="A653" s="91"/>
      <c r="E653" s="91"/>
      <c r="H653" s="91"/>
      <c r="I653" s="91"/>
      <c r="M653" s="91"/>
      <c r="N653" s="91"/>
    </row>
    <row r="654" ht="15.75" customHeight="1">
      <c r="A654" s="91"/>
      <c r="E654" s="91"/>
      <c r="H654" s="91"/>
      <c r="I654" s="91"/>
      <c r="M654" s="91"/>
      <c r="N654" s="91"/>
    </row>
    <row r="655" ht="15.75" customHeight="1">
      <c r="A655" s="91"/>
      <c r="E655" s="91"/>
      <c r="H655" s="91"/>
      <c r="I655" s="91"/>
      <c r="M655" s="91"/>
      <c r="N655" s="91"/>
    </row>
    <row r="656" ht="15.75" customHeight="1">
      <c r="A656" s="91"/>
      <c r="E656" s="91"/>
      <c r="H656" s="91"/>
      <c r="I656" s="91"/>
      <c r="M656" s="91"/>
      <c r="N656" s="91"/>
    </row>
    <row r="657" ht="15.75" customHeight="1">
      <c r="A657" s="91"/>
      <c r="E657" s="91"/>
      <c r="H657" s="91"/>
      <c r="I657" s="91"/>
      <c r="M657" s="91"/>
      <c r="N657" s="91"/>
    </row>
    <row r="658" ht="15.75" customHeight="1">
      <c r="A658" s="91"/>
      <c r="E658" s="91"/>
      <c r="H658" s="91"/>
      <c r="I658" s="91"/>
      <c r="M658" s="91"/>
      <c r="N658" s="91"/>
    </row>
    <row r="659" ht="15.75" customHeight="1">
      <c r="A659" s="91"/>
      <c r="E659" s="91"/>
      <c r="H659" s="91"/>
      <c r="I659" s="91"/>
      <c r="M659" s="91"/>
      <c r="N659" s="91"/>
    </row>
    <row r="660" ht="15.75" customHeight="1">
      <c r="A660" s="91"/>
      <c r="E660" s="91"/>
      <c r="H660" s="91"/>
      <c r="I660" s="91"/>
      <c r="M660" s="91"/>
      <c r="N660" s="91"/>
    </row>
    <row r="661" ht="15.75" customHeight="1">
      <c r="A661" s="91"/>
      <c r="E661" s="91"/>
      <c r="H661" s="91"/>
      <c r="I661" s="91"/>
      <c r="M661" s="91"/>
      <c r="N661" s="91"/>
    </row>
    <row r="662" ht="15.75" customHeight="1">
      <c r="A662" s="91"/>
      <c r="E662" s="91"/>
      <c r="H662" s="91"/>
      <c r="I662" s="91"/>
      <c r="M662" s="91"/>
      <c r="N662" s="91"/>
    </row>
    <row r="663" ht="15.75" customHeight="1">
      <c r="A663" s="91"/>
      <c r="E663" s="91"/>
      <c r="H663" s="91"/>
      <c r="I663" s="91"/>
      <c r="M663" s="91"/>
      <c r="N663" s="91"/>
    </row>
    <row r="664" ht="15.75" customHeight="1">
      <c r="A664" s="91"/>
      <c r="E664" s="91"/>
      <c r="H664" s="91"/>
      <c r="I664" s="91"/>
      <c r="M664" s="91"/>
      <c r="N664" s="91"/>
    </row>
    <row r="665" ht="15.75" customHeight="1">
      <c r="A665" s="91"/>
      <c r="E665" s="91"/>
      <c r="H665" s="91"/>
      <c r="I665" s="91"/>
      <c r="M665" s="91"/>
      <c r="N665" s="91"/>
    </row>
    <row r="666" ht="15.75" customHeight="1">
      <c r="A666" s="91"/>
      <c r="E666" s="91"/>
      <c r="H666" s="91"/>
      <c r="I666" s="91"/>
      <c r="M666" s="91"/>
      <c r="N666" s="91"/>
    </row>
    <row r="667" ht="15.75" customHeight="1">
      <c r="A667" s="91"/>
      <c r="E667" s="91"/>
      <c r="H667" s="91"/>
      <c r="I667" s="91"/>
      <c r="M667" s="91"/>
      <c r="N667" s="91"/>
    </row>
    <row r="668" ht="15.75" customHeight="1">
      <c r="A668" s="91"/>
      <c r="E668" s="91"/>
      <c r="H668" s="91"/>
      <c r="I668" s="91"/>
      <c r="M668" s="91"/>
      <c r="N668" s="91"/>
    </row>
    <row r="669" ht="15.75" customHeight="1">
      <c r="A669" s="91"/>
      <c r="E669" s="91"/>
      <c r="H669" s="91"/>
      <c r="I669" s="91"/>
      <c r="M669" s="91"/>
      <c r="N669" s="91"/>
    </row>
    <row r="670" ht="15.75" customHeight="1">
      <c r="A670" s="91"/>
      <c r="E670" s="91"/>
      <c r="H670" s="91"/>
      <c r="I670" s="91"/>
      <c r="M670" s="91"/>
      <c r="N670" s="91"/>
    </row>
    <row r="671" ht="15.75" customHeight="1">
      <c r="A671" s="91"/>
      <c r="E671" s="91"/>
      <c r="H671" s="91"/>
      <c r="I671" s="91"/>
      <c r="M671" s="91"/>
      <c r="N671" s="91"/>
    </row>
    <row r="672" ht="15.75" customHeight="1">
      <c r="A672" s="91"/>
      <c r="E672" s="91"/>
      <c r="H672" s="91"/>
      <c r="I672" s="91"/>
      <c r="M672" s="91"/>
      <c r="N672" s="91"/>
    </row>
    <row r="673" ht="15.75" customHeight="1">
      <c r="A673" s="91"/>
      <c r="E673" s="91"/>
      <c r="H673" s="91"/>
      <c r="I673" s="91"/>
      <c r="M673" s="91"/>
      <c r="N673" s="91"/>
    </row>
    <row r="674" ht="15.75" customHeight="1">
      <c r="A674" s="91"/>
      <c r="E674" s="91"/>
      <c r="H674" s="91"/>
      <c r="I674" s="91"/>
      <c r="M674" s="91"/>
      <c r="N674" s="91"/>
    </row>
    <row r="675" ht="15.75" customHeight="1">
      <c r="A675" s="91"/>
      <c r="E675" s="91"/>
      <c r="H675" s="91"/>
      <c r="I675" s="91"/>
      <c r="M675" s="91"/>
      <c r="N675" s="91"/>
    </row>
    <row r="676" ht="15.75" customHeight="1">
      <c r="A676" s="91"/>
      <c r="E676" s="91"/>
      <c r="H676" s="91"/>
      <c r="I676" s="91"/>
      <c r="M676" s="91"/>
      <c r="N676" s="91"/>
    </row>
    <row r="677" ht="15.75" customHeight="1">
      <c r="A677" s="91"/>
      <c r="E677" s="91"/>
      <c r="H677" s="91"/>
      <c r="I677" s="91"/>
      <c r="M677" s="91"/>
      <c r="N677" s="91"/>
    </row>
    <row r="678" ht="15.75" customHeight="1">
      <c r="A678" s="91"/>
      <c r="E678" s="91"/>
      <c r="H678" s="91"/>
      <c r="I678" s="91"/>
      <c r="M678" s="91"/>
      <c r="N678" s="91"/>
    </row>
    <row r="679" ht="15.75" customHeight="1">
      <c r="A679" s="91"/>
      <c r="E679" s="91"/>
      <c r="H679" s="91"/>
      <c r="I679" s="91"/>
      <c r="M679" s="91"/>
      <c r="N679" s="91"/>
    </row>
    <row r="680" ht="15.75" customHeight="1">
      <c r="A680" s="91"/>
      <c r="E680" s="91"/>
      <c r="H680" s="91"/>
      <c r="I680" s="91"/>
      <c r="M680" s="91"/>
      <c r="N680" s="91"/>
    </row>
    <row r="681" ht="15.75" customHeight="1">
      <c r="A681" s="91"/>
      <c r="E681" s="91"/>
      <c r="H681" s="91"/>
      <c r="I681" s="91"/>
      <c r="M681" s="91"/>
      <c r="N681" s="91"/>
    </row>
    <row r="682" ht="15.75" customHeight="1">
      <c r="A682" s="91"/>
      <c r="E682" s="91"/>
      <c r="H682" s="91"/>
      <c r="I682" s="91"/>
      <c r="M682" s="91"/>
      <c r="N682" s="91"/>
    </row>
    <row r="683" ht="15.75" customHeight="1">
      <c r="A683" s="91"/>
      <c r="E683" s="91"/>
      <c r="H683" s="91"/>
      <c r="I683" s="91"/>
      <c r="M683" s="91"/>
      <c r="N683" s="91"/>
    </row>
    <row r="684" ht="15.75" customHeight="1">
      <c r="A684" s="91"/>
      <c r="E684" s="91"/>
      <c r="H684" s="91"/>
      <c r="I684" s="91"/>
      <c r="M684" s="91"/>
      <c r="N684" s="91"/>
    </row>
    <row r="685" ht="15.75" customHeight="1">
      <c r="A685" s="91"/>
      <c r="E685" s="91"/>
      <c r="H685" s="91"/>
      <c r="I685" s="91"/>
      <c r="M685" s="91"/>
      <c r="N685" s="91"/>
    </row>
    <row r="686" ht="15.75" customHeight="1">
      <c r="A686" s="91"/>
      <c r="E686" s="91"/>
      <c r="H686" s="91"/>
      <c r="I686" s="91"/>
      <c r="M686" s="91"/>
      <c r="N686" s="91"/>
    </row>
    <row r="687" ht="15.75" customHeight="1">
      <c r="A687" s="91"/>
      <c r="E687" s="91"/>
      <c r="H687" s="91"/>
      <c r="I687" s="91"/>
      <c r="M687" s="91"/>
      <c r="N687" s="91"/>
    </row>
    <row r="688" ht="15.75" customHeight="1">
      <c r="A688" s="91"/>
      <c r="E688" s="91"/>
      <c r="H688" s="91"/>
      <c r="I688" s="91"/>
      <c r="M688" s="91"/>
      <c r="N688" s="91"/>
    </row>
    <row r="689" ht="15.75" customHeight="1">
      <c r="A689" s="91"/>
      <c r="E689" s="91"/>
      <c r="H689" s="91"/>
      <c r="I689" s="91"/>
      <c r="M689" s="91"/>
      <c r="N689" s="91"/>
    </row>
    <row r="690" ht="15.75" customHeight="1">
      <c r="A690" s="91"/>
      <c r="E690" s="91"/>
      <c r="H690" s="91"/>
      <c r="I690" s="91"/>
      <c r="M690" s="91"/>
      <c r="N690" s="91"/>
    </row>
    <row r="691" ht="15.75" customHeight="1">
      <c r="A691" s="91"/>
      <c r="E691" s="91"/>
      <c r="H691" s="91"/>
      <c r="I691" s="91"/>
      <c r="M691" s="91"/>
      <c r="N691" s="91"/>
    </row>
    <row r="692" ht="15.75" customHeight="1">
      <c r="A692" s="91"/>
      <c r="E692" s="91"/>
      <c r="H692" s="91"/>
      <c r="I692" s="91"/>
      <c r="M692" s="91"/>
      <c r="N692" s="91"/>
    </row>
    <row r="693" ht="15.75" customHeight="1">
      <c r="A693" s="91"/>
      <c r="E693" s="91"/>
      <c r="H693" s="91"/>
      <c r="I693" s="91"/>
      <c r="M693" s="91"/>
      <c r="N693" s="91"/>
    </row>
    <row r="694" ht="15.75" customHeight="1">
      <c r="A694" s="91"/>
      <c r="E694" s="91"/>
      <c r="H694" s="91"/>
      <c r="I694" s="91"/>
      <c r="M694" s="91"/>
      <c r="N694" s="91"/>
    </row>
    <row r="695" ht="15.75" customHeight="1">
      <c r="A695" s="91"/>
      <c r="E695" s="91"/>
      <c r="H695" s="91"/>
      <c r="I695" s="91"/>
      <c r="M695" s="91"/>
      <c r="N695" s="91"/>
    </row>
    <row r="696" ht="15.75" customHeight="1">
      <c r="A696" s="91"/>
      <c r="E696" s="91"/>
      <c r="H696" s="91"/>
      <c r="I696" s="91"/>
      <c r="M696" s="91"/>
      <c r="N696" s="91"/>
    </row>
    <row r="697" ht="15.75" customHeight="1">
      <c r="A697" s="91"/>
      <c r="E697" s="91"/>
      <c r="H697" s="91"/>
      <c r="I697" s="91"/>
      <c r="M697" s="91"/>
      <c r="N697" s="91"/>
    </row>
    <row r="698" ht="15.75" customHeight="1">
      <c r="A698" s="91"/>
      <c r="E698" s="91"/>
      <c r="H698" s="91"/>
      <c r="I698" s="91"/>
      <c r="M698" s="91"/>
      <c r="N698" s="91"/>
    </row>
    <row r="699" ht="15.75" customHeight="1">
      <c r="A699" s="91"/>
      <c r="E699" s="91"/>
      <c r="H699" s="91"/>
      <c r="I699" s="91"/>
      <c r="M699" s="91"/>
      <c r="N699" s="91"/>
    </row>
    <row r="700" ht="15.75" customHeight="1">
      <c r="A700" s="91"/>
      <c r="E700" s="91"/>
      <c r="H700" s="91"/>
      <c r="I700" s="91"/>
      <c r="M700" s="91"/>
      <c r="N700" s="91"/>
    </row>
    <row r="701" ht="15.75" customHeight="1">
      <c r="A701" s="91"/>
      <c r="E701" s="91"/>
      <c r="H701" s="91"/>
      <c r="I701" s="91"/>
      <c r="M701" s="91"/>
      <c r="N701" s="91"/>
    </row>
    <row r="702" ht="15.75" customHeight="1">
      <c r="A702" s="91"/>
      <c r="E702" s="91"/>
      <c r="H702" s="91"/>
      <c r="I702" s="91"/>
      <c r="M702" s="91"/>
      <c r="N702" s="91"/>
    </row>
    <row r="703" ht="15.75" customHeight="1">
      <c r="A703" s="91"/>
      <c r="E703" s="91"/>
      <c r="H703" s="91"/>
      <c r="I703" s="91"/>
      <c r="M703" s="91"/>
      <c r="N703" s="91"/>
    </row>
    <row r="704" ht="15.75" customHeight="1">
      <c r="A704" s="91"/>
      <c r="E704" s="91"/>
      <c r="H704" s="91"/>
      <c r="I704" s="91"/>
      <c r="M704" s="91"/>
      <c r="N704" s="91"/>
    </row>
    <row r="705" ht="15.75" customHeight="1">
      <c r="A705" s="91"/>
      <c r="E705" s="91"/>
      <c r="H705" s="91"/>
      <c r="I705" s="91"/>
      <c r="M705" s="91"/>
      <c r="N705" s="91"/>
    </row>
    <row r="706" ht="15.75" customHeight="1">
      <c r="A706" s="91"/>
      <c r="E706" s="91"/>
      <c r="H706" s="91"/>
      <c r="I706" s="91"/>
      <c r="M706" s="91"/>
      <c r="N706" s="91"/>
    </row>
    <row r="707" ht="15.75" customHeight="1">
      <c r="A707" s="91"/>
      <c r="E707" s="91"/>
      <c r="H707" s="91"/>
      <c r="I707" s="91"/>
      <c r="M707" s="91"/>
      <c r="N707" s="91"/>
    </row>
    <row r="708" ht="15.75" customHeight="1">
      <c r="A708" s="91"/>
      <c r="E708" s="91"/>
      <c r="H708" s="91"/>
      <c r="I708" s="91"/>
      <c r="M708" s="91"/>
      <c r="N708" s="91"/>
    </row>
    <row r="709" ht="15.75" customHeight="1">
      <c r="A709" s="91"/>
      <c r="E709" s="91"/>
      <c r="H709" s="91"/>
      <c r="I709" s="91"/>
      <c r="M709" s="91"/>
      <c r="N709" s="91"/>
    </row>
    <row r="710" ht="15.75" customHeight="1">
      <c r="A710" s="91"/>
      <c r="E710" s="91"/>
      <c r="H710" s="91"/>
      <c r="I710" s="91"/>
      <c r="M710" s="91"/>
      <c r="N710" s="91"/>
    </row>
    <row r="711" ht="15.75" customHeight="1">
      <c r="A711" s="91"/>
      <c r="E711" s="91"/>
      <c r="H711" s="91"/>
      <c r="I711" s="91"/>
      <c r="M711" s="91"/>
      <c r="N711" s="91"/>
    </row>
    <row r="712" ht="15.75" customHeight="1">
      <c r="A712" s="91"/>
      <c r="E712" s="91"/>
      <c r="H712" s="91"/>
      <c r="I712" s="91"/>
      <c r="M712" s="91"/>
      <c r="N712" s="91"/>
    </row>
    <row r="713" ht="15.75" customHeight="1">
      <c r="A713" s="91"/>
      <c r="E713" s="91"/>
      <c r="H713" s="91"/>
      <c r="I713" s="91"/>
      <c r="M713" s="91"/>
      <c r="N713" s="91"/>
    </row>
    <row r="714" ht="15.75" customHeight="1">
      <c r="A714" s="91"/>
      <c r="E714" s="91"/>
      <c r="H714" s="91"/>
      <c r="I714" s="91"/>
      <c r="M714" s="91"/>
      <c r="N714" s="91"/>
    </row>
    <row r="715" ht="15.75" customHeight="1">
      <c r="A715" s="91"/>
      <c r="E715" s="91"/>
      <c r="H715" s="91"/>
      <c r="I715" s="91"/>
      <c r="M715" s="91"/>
      <c r="N715" s="91"/>
    </row>
    <row r="716" ht="15.75" customHeight="1">
      <c r="A716" s="91"/>
      <c r="E716" s="91"/>
      <c r="H716" s="91"/>
      <c r="I716" s="91"/>
      <c r="M716" s="91"/>
      <c r="N716" s="91"/>
    </row>
    <row r="717" ht="15.75" customHeight="1">
      <c r="A717" s="91"/>
      <c r="E717" s="91"/>
      <c r="H717" s="91"/>
      <c r="I717" s="91"/>
      <c r="M717" s="91"/>
      <c r="N717" s="91"/>
    </row>
    <row r="718" ht="15.75" customHeight="1">
      <c r="A718" s="91"/>
      <c r="E718" s="91"/>
      <c r="H718" s="91"/>
      <c r="I718" s="91"/>
      <c r="M718" s="91"/>
      <c r="N718" s="91"/>
    </row>
    <row r="719" ht="15.75" customHeight="1">
      <c r="A719" s="91"/>
      <c r="E719" s="91"/>
      <c r="H719" s="91"/>
      <c r="I719" s="91"/>
      <c r="M719" s="91"/>
      <c r="N719" s="91"/>
    </row>
    <row r="720" ht="15.75" customHeight="1">
      <c r="A720" s="91"/>
      <c r="E720" s="91"/>
      <c r="H720" s="91"/>
      <c r="I720" s="91"/>
      <c r="M720" s="91"/>
      <c r="N720" s="91"/>
    </row>
    <row r="721" ht="15.75" customHeight="1">
      <c r="A721" s="91"/>
      <c r="E721" s="91"/>
      <c r="H721" s="91"/>
      <c r="I721" s="91"/>
      <c r="M721" s="91"/>
      <c r="N721" s="91"/>
    </row>
    <row r="722" ht="15.75" customHeight="1">
      <c r="A722" s="91"/>
      <c r="E722" s="91"/>
      <c r="H722" s="91"/>
      <c r="I722" s="91"/>
      <c r="M722" s="91"/>
      <c r="N722" s="91"/>
    </row>
    <row r="723" ht="15.75" customHeight="1">
      <c r="A723" s="91"/>
      <c r="E723" s="91"/>
      <c r="H723" s="91"/>
      <c r="I723" s="91"/>
      <c r="M723" s="91"/>
      <c r="N723" s="91"/>
    </row>
    <row r="724" ht="15.75" customHeight="1">
      <c r="A724" s="91"/>
      <c r="E724" s="91"/>
      <c r="H724" s="91"/>
      <c r="I724" s="91"/>
      <c r="M724" s="91"/>
      <c r="N724" s="91"/>
    </row>
    <row r="725" ht="15.75" customHeight="1">
      <c r="A725" s="91"/>
      <c r="E725" s="91"/>
      <c r="H725" s="91"/>
      <c r="I725" s="91"/>
      <c r="M725" s="91"/>
      <c r="N725" s="91"/>
    </row>
    <row r="726" ht="15.75" customHeight="1">
      <c r="A726" s="91"/>
      <c r="E726" s="91"/>
      <c r="H726" s="91"/>
      <c r="I726" s="91"/>
      <c r="M726" s="91"/>
      <c r="N726" s="91"/>
    </row>
    <row r="727" ht="15.75" customHeight="1">
      <c r="A727" s="91"/>
      <c r="E727" s="91"/>
      <c r="H727" s="91"/>
      <c r="I727" s="91"/>
      <c r="M727" s="91"/>
      <c r="N727" s="91"/>
    </row>
    <row r="728" ht="15.75" customHeight="1">
      <c r="A728" s="91"/>
      <c r="E728" s="91"/>
      <c r="H728" s="91"/>
      <c r="I728" s="91"/>
      <c r="M728" s="91"/>
      <c r="N728" s="91"/>
    </row>
    <row r="729" ht="15.75" customHeight="1">
      <c r="A729" s="91"/>
      <c r="E729" s="91"/>
      <c r="H729" s="91"/>
      <c r="I729" s="91"/>
      <c r="M729" s="91"/>
      <c r="N729" s="91"/>
    </row>
    <row r="730" ht="15.75" customHeight="1">
      <c r="A730" s="91"/>
      <c r="E730" s="91"/>
      <c r="H730" s="91"/>
      <c r="I730" s="91"/>
      <c r="M730" s="91"/>
      <c r="N730" s="91"/>
    </row>
    <row r="731" ht="15.75" customHeight="1">
      <c r="A731" s="91"/>
      <c r="E731" s="91"/>
      <c r="H731" s="91"/>
      <c r="I731" s="91"/>
      <c r="M731" s="91"/>
      <c r="N731" s="91"/>
    </row>
    <row r="732" ht="15.75" customHeight="1">
      <c r="A732" s="91"/>
      <c r="E732" s="91"/>
      <c r="H732" s="91"/>
      <c r="I732" s="91"/>
      <c r="M732" s="91"/>
      <c r="N732" s="91"/>
    </row>
    <row r="733" ht="15.75" customHeight="1">
      <c r="A733" s="91"/>
      <c r="E733" s="91"/>
      <c r="H733" s="91"/>
      <c r="I733" s="91"/>
      <c r="M733" s="91"/>
      <c r="N733" s="91"/>
    </row>
    <row r="734" ht="15.75" customHeight="1">
      <c r="A734" s="91"/>
      <c r="E734" s="91"/>
      <c r="H734" s="91"/>
      <c r="I734" s="91"/>
      <c r="M734" s="91"/>
      <c r="N734" s="91"/>
    </row>
    <row r="735" ht="15.75" customHeight="1">
      <c r="A735" s="91"/>
      <c r="E735" s="91"/>
      <c r="H735" s="91"/>
      <c r="I735" s="91"/>
      <c r="M735" s="91"/>
      <c r="N735" s="91"/>
    </row>
    <row r="736" ht="15.75" customHeight="1">
      <c r="A736" s="91"/>
      <c r="E736" s="91"/>
      <c r="H736" s="91"/>
      <c r="I736" s="91"/>
      <c r="M736" s="91"/>
      <c r="N736" s="91"/>
    </row>
    <row r="737" ht="15.75" customHeight="1">
      <c r="A737" s="91"/>
      <c r="E737" s="91"/>
      <c r="H737" s="91"/>
      <c r="I737" s="91"/>
      <c r="M737" s="91"/>
      <c r="N737" s="91"/>
    </row>
    <row r="738" ht="15.75" customHeight="1">
      <c r="A738" s="91"/>
      <c r="E738" s="91"/>
      <c r="H738" s="91"/>
      <c r="I738" s="91"/>
      <c r="M738" s="91"/>
      <c r="N738" s="91"/>
    </row>
    <row r="739" ht="15.75" customHeight="1">
      <c r="A739" s="91"/>
      <c r="E739" s="91"/>
      <c r="H739" s="91"/>
      <c r="I739" s="91"/>
      <c r="M739" s="91"/>
      <c r="N739" s="91"/>
    </row>
    <row r="740" ht="15.75" customHeight="1">
      <c r="A740" s="91"/>
      <c r="E740" s="91"/>
      <c r="H740" s="91"/>
      <c r="I740" s="91"/>
      <c r="M740" s="91"/>
      <c r="N740" s="91"/>
    </row>
    <row r="741" ht="15.75" customHeight="1">
      <c r="A741" s="91"/>
      <c r="E741" s="91"/>
      <c r="H741" s="91"/>
      <c r="I741" s="91"/>
      <c r="M741" s="91"/>
      <c r="N741" s="91"/>
    </row>
    <row r="742" ht="15.75" customHeight="1">
      <c r="A742" s="91"/>
      <c r="E742" s="91"/>
      <c r="H742" s="91"/>
      <c r="I742" s="91"/>
      <c r="M742" s="91"/>
      <c r="N742" s="91"/>
    </row>
    <row r="743" ht="15.75" customHeight="1">
      <c r="A743" s="91"/>
      <c r="E743" s="91"/>
      <c r="H743" s="91"/>
      <c r="I743" s="91"/>
      <c r="M743" s="91"/>
      <c r="N743" s="91"/>
    </row>
    <row r="744" ht="15.75" customHeight="1">
      <c r="A744" s="91"/>
      <c r="E744" s="91"/>
      <c r="H744" s="91"/>
      <c r="I744" s="91"/>
      <c r="M744" s="91"/>
      <c r="N744" s="91"/>
    </row>
    <row r="745" ht="15.75" customHeight="1">
      <c r="A745" s="91"/>
      <c r="E745" s="91"/>
      <c r="H745" s="91"/>
      <c r="I745" s="91"/>
      <c r="M745" s="91"/>
      <c r="N745" s="91"/>
    </row>
    <row r="746" ht="15.75" customHeight="1">
      <c r="A746" s="91"/>
      <c r="E746" s="91"/>
      <c r="H746" s="91"/>
      <c r="I746" s="91"/>
      <c r="M746" s="91"/>
      <c r="N746" s="91"/>
    </row>
    <row r="747" ht="15.75" customHeight="1">
      <c r="A747" s="91"/>
      <c r="E747" s="91"/>
      <c r="H747" s="91"/>
      <c r="I747" s="91"/>
      <c r="M747" s="91"/>
      <c r="N747" s="91"/>
    </row>
    <row r="748" ht="15.75" customHeight="1">
      <c r="A748" s="91"/>
      <c r="E748" s="91"/>
      <c r="H748" s="91"/>
      <c r="I748" s="91"/>
      <c r="M748" s="91"/>
      <c r="N748" s="91"/>
    </row>
    <row r="749" ht="15.75" customHeight="1">
      <c r="A749" s="91"/>
      <c r="E749" s="91"/>
      <c r="H749" s="91"/>
      <c r="I749" s="91"/>
      <c r="M749" s="91"/>
      <c r="N749" s="91"/>
    </row>
    <row r="750" ht="15.75" customHeight="1">
      <c r="A750" s="91"/>
      <c r="E750" s="91"/>
      <c r="H750" s="91"/>
      <c r="I750" s="91"/>
      <c r="M750" s="91"/>
      <c r="N750" s="91"/>
    </row>
    <row r="751" ht="15.75" customHeight="1">
      <c r="A751" s="91"/>
      <c r="E751" s="91"/>
      <c r="H751" s="91"/>
      <c r="I751" s="91"/>
      <c r="M751" s="91"/>
      <c r="N751" s="91"/>
    </row>
    <row r="752" ht="15.75" customHeight="1">
      <c r="A752" s="91"/>
      <c r="E752" s="91"/>
      <c r="H752" s="91"/>
      <c r="I752" s="91"/>
      <c r="M752" s="91"/>
      <c r="N752" s="91"/>
    </row>
    <row r="753" ht="15.75" customHeight="1">
      <c r="A753" s="91"/>
      <c r="E753" s="91"/>
      <c r="H753" s="91"/>
      <c r="I753" s="91"/>
      <c r="M753" s="91"/>
      <c r="N753" s="91"/>
    </row>
    <row r="754" ht="15.75" customHeight="1">
      <c r="A754" s="91"/>
      <c r="E754" s="91"/>
      <c r="H754" s="91"/>
      <c r="I754" s="91"/>
      <c r="M754" s="91"/>
      <c r="N754" s="91"/>
    </row>
    <row r="755" ht="15.75" customHeight="1">
      <c r="A755" s="91"/>
      <c r="E755" s="91"/>
      <c r="H755" s="91"/>
      <c r="I755" s="91"/>
      <c r="M755" s="91"/>
      <c r="N755" s="91"/>
    </row>
    <row r="756" ht="15.75" customHeight="1">
      <c r="A756" s="91"/>
      <c r="E756" s="91"/>
      <c r="H756" s="91"/>
      <c r="I756" s="91"/>
      <c r="M756" s="91"/>
      <c r="N756" s="91"/>
    </row>
    <row r="757" ht="15.75" customHeight="1">
      <c r="A757" s="91"/>
      <c r="E757" s="91"/>
      <c r="H757" s="91"/>
      <c r="I757" s="91"/>
      <c r="M757" s="91"/>
      <c r="N757" s="91"/>
    </row>
    <row r="758" ht="15.75" customHeight="1">
      <c r="A758" s="91"/>
      <c r="E758" s="91"/>
      <c r="H758" s="91"/>
      <c r="I758" s="91"/>
      <c r="M758" s="91"/>
      <c r="N758" s="91"/>
    </row>
    <row r="759" ht="15.75" customHeight="1">
      <c r="A759" s="91"/>
      <c r="E759" s="91"/>
      <c r="H759" s="91"/>
      <c r="I759" s="91"/>
      <c r="M759" s="91"/>
      <c r="N759" s="91"/>
    </row>
    <row r="760" ht="15.75" customHeight="1">
      <c r="A760" s="91"/>
      <c r="E760" s="91"/>
      <c r="H760" s="91"/>
      <c r="I760" s="91"/>
      <c r="M760" s="91"/>
      <c r="N760" s="91"/>
    </row>
    <row r="761" ht="15.75" customHeight="1">
      <c r="A761" s="91"/>
      <c r="E761" s="91"/>
      <c r="H761" s="91"/>
      <c r="I761" s="91"/>
      <c r="M761" s="91"/>
      <c r="N761" s="91"/>
    </row>
    <row r="762" ht="15.75" customHeight="1">
      <c r="A762" s="91"/>
      <c r="E762" s="91"/>
      <c r="H762" s="91"/>
      <c r="I762" s="91"/>
      <c r="M762" s="91"/>
      <c r="N762" s="91"/>
    </row>
    <row r="763" ht="15.75" customHeight="1">
      <c r="A763" s="91"/>
      <c r="E763" s="91"/>
      <c r="H763" s="91"/>
      <c r="I763" s="91"/>
      <c r="M763" s="91"/>
      <c r="N763" s="91"/>
    </row>
    <row r="764" ht="15.75" customHeight="1">
      <c r="A764" s="91"/>
      <c r="E764" s="91"/>
      <c r="H764" s="91"/>
      <c r="I764" s="91"/>
      <c r="M764" s="91"/>
      <c r="N764" s="91"/>
    </row>
    <row r="765" ht="15.75" customHeight="1">
      <c r="A765" s="91"/>
      <c r="E765" s="91"/>
      <c r="H765" s="91"/>
      <c r="I765" s="91"/>
      <c r="M765" s="91"/>
      <c r="N765" s="91"/>
    </row>
    <row r="766" ht="15.75" customHeight="1">
      <c r="A766" s="91"/>
      <c r="E766" s="91"/>
      <c r="H766" s="91"/>
      <c r="I766" s="91"/>
      <c r="M766" s="91"/>
      <c r="N766" s="91"/>
    </row>
    <row r="767" ht="15.75" customHeight="1">
      <c r="A767" s="91"/>
      <c r="E767" s="91"/>
      <c r="H767" s="91"/>
      <c r="I767" s="91"/>
      <c r="M767" s="91"/>
      <c r="N767" s="91"/>
    </row>
    <row r="768" ht="15.75" customHeight="1">
      <c r="A768" s="91"/>
      <c r="E768" s="91"/>
      <c r="H768" s="91"/>
      <c r="I768" s="91"/>
      <c r="M768" s="91"/>
      <c r="N768" s="91"/>
    </row>
    <row r="769" ht="15.75" customHeight="1">
      <c r="A769" s="91"/>
      <c r="E769" s="91"/>
      <c r="H769" s="91"/>
      <c r="I769" s="91"/>
      <c r="M769" s="91"/>
      <c r="N769" s="91"/>
    </row>
    <row r="770" ht="15.75" customHeight="1">
      <c r="A770" s="91"/>
      <c r="E770" s="91"/>
      <c r="H770" s="91"/>
      <c r="I770" s="91"/>
      <c r="M770" s="91"/>
      <c r="N770" s="91"/>
    </row>
    <row r="771" ht="15.75" customHeight="1">
      <c r="A771" s="91"/>
      <c r="E771" s="91"/>
      <c r="H771" s="91"/>
      <c r="I771" s="91"/>
      <c r="M771" s="91"/>
      <c r="N771" s="91"/>
    </row>
    <row r="772" ht="15.75" customHeight="1">
      <c r="A772" s="91"/>
      <c r="E772" s="91"/>
      <c r="H772" s="91"/>
      <c r="I772" s="91"/>
      <c r="M772" s="91"/>
      <c r="N772" s="91"/>
    </row>
    <row r="773" ht="15.75" customHeight="1">
      <c r="A773" s="91"/>
      <c r="E773" s="91"/>
      <c r="H773" s="91"/>
      <c r="I773" s="91"/>
      <c r="M773" s="91"/>
      <c r="N773" s="91"/>
    </row>
    <row r="774" ht="15.75" customHeight="1">
      <c r="A774" s="91"/>
      <c r="E774" s="91"/>
      <c r="H774" s="91"/>
      <c r="I774" s="91"/>
      <c r="M774" s="91"/>
      <c r="N774" s="91"/>
    </row>
    <row r="775" ht="15.75" customHeight="1">
      <c r="A775" s="91"/>
      <c r="E775" s="91"/>
      <c r="H775" s="91"/>
      <c r="I775" s="91"/>
      <c r="M775" s="91"/>
      <c r="N775" s="91"/>
    </row>
    <row r="776" ht="15.75" customHeight="1">
      <c r="A776" s="91"/>
      <c r="E776" s="91"/>
      <c r="H776" s="91"/>
      <c r="I776" s="91"/>
      <c r="M776" s="91"/>
      <c r="N776" s="91"/>
    </row>
    <row r="777" ht="15.75" customHeight="1">
      <c r="A777" s="91"/>
      <c r="E777" s="91"/>
      <c r="H777" s="91"/>
      <c r="I777" s="91"/>
      <c r="M777" s="91"/>
      <c r="N777" s="91"/>
    </row>
    <row r="778" ht="15.75" customHeight="1">
      <c r="A778" s="91"/>
      <c r="E778" s="91"/>
      <c r="H778" s="91"/>
      <c r="I778" s="91"/>
      <c r="M778" s="91"/>
      <c r="N778" s="91"/>
    </row>
    <row r="779" ht="15.75" customHeight="1">
      <c r="A779" s="91"/>
      <c r="E779" s="91"/>
      <c r="H779" s="91"/>
      <c r="I779" s="91"/>
      <c r="M779" s="91"/>
      <c r="N779" s="91"/>
    </row>
    <row r="780" ht="15.75" customHeight="1">
      <c r="A780" s="91"/>
      <c r="E780" s="91"/>
      <c r="H780" s="91"/>
      <c r="I780" s="91"/>
      <c r="M780" s="91"/>
      <c r="N780" s="91"/>
    </row>
    <row r="781" ht="15.75" customHeight="1">
      <c r="A781" s="91"/>
      <c r="E781" s="91"/>
      <c r="H781" s="91"/>
      <c r="I781" s="91"/>
      <c r="M781" s="91"/>
      <c r="N781" s="91"/>
    </row>
    <row r="782" ht="15.75" customHeight="1">
      <c r="A782" s="91"/>
      <c r="E782" s="91"/>
      <c r="H782" s="91"/>
      <c r="I782" s="91"/>
      <c r="M782" s="91"/>
      <c r="N782" s="91"/>
    </row>
    <row r="783" ht="15.75" customHeight="1">
      <c r="A783" s="91"/>
      <c r="E783" s="91"/>
      <c r="H783" s="91"/>
      <c r="I783" s="91"/>
      <c r="M783" s="91"/>
      <c r="N783" s="91"/>
    </row>
    <row r="784" ht="15.75" customHeight="1">
      <c r="A784" s="91"/>
      <c r="E784" s="91"/>
      <c r="H784" s="91"/>
      <c r="I784" s="91"/>
      <c r="M784" s="91"/>
      <c r="N784" s="91"/>
    </row>
    <row r="785" ht="15.75" customHeight="1">
      <c r="A785" s="91"/>
      <c r="E785" s="91"/>
      <c r="H785" s="91"/>
      <c r="I785" s="91"/>
      <c r="M785" s="91"/>
      <c r="N785" s="91"/>
    </row>
    <row r="786" ht="15.75" customHeight="1">
      <c r="A786" s="91"/>
      <c r="E786" s="91"/>
      <c r="H786" s="91"/>
      <c r="I786" s="91"/>
      <c r="M786" s="91"/>
      <c r="N786" s="91"/>
    </row>
    <row r="787" ht="15.75" customHeight="1">
      <c r="A787" s="91"/>
      <c r="E787" s="91"/>
      <c r="H787" s="91"/>
      <c r="I787" s="91"/>
      <c r="M787" s="91"/>
      <c r="N787" s="91"/>
    </row>
    <row r="788" ht="15.75" customHeight="1">
      <c r="A788" s="91"/>
      <c r="E788" s="91"/>
      <c r="H788" s="91"/>
      <c r="I788" s="91"/>
      <c r="M788" s="91"/>
      <c r="N788" s="91"/>
    </row>
    <row r="789" ht="15.75" customHeight="1">
      <c r="A789" s="91"/>
      <c r="E789" s="91"/>
      <c r="H789" s="91"/>
      <c r="I789" s="91"/>
      <c r="M789" s="91"/>
      <c r="N789" s="91"/>
    </row>
    <row r="790" ht="15.75" customHeight="1">
      <c r="A790" s="91"/>
      <c r="E790" s="91"/>
      <c r="H790" s="91"/>
      <c r="I790" s="91"/>
      <c r="M790" s="91"/>
      <c r="N790" s="91"/>
    </row>
    <row r="791" ht="15.75" customHeight="1">
      <c r="A791" s="91"/>
      <c r="E791" s="91"/>
      <c r="H791" s="91"/>
      <c r="I791" s="91"/>
      <c r="M791" s="91"/>
      <c r="N791" s="91"/>
    </row>
    <row r="792" ht="15.75" customHeight="1">
      <c r="A792" s="91"/>
      <c r="E792" s="91"/>
      <c r="H792" s="91"/>
      <c r="I792" s="91"/>
      <c r="M792" s="91"/>
      <c r="N792" s="91"/>
    </row>
    <row r="793" ht="15.75" customHeight="1">
      <c r="A793" s="91"/>
      <c r="E793" s="91"/>
      <c r="H793" s="91"/>
      <c r="I793" s="91"/>
      <c r="M793" s="91"/>
      <c r="N793" s="91"/>
    </row>
    <row r="794" ht="15.75" customHeight="1">
      <c r="A794" s="91"/>
      <c r="E794" s="91"/>
      <c r="H794" s="91"/>
      <c r="I794" s="91"/>
      <c r="M794" s="91"/>
      <c r="N794" s="91"/>
    </row>
    <row r="795" ht="15.75" customHeight="1">
      <c r="A795" s="91"/>
      <c r="E795" s="91"/>
      <c r="H795" s="91"/>
      <c r="I795" s="91"/>
      <c r="M795" s="91"/>
      <c r="N795" s="91"/>
    </row>
    <row r="796" ht="15.75" customHeight="1">
      <c r="A796" s="91"/>
      <c r="E796" s="91"/>
      <c r="H796" s="91"/>
      <c r="I796" s="91"/>
      <c r="M796" s="91"/>
      <c r="N796" s="91"/>
    </row>
    <row r="797" ht="15.75" customHeight="1">
      <c r="A797" s="91"/>
      <c r="E797" s="91"/>
      <c r="H797" s="91"/>
      <c r="I797" s="91"/>
      <c r="M797" s="91"/>
      <c r="N797" s="91"/>
    </row>
    <row r="798" ht="15.75" customHeight="1">
      <c r="A798" s="91"/>
      <c r="E798" s="91"/>
      <c r="H798" s="91"/>
      <c r="I798" s="91"/>
      <c r="M798" s="91"/>
      <c r="N798" s="91"/>
    </row>
    <row r="799" ht="15.75" customHeight="1">
      <c r="A799" s="91"/>
      <c r="E799" s="91"/>
      <c r="H799" s="91"/>
      <c r="I799" s="91"/>
      <c r="M799" s="91"/>
      <c r="N799" s="91"/>
    </row>
    <row r="800" ht="15.75" customHeight="1">
      <c r="A800" s="91"/>
      <c r="E800" s="91"/>
      <c r="H800" s="91"/>
      <c r="I800" s="91"/>
      <c r="M800" s="91"/>
      <c r="N800" s="91"/>
    </row>
    <row r="801" ht="15.75" customHeight="1">
      <c r="A801" s="91"/>
      <c r="E801" s="91"/>
      <c r="H801" s="91"/>
      <c r="I801" s="91"/>
      <c r="M801" s="91"/>
      <c r="N801" s="91"/>
    </row>
    <row r="802" ht="15.75" customHeight="1">
      <c r="A802" s="91"/>
      <c r="E802" s="91"/>
      <c r="H802" s="91"/>
      <c r="I802" s="91"/>
      <c r="M802" s="91"/>
      <c r="N802" s="91"/>
    </row>
    <row r="803" ht="15.75" customHeight="1">
      <c r="A803" s="91"/>
      <c r="E803" s="91"/>
      <c r="H803" s="91"/>
      <c r="I803" s="91"/>
      <c r="M803" s="91"/>
      <c r="N803" s="91"/>
    </row>
    <row r="804" ht="15.75" customHeight="1">
      <c r="A804" s="91"/>
      <c r="E804" s="91"/>
      <c r="H804" s="91"/>
      <c r="I804" s="91"/>
      <c r="M804" s="91"/>
      <c r="N804" s="91"/>
    </row>
    <row r="805" ht="15.75" customHeight="1">
      <c r="A805" s="91"/>
      <c r="E805" s="91"/>
      <c r="H805" s="91"/>
      <c r="I805" s="91"/>
      <c r="M805" s="91"/>
      <c r="N805" s="91"/>
    </row>
    <row r="806" ht="15.75" customHeight="1">
      <c r="A806" s="91"/>
      <c r="E806" s="91"/>
      <c r="H806" s="91"/>
      <c r="I806" s="91"/>
      <c r="M806" s="91"/>
      <c r="N806" s="91"/>
    </row>
    <row r="807" ht="15.75" customHeight="1">
      <c r="A807" s="91"/>
      <c r="E807" s="91"/>
      <c r="H807" s="91"/>
      <c r="I807" s="91"/>
      <c r="M807" s="91"/>
      <c r="N807" s="91"/>
    </row>
    <row r="808" ht="15.75" customHeight="1">
      <c r="A808" s="91"/>
      <c r="E808" s="91"/>
      <c r="H808" s="91"/>
      <c r="I808" s="91"/>
      <c r="M808" s="91"/>
      <c r="N808" s="91"/>
    </row>
    <row r="809" ht="15.75" customHeight="1">
      <c r="A809" s="91"/>
      <c r="E809" s="91"/>
      <c r="H809" s="91"/>
      <c r="I809" s="91"/>
      <c r="M809" s="91"/>
      <c r="N809" s="91"/>
    </row>
    <row r="810" ht="15.75" customHeight="1">
      <c r="A810" s="91"/>
      <c r="E810" s="91"/>
      <c r="H810" s="91"/>
      <c r="I810" s="91"/>
      <c r="M810" s="91"/>
      <c r="N810" s="91"/>
    </row>
    <row r="811" ht="15.75" customHeight="1">
      <c r="A811" s="91"/>
      <c r="E811" s="91"/>
      <c r="H811" s="91"/>
      <c r="I811" s="91"/>
      <c r="M811" s="91"/>
      <c r="N811" s="91"/>
    </row>
    <row r="812" ht="15.75" customHeight="1">
      <c r="A812" s="91"/>
      <c r="E812" s="91"/>
      <c r="H812" s="91"/>
      <c r="I812" s="91"/>
      <c r="M812" s="91"/>
      <c r="N812" s="91"/>
    </row>
    <row r="813" ht="15.75" customHeight="1">
      <c r="A813" s="91"/>
      <c r="E813" s="91"/>
      <c r="H813" s="91"/>
      <c r="I813" s="91"/>
      <c r="M813" s="91"/>
      <c r="N813" s="91"/>
    </row>
    <row r="814" ht="15.75" customHeight="1">
      <c r="A814" s="91"/>
      <c r="E814" s="91"/>
      <c r="H814" s="91"/>
      <c r="I814" s="91"/>
      <c r="M814" s="91"/>
      <c r="N814" s="91"/>
    </row>
    <row r="815" ht="15.75" customHeight="1">
      <c r="A815" s="91"/>
      <c r="E815" s="91"/>
      <c r="H815" s="91"/>
      <c r="I815" s="91"/>
      <c r="M815" s="91"/>
      <c r="N815" s="91"/>
    </row>
    <row r="816" ht="15.75" customHeight="1">
      <c r="A816" s="91"/>
      <c r="E816" s="91"/>
      <c r="H816" s="91"/>
      <c r="I816" s="91"/>
      <c r="M816" s="91"/>
      <c r="N816" s="91"/>
    </row>
    <row r="817" ht="15.75" customHeight="1">
      <c r="A817" s="91"/>
      <c r="E817" s="91"/>
      <c r="H817" s="91"/>
      <c r="I817" s="91"/>
      <c r="M817" s="91"/>
      <c r="N817" s="91"/>
    </row>
    <row r="818" ht="15.75" customHeight="1">
      <c r="A818" s="91"/>
      <c r="E818" s="91"/>
      <c r="H818" s="91"/>
      <c r="I818" s="91"/>
      <c r="M818" s="91"/>
      <c r="N818" s="91"/>
    </row>
    <row r="819" ht="15.75" customHeight="1">
      <c r="A819" s="91"/>
      <c r="E819" s="91"/>
      <c r="H819" s="91"/>
      <c r="I819" s="91"/>
      <c r="M819" s="91"/>
      <c r="N819" s="91"/>
    </row>
    <row r="820" ht="15.75" customHeight="1">
      <c r="A820" s="91"/>
      <c r="E820" s="91"/>
      <c r="H820" s="91"/>
      <c r="I820" s="91"/>
      <c r="M820" s="91"/>
      <c r="N820" s="91"/>
    </row>
    <row r="821" ht="15.75" customHeight="1">
      <c r="A821" s="91"/>
      <c r="E821" s="91"/>
      <c r="H821" s="91"/>
      <c r="I821" s="91"/>
      <c r="M821" s="91"/>
      <c r="N821" s="91"/>
    </row>
    <row r="822" ht="15.75" customHeight="1">
      <c r="A822" s="91"/>
      <c r="E822" s="91"/>
      <c r="H822" s="91"/>
      <c r="I822" s="91"/>
      <c r="M822" s="91"/>
      <c r="N822" s="91"/>
    </row>
    <row r="823" ht="15.75" customHeight="1">
      <c r="A823" s="91"/>
      <c r="E823" s="91"/>
      <c r="H823" s="91"/>
      <c r="I823" s="91"/>
      <c r="M823" s="91"/>
      <c r="N823" s="91"/>
    </row>
    <row r="824" ht="15.75" customHeight="1">
      <c r="A824" s="91"/>
      <c r="E824" s="91"/>
      <c r="H824" s="91"/>
      <c r="I824" s="91"/>
      <c r="M824" s="91"/>
      <c r="N824" s="91"/>
    </row>
    <row r="825" ht="15.75" customHeight="1">
      <c r="A825" s="91"/>
      <c r="E825" s="91"/>
      <c r="H825" s="91"/>
      <c r="I825" s="91"/>
      <c r="M825" s="91"/>
      <c r="N825" s="91"/>
    </row>
    <row r="826" ht="15.75" customHeight="1">
      <c r="A826" s="91"/>
      <c r="E826" s="91"/>
      <c r="H826" s="91"/>
      <c r="I826" s="91"/>
      <c r="M826" s="91"/>
      <c r="N826" s="91"/>
    </row>
    <row r="827" ht="15.75" customHeight="1">
      <c r="A827" s="91"/>
      <c r="E827" s="91"/>
      <c r="H827" s="91"/>
      <c r="I827" s="91"/>
      <c r="M827" s="91"/>
      <c r="N827" s="91"/>
    </row>
    <row r="828" ht="15.75" customHeight="1">
      <c r="A828" s="91"/>
      <c r="E828" s="91"/>
      <c r="H828" s="91"/>
      <c r="I828" s="91"/>
      <c r="M828" s="91"/>
      <c r="N828" s="91"/>
    </row>
    <row r="829" ht="15.75" customHeight="1">
      <c r="A829" s="91"/>
      <c r="E829" s="91"/>
      <c r="H829" s="91"/>
      <c r="I829" s="91"/>
      <c r="M829" s="91"/>
      <c r="N829" s="91"/>
    </row>
    <row r="830" ht="15.75" customHeight="1">
      <c r="A830" s="91"/>
      <c r="E830" s="91"/>
      <c r="H830" s="91"/>
      <c r="I830" s="91"/>
      <c r="M830" s="91"/>
      <c r="N830" s="91"/>
    </row>
    <row r="831" ht="15.75" customHeight="1">
      <c r="A831" s="91"/>
      <c r="E831" s="91"/>
      <c r="H831" s="91"/>
      <c r="I831" s="91"/>
      <c r="M831" s="91"/>
      <c r="N831" s="91"/>
    </row>
    <row r="832" ht="15.75" customHeight="1">
      <c r="A832" s="91"/>
      <c r="E832" s="91"/>
      <c r="H832" s="91"/>
      <c r="I832" s="91"/>
      <c r="M832" s="91"/>
      <c r="N832" s="91"/>
    </row>
    <row r="833" ht="15.75" customHeight="1">
      <c r="A833" s="91"/>
      <c r="E833" s="91"/>
      <c r="H833" s="91"/>
      <c r="I833" s="91"/>
      <c r="M833" s="91"/>
      <c r="N833" s="91"/>
    </row>
    <row r="834" ht="15.75" customHeight="1">
      <c r="A834" s="91"/>
      <c r="E834" s="91"/>
      <c r="H834" s="91"/>
      <c r="I834" s="91"/>
      <c r="M834" s="91"/>
      <c r="N834" s="91"/>
    </row>
    <row r="835" ht="15.75" customHeight="1">
      <c r="A835" s="91"/>
      <c r="E835" s="91"/>
      <c r="H835" s="91"/>
      <c r="I835" s="91"/>
      <c r="M835" s="91"/>
      <c r="N835" s="91"/>
    </row>
    <row r="836" ht="15.75" customHeight="1">
      <c r="A836" s="91"/>
      <c r="E836" s="91"/>
      <c r="H836" s="91"/>
      <c r="I836" s="91"/>
      <c r="M836" s="91"/>
      <c r="N836" s="91"/>
    </row>
    <row r="837" ht="15.75" customHeight="1">
      <c r="A837" s="91"/>
      <c r="E837" s="91"/>
      <c r="H837" s="91"/>
      <c r="I837" s="91"/>
      <c r="M837" s="91"/>
      <c r="N837" s="91"/>
    </row>
    <row r="838" ht="15.75" customHeight="1">
      <c r="A838" s="91"/>
      <c r="E838" s="91"/>
      <c r="H838" s="91"/>
      <c r="I838" s="91"/>
      <c r="M838" s="91"/>
      <c r="N838" s="91"/>
    </row>
    <row r="839" ht="15.75" customHeight="1">
      <c r="A839" s="91"/>
      <c r="E839" s="91"/>
      <c r="H839" s="91"/>
      <c r="I839" s="91"/>
      <c r="M839" s="91"/>
      <c r="N839" s="91"/>
    </row>
    <row r="840" ht="15.75" customHeight="1">
      <c r="A840" s="91"/>
      <c r="E840" s="91"/>
      <c r="H840" s="91"/>
      <c r="I840" s="91"/>
      <c r="M840" s="91"/>
      <c r="N840" s="91"/>
    </row>
    <row r="841" ht="15.75" customHeight="1">
      <c r="A841" s="91"/>
      <c r="E841" s="91"/>
      <c r="H841" s="91"/>
      <c r="I841" s="91"/>
      <c r="M841" s="91"/>
      <c r="N841" s="91"/>
    </row>
    <row r="842" ht="15.75" customHeight="1">
      <c r="A842" s="91"/>
      <c r="E842" s="91"/>
      <c r="H842" s="91"/>
      <c r="I842" s="91"/>
      <c r="M842" s="91"/>
      <c r="N842" s="91"/>
    </row>
    <row r="843" ht="15.75" customHeight="1">
      <c r="A843" s="91"/>
      <c r="E843" s="91"/>
      <c r="H843" s="91"/>
      <c r="I843" s="91"/>
      <c r="M843" s="91"/>
      <c r="N843" s="91"/>
    </row>
    <row r="844" ht="15.75" customHeight="1">
      <c r="A844" s="91"/>
      <c r="E844" s="91"/>
      <c r="H844" s="91"/>
      <c r="I844" s="91"/>
      <c r="M844" s="91"/>
      <c r="N844" s="91"/>
    </row>
    <row r="845" ht="15.75" customHeight="1">
      <c r="A845" s="91"/>
      <c r="E845" s="91"/>
      <c r="H845" s="91"/>
      <c r="I845" s="91"/>
      <c r="M845" s="91"/>
      <c r="N845" s="91"/>
    </row>
    <row r="846" ht="15.75" customHeight="1">
      <c r="A846" s="91"/>
      <c r="E846" s="91"/>
      <c r="H846" s="91"/>
      <c r="I846" s="91"/>
      <c r="M846" s="91"/>
      <c r="N846" s="91"/>
    </row>
    <row r="847" ht="15.75" customHeight="1">
      <c r="A847" s="91"/>
      <c r="E847" s="91"/>
      <c r="H847" s="91"/>
      <c r="I847" s="91"/>
      <c r="M847" s="91"/>
      <c r="N847" s="91"/>
    </row>
    <row r="848" ht="15.75" customHeight="1">
      <c r="A848" s="91"/>
      <c r="E848" s="91"/>
      <c r="H848" s="91"/>
      <c r="I848" s="91"/>
      <c r="M848" s="91"/>
      <c r="N848" s="91"/>
    </row>
    <row r="849" ht="15.75" customHeight="1">
      <c r="A849" s="91"/>
      <c r="E849" s="91"/>
      <c r="H849" s="91"/>
      <c r="I849" s="91"/>
      <c r="M849" s="91"/>
      <c r="N849" s="91"/>
    </row>
    <row r="850" ht="15.75" customHeight="1">
      <c r="A850" s="91"/>
      <c r="E850" s="91"/>
      <c r="H850" s="91"/>
      <c r="I850" s="91"/>
      <c r="M850" s="91"/>
      <c r="N850" s="91"/>
    </row>
    <row r="851" ht="15.75" customHeight="1">
      <c r="A851" s="91"/>
      <c r="E851" s="91"/>
      <c r="H851" s="91"/>
      <c r="I851" s="91"/>
      <c r="M851" s="91"/>
      <c r="N851" s="91"/>
    </row>
    <row r="852" ht="15.75" customHeight="1">
      <c r="A852" s="91"/>
      <c r="E852" s="91"/>
      <c r="H852" s="91"/>
      <c r="I852" s="91"/>
      <c r="M852" s="91"/>
      <c r="N852" s="91"/>
    </row>
    <row r="853" ht="15.75" customHeight="1">
      <c r="A853" s="91"/>
      <c r="E853" s="91"/>
      <c r="H853" s="91"/>
      <c r="I853" s="91"/>
      <c r="M853" s="91"/>
      <c r="N853" s="91"/>
    </row>
    <row r="854" ht="15.75" customHeight="1">
      <c r="A854" s="91"/>
      <c r="E854" s="91"/>
      <c r="H854" s="91"/>
      <c r="I854" s="91"/>
      <c r="M854" s="91"/>
      <c r="N854" s="91"/>
    </row>
    <row r="855" ht="15.75" customHeight="1">
      <c r="A855" s="91"/>
      <c r="E855" s="91"/>
      <c r="H855" s="91"/>
      <c r="I855" s="91"/>
      <c r="M855" s="91"/>
      <c r="N855" s="91"/>
    </row>
    <row r="856" ht="15.75" customHeight="1">
      <c r="A856" s="91"/>
      <c r="E856" s="91"/>
      <c r="H856" s="91"/>
      <c r="I856" s="91"/>
      <c r="M856" s="91"/>
      <c r="N856" s="91"/>
    </row>
    <row r="857" ht="15.75" customHeight="1">
      <c r="A857" s="91"/>
      <c r="E857" s="91"/>
      <c r="H857" s="91"/>
      <c r="I857" s="91"/>
      <c r="M857" s="91"/>
      <c r="N857" s="91"/>
    </row>
    <row r="858" ht="15.75" customHeight="1">
      <c r="A858" s="91"/>
      <c r="E858" s="91"/>
      <c r="H858" s="91"/>
      <c r="I858" s="91"/>
      <c r="M858" s="91"/>
      <c r="N858" s="91"/>
    </row>
    <row r="859" ht="15.75" customHeight="1">
      <c r="A859" s="91"/>
      <c r="E859" s="91"/>
      <c r="H859" s="91"/>
      <c r="I859" s="91"/>
      <c r="M859" s="91"/>
      <c r="N859" s="91"/>
    </row>
    <row r="860" ht="15.75" customHeight="1">
      <c r="A860" s="91"/>
      <c r="E860" s="91"/>
      <c r="H860" s="91"/>
      <c r="I860" s="91"/>
      <c r="M860" s="91"/>
      <c r="N860" s="91"/>
    </row>
    <row r="861" ht="15.75" customHeight="1">
      <c r="A861" s="91"/>
      <c r="E861" s="91"/>
      <c r="H861" s="91"/>
      <c r="I861" s="91"/>
      <c r="M861" s="91"/>
      <c r="N861" s="91"/>
    </row>
    <row r="862" ht="15.75" customHeight="1">
      <c r="A862" s="91"/>
      <c r="E862" s="91"/>
      <c r="H862" s="91"/>
      <c r="I862" s="91"/>
      <c r="M862" s="91"/>
      <c r="N862" s="91"/>
    </row>
    <row r="863" ht="15.75" customHeight="1">
      <c r="A863" s="91"/>
      <c r="E863" s="91"/>
      <c r="H863" s="91"/>
      <c r="I863" s="91"/>
      <c r="M863" s="91"/>
      <c r="N863" s="91"/>
    </row>
    <row r="864" ht="15.75" customHeight="1">
      <c r="A864" s="91"/>
      <c r="E864" s="91"/>
      <c r="H864" s="91"/>
      <c r="I864" s="91"/>
      <c r="M864" s="91"/>
      <c r="N864" s="91"/>
    </row>
    <row r="865" ht="15.75" customHeight="1">
      <c r="A865" s="91"/>
      <c r="E865" s="91"/>
      <c r="H865" s="91"/>
      <c r="I865" s="91"/>
      <c r="M865" s="91"/>
      <c r="N865" s="91"/>
    </row>
    <row r="866" ht="15.75" customHeight="1">
      <c r="A866" s="91"/>
      <c r="E866" s="91"/>
      <c r="H866" s="91"/>
      <c r="I866" s="91"/>
      <c r="M866" s="91"/>
      <c r="N866" s="91"/>
    </row>
    <row r="867" ht="15.75" customHeight="1">
      <c r="A867" s="91"/>
      <c r="E867" s="91"/>
      <c r="H867" s="91"/>
      <c r="I867" s="91"/>
      <c r="M867" s="91"/>
      <c r="N867" s="91"/>
    </row>
    <row r="868" ht="15.75" customHeight="1">
      <c r="A868" s="91"/>
      <c r="E868" s="91"/>
      <c r="H868" s="91"/>
      <c r="I868" s="91"/>
      <c r="M868" s="91"/>
      <c r="N868" s="91"/>
    </row>
    <row r="869" ht="15.75" customHeight="1">
      <c r="A869" s="91"/>
      <c r="E869" s="91"/>
      <c r="H869" s="91"/>
      <c r="I869" s="91"/>
      <c r="M869" s="91"/>
      <c r="N869" s="91"/>
    </row>
    <row r="870" ht="15.75" customHeight="1">
      <c r="A870" s="91"/>
      <c r="E870" s="91"/>
      <c r="H870" s="91"/>
      <c r="I870" s="91"/>
      <c r="M870" s="91"/>
      <c r="N870" s="91"/>
    </row>
    <row r="871" ht="15.75" customHeight="1">
      <c r="A871" s="91"/>
      <c r="E871" s="91"/>
      <c r="H871" s="91"/>
      <c r="I871" s="91"/>
      <c r="M871" s="91"/>
      <c r="N871" s="91"/>
    </row>
    <row r="872" ht="15.75" customHeight="1">
      <c r="A872" s="91"/>
      <c r="E872" s="91"/>
      <c r="H872" s="91"/>
      <c r="I872" s="91"/>
      <c r="M872" s="91"/>
      <c r="N872" s="91"/>
    </row>
    <row r="873" ht="15.75" customHeight="1">
      <c r="A873" s="91"/>
      <c r="E873" s="91"/>
      <c r="H873" s="91"/>
      <c r="I873" s="91"/>
      <c r="M873" s="91"/>
      <c r="N873" s="91"/>
    </row>
    <row r="874" ht="15.75" customHeight="1">
      <c r="A874" s="91"/>
      <c r="E874" s="91"/>
      <c r="H874" s="91"/>
      <c r="I874" s="91"/>
      <c r="M874" s="91"/>
      <c r="N874" s="91"/>
    </row>
    <row r="875" ht="15.75" customHeight="1">
      <c r="A875" s="91"/>
      <c r="E875" s="91"/>
      <c r="H875" s="91"/>
      <c r="I875" s="91"/>
      <c r="M875" s="91"/>
      <c r="N875" s="91"/>
    </row>
    <row r="876" ht="15.75" customHeight="1">
      <c r="A876" s="91"/>
      <c r="E876" s="91"/>
      <c r="H876" s="91"/>
      <c r="I876" s="91"/>
      <c r="M876" s="91"/>
      <c r="N876" s="91"/>
    </row>
    <row r="877" ht="15.75" customHeight="1">
      <c r="A877" s="91"/>
      <c r="E877" s="91"/>
      <c r="H877" s="91"/>
      <c r="I877" s="91"/>
      <c r="M877" s="91"/>
      <c r="N877" s="91"/>
    </row>
    <row r="878" ht="15.75" customHeight="1">
      <c r="A878" s="91"/>
      <c r="E878" s="91"/>
      <c r="H878" s="91"/>
      <c r="I878" s="91"/>
      <c r="M878" s="91"/>
      <c r="N878" s="91"/>
    </row>
    <row r="879" ht="15.75" customHeight="1">
      <c r="A879" s="91"/>
      <c r="E879" s="91"/>
      <c r="H879" s="91"/>
      <c r="I879" s="91"/>
      <c r="M879" s="91"/>
      <c r="N879" s="91"/>
    </row>
    <row r="880" ht="15.75" customHeight="1">
      <c r="A880" s="91"/>
      <c r="E880" s="91"/>
      <c r="H880" s="91"/>
      <c r="I880" s="91"/>
      <c r="M880" s="91"/>
      <c r="N880" s="91"/>
    </row>
    <row r="881" ht="15.75" customHeight="1">
      <c r="A881" s="91"/>
      <c r="E881" s="91"/>
      <c r="H881" s="91"/>
      <c r="I881" s="91"/>
      <c r="M881" s="91"/>
      <c r="N881" s="91"/>
    </row>
    <row r="882" ht="15.75" customHeight="1">
      <c r="A882" s="91"/>
      <c r="E882" s="91"/>
      <c r="H882" s="91"/>
      <c r="I882" s="91"/>
      <c r="M882" s="91"/>
      <c r="N882" s="91"/>
    </row>
    <row r="883" ht="15.75" customHeight="1">
      <c r="A883" s="91"/>
      <c r="E883" s="91"/>
      <c r="H883" s="91"/>
      <c r="I883" s="91"/>
      <c r="M883" s="91"/>
      <c r="N883" s="91"/>
    </row>
    <row r="884" ht="15.75" customHeight="1">
      <c r="A884" s="91"/>
      <c r="E884" s="91"/>
      <c r="H884" s="91"/>
      <c r="I884" s="91"/>
      <c r="M884" s="91"/>
      <c r="N884" s="91"/>
    </row>
    <row r="885" ht="15.75" customHeight="1">
      <c r="A885" s="91"/>
      <c r="E885" s="91"/>
      <c r="H885" s="91"/>
      <c r="I885" s="91"/>
      <c r="M885" s="91"/>
      <c r="N885" s="91"/>
    </row>
    <row r="886" ht="15.75" customHeight="1">
      <c r="A886" s="91"/>
      <c r="E886" s="91"/>
      <c r="H886" s="91"/>
      <c r="I886" s="91"/>
      <c r="M886" s="91"/>
      <c r="N886" s="91"/>
    </row>
    <row r="887" ht="15.75" customHeight="1">
      <c r="A887" s="91"/>
      <c r="E887" s="91"/>
      <c r="H887" s="91"/>
      <c r="I887" s="91"/>
      <c r="M887" s="91"/>
      <c r="N887" s="91"/>
    </row>
    <row r="888" ht="15.75" customHeight="1">
      <c r="A888" s="91"/>
      <c r="E888" s="91"/>
      <c r="H888" s="91"/>
      <c r="I888" s="91"/>
      <c r="M888" s="91"/>
      <c r="N888" s="91"/>
    </row>
    <row r="889" ht="15.75" customHeight="1">
      <c r="A889" s="91"/>
      <c r="E889" s="91"/>
      <c r="H889" s="91"/>
      <c r="I889" s="91"/>
      <c r="M889" s="91"/>
      <c r="N889" s="91"/>
    </row>
    <row r="890" ht="15.75" customHeight="1">
      <c r="A890" s="91"/>
      <c r="E890" s="91"/>
      <c r="H890" s="91"/>
      <c r="I890" s="91"/>
      <c r="M890" s="91"/>
      <c r="N890" s="91"/>
    </row>
    <row r="891" ht="15.75" customHeight="1">
      <c r="A891" s="91"/>
      <c r="E891" s="91"/>
      <c r="H891" s="91"/>
      <c r="I891" s="91"/>
      <c r="M891" s="91"/>
      <c r="N891" s="91"/>
    </row>
    <row r="892" ht="15.75" customHeight="1">
      <c r="A892" s="91"/>
      <c r="E892" s="91"/>
      <c r="H892" s="91"/>
      <c r="I892" s="91"/>
      <c r="M892" s="91"/>
      <c r="N892" s="91"/>
    </row>
    <row r="893" ht="15.75" customHeight="1">
      <c r="A893" s="91"/>
      <c r="E893" s="91"/>
      <c r="H893" s="91"/>
      <c r="I893" s="91"/>
      <c r="M893" s="91"/>
      <c r="N893" s="91"/>
    </row>
    <row r="894" ht="15.75" customHeight="1">
      <c r="A894" s="91"/>
      <c r="E894" s="91"/>
      <c r="H894" s="91"/>
      <c r="I894" s="91"/>
      <c r="M894" s="91"/>
      <c r="N894" s="91"/>
    </row>
    <row r="895" ht="15.75" customHeight="1">
      <c r="A895" s="91"/>
      <c r="E895" s="91"/>
      <c r="H895" s="91"/>
      <c r="I895" s="91"/>
      <c r="M895" s="91"/>
      <c r="N895" s="91"/>
    </row>
    <row r="896" ht="15.75" customHeight="1">
      <c r="A896" s="91"/>
      <c r="E896" s="91"/>
      <c r="H896" s="91"/>
      <c r="I896" s="91"/>
      <c r="M896" s="91"/>
      <c r="N896" s="91"/>
    </row>
    <row r="897" ht="15.75" customHeight="1">
      <c r="A897" s="91"/>
      <c r="E897" s="91"/>
      <c r="H897" s="91"/>
      <c r="I897" s="91"/>
      <c r="M897" s="91"/>
      <c r="N897" s="91"/>
    </row>
    <row r="898" ht="15.75" customHeight="1">
      <c r="A898" s="91"/>
      <c r="E898" s="91"/>
      <c r="H898" s="91"/>
      <c r="I898" s="91"/>
      <c r="M898" s="91"/>
      <c r="N898" s="91"/>
    </row>
    <row r="899" ht="15.75" customHeight="1">
      <c r="A899" s="91"/>
      <c r="E899" s="91"/>
      <c r="H899" s="91"/>
      <c r="I899" s="91"/>
      <c r="M899" s="91"/>
      <c r="N899" s="91"/>
    </row>
    <row r="900" ht="15.75" customHeight="1">
      <c r="A900" s="91"/>
      <c r="E900" s="91"/>
      <c r="H900" s="91"/>
      <c r="I900" s="91"/>
      <c r="M900" s="91"/>
      <c r="N900" s="91"/>
    </row>
    <row r="901" ht="15.75" customHeight="1">
      <c r="A901" s="91"/>
      <c r="E901" s="91"/>
      <c r="H901" s="91"/>
      <c r="I901" s="91"/>
      <c r="M901" s="91"/>
      <c r="N901" s="91"/>
    </row>
    <row r="902" ht="15.75" customHeight="1">
      <c r="A902" s="91"/>
      <c r="E902" s="91"/>
      <c r="H902" s="91"/>
      <c r="I902" s="91"/>
      <c r="M902" s="91"/>
      <c r="N902" s="91"/>
    </row>
    <row r="903" ht="15.75" customHeight="1">
      <c r="A903" s="91"/>
      <c r="E903" s="91"/>
      <c r="H903" s="91"/>
      <c r="I903" s="91"/>
      <c r="M903" s="91"/>
      <c r="N903" s="91"/>
    </row>
    <row r="904" ht="15.75" customHeight="1">
      <c r="A904" s="91"/>
      <c r="E904" s="91"/>
      <c r="H904" s="91"/>
      <c r="I904" s="91"/>
      <c r="M904" s="91"/>
      <c r="N904" s="91"/>
    </row>
    <row r="905" ht="15.75" customHeight="1">
      <c r="A905" s="91"/>
      <c r="E905" s="91"/>
      <c r="H905" s="91"/>
      <c r="I905" s="91"/>
      <c r="M905" s="91"/>
      <c r="N905" s="91"/>
    </row>
    <row r="906" ht="15.75" customHeight="1">
      <c r="A906" s="91"/>
      <c r="E906" s="91"/>
      <c r="H906" s="91"/>
      <c r="I906" s="91"/>
      <c r="M906" s="91"/>
      <c r="N906" s="91"/>
    </row>
    <row r="907" ht="15.75" customHeight="1">
      <c r="A907" s="91"/>
      <c r="E907" s="91"/>
      <c r="H907" s="91"/>
      <c r="I907" s="91"/>
      <c r="M907" s="91"/>
      <c r="N907" s="91"/>
    </row>
    <row r="908" ht="15.75" customHeight="1">
      <c r="A908" s="91"/>
      <c r="E908" s="91"/>
      <c r="H908" s="91"/>
      <c r="I908" s="91"/>
      <c r="M908" s="91"/>
      <c r="N908" s="91"/>
    </row>
    <row r="909" ht="15.75" customHeight="1">
      <c r="A909" s="91"/>
      <c r="E909" s="91"/>
      <c r="H909" s="91"/>
      <c r="I909" s="91"/>
      <c r="M909" s="91"/>
      <c r="N909" s="91"/>
    </row>
    <row r="910" ht="15.75" customHeight="1">
      <c r="A910" s="91"/>
      <c r="E910" s="91"/>
      <c r="H910" s="91"/>
      <c r="I910" s="91"/>
      <c r="M910" s="91"/>
      <c r="N910" s="91"/>
    </row>
    <row r="911" ht="15.75" customHeight="1">
      <c r="A911" s="91"/>
      <c r="E911" s="91"/>
      <c r="H911" s="91"/>
      <c r="I911" s="91"/>
      <c r="M911" s="91"/>
      <c r="N911" s="91"/>
    </row>
    <row r="912" ht="15.75" customHeight="1">
      <c r="A912" s="91"/>
      <c r="E912" s="91"/>
      <c r="H912" s="91"/>
      <c r="I912" s="91"/>
      <c r="M912" s="91"/>
      <c r="N912" s="91"/>
    </row>
    <row r="913" ht="15.75" customHeight="1">
      <c r="A913" s="91"/>
      <c r="E913" s="91"/>
      <c r="H913" s="91"/>
      <c r="I913" s="91"/>
      <c r="M913" s="91"/>
      <c r="N913" s="91"/>
    </row>
    <row r="914" ht="15.75" customHeight="1">
      <c r="A914" s="91"/>
      <c r="E914" s="91"/>
      <c r="H914" s="91"/>
      <c r="I914" s="91"/>
      <c r="M914" s="91"/>
      <c r="N914" s="91"/>
    </row>
    <row r="915" ht="15.75" customHeight="1">
      <c r="A915" s="91"/>
      <c r="E915" s="91"/>
      <c r="H915" s="91"/>
      <c r="I915" s="91"/>
      <c r="M915" s="91"/>
      <c r="N915" s="91"/>
    </row>
    <row r="916" ht="15.75" customHeight="1">
      <c r="A916" s="91"/>
      <c r="E916" s="91"/>
      <c r="H916" s="91"/>
      <c r="I916" s="91"/>
      <c r="M916" s="91"/>
      <c r="N916" s="91"/>
    </row>
    <row r="917" ht="15.75" customHeight="1">
      <c r="A917" s="91"/>
      <c r="E917" s="91"/>
      <c r="H917" s="91"/>
      <c r="I917" s="91"/>
      <c r="M917" s="91"/>
      <c r="N917" s="91"/>
    </row>
    <row r="918" ht="15.75" customHeight="1">
      <c r="A918" s="91"/>
      <c r="E918" s="91"/>
      <c r="H918" s="91"/>
      <c r="I918" s="91"/>
      <c r="M918" s="91"/>
      <c r="N918" s="91"/>
    </row>
    <row r="919" ht="15.75" customHeight="1">
      <c r="A919" s="91"/>
      <c r="E919" s="91"/>
      <c r="H919" s="91"/>
      <c r="I919" s="91"/>
      <c r="M919" s="91"/>
      <c r="N919" s="91"/>
    </row>
    <row r="920" ht="15.75" customHeight="1">
      <c r="A920" s="91"/>
      <c r="E920" s="91"/>
      <c r="H920" s="91"/>
      <c r="I920" s="91"/>
      <c r="M920" s="91"/>
      <c r="N920" s="91"/>
    </row>
    <row r="921" ht="15.75" customHeight="1">
      <c r="A921" s="91"/>
      <c r="E921" s="91"/>
      <c r="H921" s="91"/>
      <c r="I921" s="91"/>
      <c r="M921" s="91"/>
      <c r="N921" s="91"/>
    </row>
    <row r="922" ht="15.75" customHeight="1">
      <c r="A922" s="91"/>
      <c r="E922" s="91"/>
      <c r="H922" s="91"/>
      <c r="I922" s="91"/>
      <c r="M922" s="91"/>
      <c r="N922" s="91"/>
    </row>
    <row r="923" ht="15.75" customHeight="1">
      <c r="A923" s="91"/>
      <c r="E923" s="91"/>
      <c r="H923" s="91"/>
      <c r="I923" s="91"/>
      <c r="M923" s="91"/>
      <c r="N923" s="91"/>
    </row>
    <row r="924" ht="15.75" customHeight="1">
      <c r="A924" s="91"/>
      <c r="E924" s="91"/>
      <c r="H924" s="91"/>
      <c r="I924" s="91"/>
      <c r="M924" s="91"/>
      <c r="N924" s="91"/>
    </row>
    <row r="925" ht="15.75" customHeight="1">
      <c r="A925" s="91"/>
      <c r="E925" s="91"/>
      <c r="H925" s="91"/>
      <c r="I925" s="91"/>
      <c r="M925" s="91"/>
      <c r="N925" s="91"/>
    </row>
    <row r="926" ht="15.75" customHeight="1">
      <c r="A926" s="91"/>
      <c r="E926" s="91"/>
      <c r="H926" s="91"/>
      <c r="I926" s="91"/>
      <c r="M926" s="91"/>
      <c r="N926" s="91"/>
    </row>
    <row r="927" ht="15.75" customHeight="1">
      <c r="A927" s="91"/>
      <c r="E927" s="91"/>
      <c r="H927" s="91"/>
      <c r="I927" s="91"/>
      <c r="M927" s="91"/>
      <c r="N927" s="91"/>
    </row>
    <row r="928" ht="15.75" customHeight="1">
      <c r="A928" s="91"/>
      <c r="E928" s="91"/>
      <c r="H928" s="91"/>
      <c r="I928" s="91"/>
      <c r="M928" s="91"/>
      <c r="N928" s="91"/>
    </row>
    <row r="929" ht="15.75" customHeight="1">
      <c r="A929" s="91"/>
      <c r="E929" s="91"/>
      <c r="H929" s="91"/>
      <c r="I929" s="91"/>
      <c r="M929" s="91"/>
      <c r="N929" s="91"/>
    </row>
    <row r="930" ht="15.75" customHeight="1">
      <c r="A930" s="91"/>
      <c r="E930" s="91"/>
      <c r="H930" s="91"/>
      <c r="I930" s="91"/>
      <c r="M930" s="91"/>
      <c r="N930" s="91"/>
    </row>
    <row r="931" ht="15.75" customHeight="1">
      <c r="A931" s="91"/>
      <c r="E931" s="91"/>
      <c r="H931" s="91"/>
      <c r="I931" s="91"/>
      <c r="M931" s="91"/>
      <c r="N931" s="91"/>
    </row>
    <row r="932" ht="15.75" customHeight="1">
      <c r="A932" s="91"/>
      <c r="E932" s="91"/>
      <c r="H932" s="91"/>
      <c r="I932" s="91"/>
      <c r="M932" s="91"/>
      <c r="N932" s="91"/>
    </row>
    <row r="933" ht="15.75" customHeight="1">
      <c r="A933" s="91"/>
      <c r="E933" s="91"/>
      <c r="H933" s="91"/>
      <c r="I933" s="91"/>
      <c r="M933" s="91"/>
      <c r="N933" s="91"/>
    </row>
    <row r="934" ht="15.75" customHeight="1">
      <c r="A934" s="91"/>
      <c r="E934" s="91"/>
      <c r="H934" s="91"/>
      <c r="I934" s="91"/>
      <c r="M934" s="91"/>
      <c r="N934" s="91"/>
    </row>
    <row r="935" ht="15.75" customHeight="1">
      <c r="A935" s="91"/>
      <c r="E935" s="91"/>
      <c r="H935" s="91"/>
      <c r="I935" s="91"/>
      <c r="M935" s="91"/>
      <c r="N935" s="91"/>
    </row>
    <row r="936" ht="15.75" customHeight="1">
      <c r="A936" s="91"/>
      <c r="E936" s="91"/>
      <c r="H936" s="91"/>
      <c r="I936" s="91"/>
      <c r="M936" s="91"/>
      <c r="N936" s="91"/>
    </row>
    <row r="937" ht="15.75" customHeight="1">
      <c r="A937" s="91"/>
      <c r="E937" s="91"/>
      <c r="H937" s="91"/>
      <c r="I937" s="91"/>
      <c r="M937" s="91"/>
      <c r="N937" s="91"/>
    </row>
    <row r="938" ht="15.75" customHeight="1">
      <c r="A938" s="91"/>
      <c r="E938" s="91"/>
      <c r="H938" s="91"/>
      <c r="I938" s="91"/>
      <c r="M938" s="91"/>
      <c r="N938" s="91"/>
    </row>
    <row r="939" ht="15.75" customHeight="1">
      <c r="A939" s="91"/>
      <c r="E939" s="91"/>
      <c r="H939" s="91"/>
      <c r="I939" s="91"/>
      <c r="M939" s="91"/>
      <c r="N939" s="91"/>
    </row>
    <row r="940" ht="15.75" customHeight="1">
      <c r="A940" s="91"/>
      <c r="E940" s="91"/>
      <c r="H940" s="91"/>
      <c r="I940" s="91"/>
      <c r="M940" s="91"/>
      <c r="N940" s="91"/>
    </row>
    <row r="941" ht="15.75" customHeight="1">
      <c r="A941" s="91"/>
      <c r="E941" s="91"/>
      <c r="H941" s="91"/>
      <c r="I941" s="91"/>
      <c r="M941" s="91"/>
      <c r="N941" s="91"/>
    </row>
    <row r="942" ht="15.75" customHeight="1">
      <c r="A942" s="91"/>
      <c r="E942" s="91"/>
      <c r="H942" s="91"/>
      <c r="I942" s="91"/>
      <c r="M942" s="91"/>
      <c r="N942" s="91"/>
    </row>
    <row r="943" ht="15.75" customHeight="1">
      <c r="A943" s="91"/>
      <c r="E943" s="91"/>
      <c r="H943" s="91"/>
      <c r="I943" s="91"/>
      <c r="M943" s="91"/>
      <c r="N943" s="91"/>
    </row>
    <row r="944" ht="15.75" customHeight="1">
      <c r="A944" s="91"/>
      <c r="E944" s="91"/>
      <c r="H944" s="91"/>
      <c r="I944" s="91"/>
      <c r="M944" s="91"/>
      <c r="N944" s="91"/>
    </row>
    <row r="945" ht="15.75" customHeight="1">
      <c r="A945" s="91"/>
      <c r="E945" s="91"/>
      <c r="H945" s="91"/>
      <c r="I945" s="91"/>
      <c r="M945" s="91"/>
      <c r="N945" s="91"/>
    </row>
    <row r="946" ht="15.75" customHeight="1">
      <c r="A946" s="91"/>
      <c r="E946" s="91"/>
      <c r="H946" s="91"/>
      <c r="I946" s="91"/>
      <c r="M946" s="91"/>
      <c r="N946" s="91"/>
    </row>
    <row r="947" ht="15.75" customHeight="1">
      <c r="A947" s="91"/>
      <c r="E947" s="91"/>
      <c r="H947" s="91"/>
      <c r="I947" s="91"/>
      <c r="M947" s="91"/>
      <c r="N947" s="91"/>
    </row>
    <row r="948" ht="15.75" customHeight="1">
      <c r="A948" s="91"/>
      <c r="E948" s="91"/>
      <c r="H948" s="91"/>
      <c r="I948" s="91"/>
      <c r="M948" s="91"/>
      <c r="N948" s="91"/>
    </row>
    <row r="949" ht="15.75" customHeight="1">
      <c r="A949" s="91"/>
      <c r="E949" s="91"/>
      <c r="H949" s="91"/>
      <c r="I949" s="91"/>
      <c r="M949" s="91"/>
      <c r="N949" s="91"/>
    </row>
    <row r="950" ht="15.75" customHeight="1">
      <c r="A950" s="91"/>
      <c r="E950" s="91"/>
      <c r="H950" s="91"/>
      <c r="I950" s="91"/>
      <c r="M950" s="91"/>
      <c r="N950" s="91"/>
    </row>
    <row r="951" ht="15.75" customHeight="1">
      <c r="A951" s="91"/>
      <c r="E951" s="91"/>
      <c r="H951" s="91"/>
      <c r="I951" s="91"/>
      <c r="M951" s="91"/>
      <c r="N951" s="91"/>
    </row>
    <row r="952" ht="15.75" customHeight="1">
      <c r="A952" s="91"/>
      <c r="E952" s="91"/>
      <c r="H952" s="91"/>
      <c r="I952" s="91"/>
      <c r="M952" s="91"/>
      <c r="N952" s="91"/>
    </row>
    <row r="953" ht="15.75" customHeight="1">
      <c r="A953" s="91"/>
      <c r="E953" s="91"/>
      <c r="H953" s="91"/>
      <c r="I953" s="91"/>
      <c r="M953" s="91"/>
      <c r="N953" s="91"/>
    </row>
    <row r="954" ht="15.75" customHeight="1">
      <c r="A954" s="91"/>
      <c r="E954" s="91"/>
      <c r="H954" s="91"/>
      <c r="I954" s="91"/>
      <c r="M954" s="91"/>
      <c r="N954" s="91"/>
    </row>
    <row r="955" ht="15.75" customHeight="1">
      <c r="A955" s="91"/>
      <c r="E955" s="91"/>
      <c r="H955" s="91"/>
      <c r="I955" s="91"/>
      <c r="M955" s="91"/>
      <c r="N955" s="91"/>
    </row>
    <row r="956" ht="15.75" customHeight="1">
      <c r="A956" s="91"/>
      <c r="E956" s="91"/>
      <c r="H956" s="91"/>
      <c r="I956" s="91"/>
      <c r="M956" s="91"/>
      <c r="N956" s="91"/>
    </row>
    <row r="957" ht="15.75" customHeight="1">
      <c r="A957" s="91"/>
      <c r="E957" s="91"/>
      <c r="H957" s="91"/>
      <c r="I957" s="91"/>
      <c r="M957" s="91"/>
      <c r="N957" s="91"/>
    </row>
    <row r="958" ht="15.75" customHeight="1">
      <c r="A958" s="91"/>
      <c r="E958" s="91"/>
      <c r="H958" s="91"/>
      <c r="I958" s="91"/>
      <c r="M958" s="91"/>
      <c r="N958" s="91"/>
    </row>
    <row r="959" ht="15.75" customHeight="1">
      <c r="A959" s="91"/>
      <c r="E959" s="91"/>
      <c r="H959" s="91"/>
      <c r="I959" s="91"/>
      <c r="M959" s="91"/>
      <c r="N959" s="91"/>
    </row>
    <row r="960" ht="15.75" customHeight="1">
      <c r="A960" s="91"/>
      <c r="E960" s="91"/>
      <c r="H960" s="91"/>
      <c r="I960" s="91"/>
      <c r="M960" s="91"/>
      <c r="N960" s="91"/>
    </row>
    <row r="961" ht="15.75" customHeight="1">
      <c r="A961" s="91"/>
      <c r="E961" s="91"/>
      <c r="H961" s="91"/>
      <c r="I961" s="91"/>
      <c r="M961" s="91"/>
      <c r="N961" s="91"/>
    </row>
    <row r="962" ht="15.75" customHeight="1">
      <c r="A962" s="91"/>
      <c r="E962" s="91"/>
      <c r="H962" s="91"/>
      <c r="I962" s="91"/>
      <c r="M962" s="91"/>
      <c r="N962" s="91"/>
    </row>
    <row r="963" ht="15.75" customHeight="1">
      <c r="A963" s="91"/>
      <c r="E963" s="91"/>
      <c r="H963" s="91"/>
      <c r="I963" s="91"/>
      <c r="M963" s="91"/>
      <c r="N963" s="91"/>
    </row>
    <row r="964" ht="15.75" customHeight="1">
      <c r="A964" s="91"/>
      <c r="E964" s="91"/>
      <c r="H964" s="91"/>
      <c r="I964" s="91"/>
      <c r="M964" s="91"/>
      <c r="N964" s="91"/>
    </row>
    <row r="965" ht="15.75" customHeight="1">
      <c r="A965" s="91"/>
      <c r="E965" s="91"/>
      <c r="H965" s="91"/>
      <c r="I965" s="91"/>
      <c r="M965" s="91"/>
      <c r="N965" s="91"/>
    </row>
    <row r="966" ht="15.75" customHeight="1">
      <c r="A966" s="91"/>
      <c r="E966" s="91"/>
      <c r="H966" s="91"/>
      <c r="I966" s="91"/>
      <c r="M966" s="91"/>
      <c r="N966" s="91"/>
    </row>
    <row r="967" ht="15.75" customHeight="1">
      <c r="A967" s="91"/>
      <c r="E967" s="91"/>
      <c r="H967" s="91"/>
      <c r="I967" s="91"/>
      <c r="M967" s="91"/>
      <c r="N967" s="91"/>
    </row>
    <row r="968" ht="15.75" customHeight="1">
      <c r="A968" s="91"/>
      <c r="E968" s="91"/>
      <c r="H968" s="91"/>
      <c r="I968" s="91"/>
      <c r="M968" s="91"/>
      <c r="N968" s="91"/>
    </row>
    <row r="969" ht="15.75" customHeight="1">
      <c r="A969" s="91"/>
      <c r="E969" s="91"/>
      <c r="H969" s="91"/>
      <c r="I969" s="91"/>
      <c r="M969" s="91"/>
      <c r="N969" s="91"/>
    </row>
    <row r="970" ht="15.75" customHeight="1">
      <c r="A970" s="91"/>
      <c r="E970" s="91"/>
      <c r="H970" s="91"/>
      <c r="I970" s="91"/>
      <c r="M970" s="91"/>
      <c r="N970" s="91"/>
    </row>
    <row r="971" ht="15.75" customHeight="1">
      <c r="A971" s="91"/>
      <c r="E971" s="91"/>
      <c r="H971" s="91"/>
      <c r="I971" s="91"/>
      <c r="M971" s="91"/>
      <c r="N971" s="91"/>
    </row>
    <row r="972" ht="15.75" customHeight="1">
      <c r="A972" s="91"/>
      <c r="E972" s="91"/>
      <c r="H972" s="91"/>
      <c r="I972" s="91"/>
      <c r="M972" s="91"/>
      <c r="N972" s="91"/>
    </row>
    <row r="973" ht="15.75" customHeight="1">
      <c r="A973" s="91"/>
      <c r="E973" s="91"/>
      <c r="H973" s="91"/>
      <c r="I973" s="91"/>
      <c r="M973" s="91"/>
      <c r="N973" s="91"/>
    </row>
    <row r="974" ht="15.75" customHeight="1">
      <c r="A974" s="91"/>
      <c r="E974" s="91"/>
      <c r="H974" s="91"/>
      <c r="I974" s="91"/>
      <c r="M974" s="91"/>
      <c r="N974" s="91"/>
    </row>
    <row r="975" ht="15.75" customHeight="1">
      <c r="A975" s="91"/>
      <c r="E975" s="91"/>
      <c r="H975" s="91"/>
      <c r="I975" s="91"/>
      <c r="M975" s="91"/>
      <c r="N975" s="91"/>
    </row>
    <row r="976" ht="15.75" customHeight="1">
      <c r="A976" s="91"/>
      <c r="E976" s="91"/>
      <c r="H976" s="91"/>
      <c r="I976" s="91"/>
      <c r="M976" s="91"/>
      <c r="N976" s="91"/>
    </row>
    <row r="977" ht="15.75" customHeight="1">
      <c r="A977" s="91"/>
      <c r="E977" s="91"/>
      <c r="H977" s="91"/>
      <c r="I977" s="91"/>
      <c r="M977" s="91"/>
      <c r="N977" s="91"/>
    </row>
    <row r="978" ht="15.75" customHeight="1">
      <c r="A978" s="91"/>
      <c r="E978" s="91"/>
      <c r="H978" s="91"/>
      <c r="I978" s="91"/>
      <c r="M978" s="91"/>
      <c r="N978" s="91"/>
    </row>
    <row r="979" ht="15.75" customHeight="1">
      <c r="A979" s="91"/>
      <c r="E979" s="91"/>
      <c r="H979" s="91"/>
      <c r="I979" s="91"/>
      <c r="M979" s="91"/>
      <c r="N979" s="91"/>
    </row>
    <row r="980" ht="15.75" customHeight="1">
      <c r="A980" s="91"/>
      <c r="E980" s="91"/>
      <c r="H980" s="91"/>
      <c r="I980" s="91"/>
      <c r="M980" s="91"/>
      <c r="N980" s="91"/>
    </row>
    <row r="981" ht="15.75" customHeight="1">
      <c r="A981" s="91"/>
      <c r="E981" s="91"/>
      <c r="H981" s="91"/>
      <c r="I981" s="91"/>
      <c r="M981" s="91"/>
      <c r="N981" s="91"/>
    </row>
    <row r="982" ht="15.75" customHeight="1">
      <c r="A982" s="91"/>
      <c r="E982" s="91"/>
      <c r="H982" s="91"/>
      <c r="I982" s="91"/>
      <c r="M982" s="91"/>
      <c r="N982" s="91"/>
    </row>
    <row r="983" ht="15.75" customHeight="1">
      <c r="A983" s="91"/>
      <c r="E983" s="91"/>
      <c r="H983" s="91"/>
      <c r="I983" s="91"/>
      <c r="M983" s="91"/>
      <c r="N983" s="91"/>
    </row>
    <row r="984" ht="15.75" customHeight="1">
      <c r="A984" s="91"/>
      <c r="E984" s="91"/>
      <c r="H984" s="91"/>
      <c r="I984" s="91"/>
      <c r="M984" s="91"/>
      <c r="N984" s="91"/>
    </row>
    <row r="985" ht="15.75" customHeight="1">
      <c r="A985" s="91"/>
      <c r="E985" s="91"/>
      <c r="H985" s="91"/>
      <c r="I985" s="91"/>
      <c r="M985" s="91"/>
      <c r="N985" s="91"/>
    </row>
    <row r="986" ht="15.75" customHeight="1">
      <c r="A986" s="91"/>
      <c r="E986" s="91"/>
      <c r="H986" s="91"/>
      <c r="I986" s="91"/>
      <c r="M986" s="91"/>
      <c r="N986" s="91"/>
    </row>
    <row r="987" ht="15.75" customHeight="1">
      <c r="A987" s="91"/>
      <c r="E987" s="91"/>
      <c r="H987" s="91"/>
      <c r="I987" s="91"/>
      <c r="M987" s="91"/>
      <c r="N987" s="91"/>
    </row>
    <row r="988" ht="15.75" customHeight="1">
      <c r="A988" s="91"/>
      <c r="E988" s="91"/>
      <c r="H988" s="91"/>
      <c r="I988" s="91"/>
      <c r="M988" s="91"/>
      <c r="N988" s="91"/>
    </row>
    <row r="989" ht="15.75" customHeight="1">
      <c r="A989" s="91"/>
      <c r="E989" s="91"/>
      <c r="H989" s="91"/>
      <c r="I989" s="91"/>
      <c r="M989" s="91"/>
      <c r="N989" s="91"/>
    </row>
    <row r="990" ht="15.75" customHeight="1">
      <c r="A990" s="91"/>
      <c r="E990" s="91"/>
      <c r="H990" s="91"/>
      <c r="I990" s="91"/>
      <c r="M990" s="91"/>
      <c r="N990" s="91"/>
    </row>
    <row r="991" ht="15.75" customHeight="1">
      <c r="A991" s="91"/>
      <c r="E991" s="91"/>
      <c r="H991" s="91"/>
      <c r="I991" s="91"/>
      <c r="M991" s="91"/>
      <c r="N991" s="91"/>
    </row>
    <row r="992" ht="15.75" customHeight="1">
      <c r="A992" s="91"/>
      <c r="E992" s="91"/>
      <c r="H992" s="91"/>
      <c r="I992" s="91"/>
      <c r="M992" s="91"/>
      <c r="N992" s="91"/>
    </row>
    <row r="993" ht="15.75" customHeight="1">
      <c r="A993" s="91"/>
      <c r="E993" s="91"/>
      <c r="H993" s="91"/>
      <c r="I993" s="91"/>
      <c r="M993" s="91"/>
      <c r="N993" s="91"/>
    </row>
    <row r="994" ht="15.75" customHeight="1">
      <c r="A994" s="91"/>
      <c r="E994" s="91"/>
      <c r="H994" s="91"/>
      <c r="I994" s="91"/>
      <c r="M994" s="91"/>
      <c r="N994" s="91"/>
    </row>
    <row r="995" ht="15.75" customHeight="1">
      <c r="A995" s="91"/>
      <c r="E995" s="91"/>
      <c r="H995" s="91"/>
      <c r="I995" s="91"/>
      <c r="M995" s="91"/>
      <c r="N995" s="91"/>
    </row>
    <row r="996" ht="15.75" customHeight="1">
      <c r="A996" s="91"/>
      <c r="E996" s="91"/>
      <c r="H996" s="91"/>
      <c r="I996" s="91"/>
      <c r="M996" s="91"/>
      <c r="N996" s="91"/>
    </row>
    <row r="997" ht="15.75" customHeight="1">
      <c r="A997" s="91"/>
      <c r="E997" s="91"/>
      <c r="H997" s="91"/>
      <c r="I997" s="91"/>
      <c r="M997" s="91"/>
      <c r="N997" s="91"/>
    </row>
    <row r="998" ht="15.75" customHeight="1">
      <c r="A998" s="91"/>
      <c r="E998" s="91"/>
      <c r="H998" s="91"/>
      <c r="I998" s="91"/>
      <c r="M998" s="91"/>
      <c r="N998" s="91"/>
    </row>
    <row r="999" ht="15.75" customHeight="1">
      <c r="A999" s="91"/>
      <c r="E999" s="91"/>
      <c r="H999" s="91"/>
      <c r="I999" s="91"/>
      <c r="M999" s="91"/>
      <c r="N999" s="91"/>
    </row>
    <row r="1000" ht="15.75" customHeight="1">
      <c r="A1000" s="91"/>
      <c r="E1000" s="91"/>
      <c r="H1000" s="91"/>
      <c r="I1000" s="91"/>
      <c r="M1000" s="91"/>
      <c r="N1000" s="91"/>
    </row>
  </sheetData>
  <dataValidations>
    <dataValidation type="list" allowBlank="1" showErrorMessage="1" sqref="A2:A34 A42:A1000">
      <formula1>"Immobilier,Automobile,Publicité,Relations clients,Produit,Tech,Juridique,RH,Finance,Stratégie,Marketing/Com,DDO,Tous,UX"</formula1>
    </dataValidation>
    <dataValidation type="list" allowBlank="1" showErrorMessage="1" sqref="M23:N23 E2:E1000 M42:N1000">
      <formula1>"Non commencé,En cours,Terminé - Live,Abandonné"</formula1>
    </dataValidation>
    <dataValidation type="list" allowBlank="1" showErrorMessage="1" sqref="H2:H1000">
      <formula1>"Haute,Moyenne,Basse"</formula1>
    </dataValidation>
    <dataValidation type="list" allowBlank="1" showErrorMessage="1" sqref="I2:I1000">
      <formula1>"Simple,Moyenne,Avancée"</formula1>
    </dataValidation>
    <dataValidation type="list" allowBlank="1" showErrorMessage="1" sqref="A35:A41">
      <formula1>"Immobilier,Automobile,Publicité,Relations clients,Produit,Tech,Juridique,RH,Finance,Stratégie,Marketing/Com,DDO,Tous,UX,Pro BDC"</formula1>
    </dataValidation>
  </dataValidations>
  <hyperlinks>
    <hyperlink r:id="rId4" ref="G7"/>
    <hyperlink r:id="rId5" ref="G10"/>
    <hyperlink r:id="rId6" ref="G12"/>
    <hyperlink r:id="rId7" ref="G16"/>
    <hyperlink r:id="rId8" ref="G18"/>
    <hyperlink r:id="rId9" ref="G19"/>
    <hyperlink r:id="rId10" ref="G34"/>
    <hyperlink r:id="rId11" ref="F39"/>
    <hyperlink r:id="rId12" ref="G39"/>
    <hyperlink r:id="rId13" ref="F40"/>
    <hyperlink r:id="rId14" ref="G40"/>
    <hyperlink r:id="rId15" ref="O40"/>
    <hyperlink r:id="rId16" ref="F41"/>
    <hyperlink r:id="rId17" ref="G41"/>
    <hyperlink r:id="rId18" ref="O41"/>
  </hyperlinks>
  <drawing r:id="rId19"/>
  <legacyDrawing r:id="rId20"/>
  <tableParts count="1">
    <tablePart r:id="rId22"/>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3" width="26.0"/>
    <col customWidth="1" min="4" max="4" width="12.63"/>
    <col customWidth="1" min="5" max="5" width="25.0"/>
    <col customWidth="1" min="6" max="6" width="12.63"/>
  </cols>
  <sheetData>
    <row r="1" ht="15.75" customHeight="1">
      <c r="A1" s="200" t="s">
        <v>1788</v>
      </c>
      <c r="B1" s="200" t="s">
        <v>4</v>
      </c>
      <c r="C1" s="81" t="s">
        <v>9</v>
      </c>
      <c r="D1" s="200" t="s">
        <v>1789</v>
      </c>
      <c r="E1" s="200"/>
      <c r="F1" s="200"/>
      <c r="G1" s="200"/>
      <c r="H1" s="200"/>
      <c r="I1" s="200"/>
      <c r="J1" s="200"/>
      <c r="K1" s="200"/>
      <c r="L1" s="200"/>
      <c r="M1" s="200"/>
      <c r="N1" s="200"/>
      <c r="O1" s="200"/>
      <c r="P1" s="200"/>
      <c r="Q1" s="200"/>
      <c r="R1" s="200"/>
      <c r="S1" s="200"/>
      <c r="T1" s="200"/>
      <c r="U1" s="200"/>
      <c r="V1" s="200"/>
      <c r="W1" s="200"/>
    </row>
    <row r="2" ht="15.75" customHeight="1">
      <c r="A2" s="128" t="str">
        <f t="array" ref="A2:A15">sort(unique('Use cases'!A2:A1000))</f>
        <v>Automobile</v>
      </c>
      <c r="B2" s="128" t="str">
        <f t="array" ref="B2:B5">unique('Use cases'!E2:E1000)</f>
        <v>En cours </v>
      </c>
      <c r="C2" s="125">
        <f t="array" ref="C2:C101">sort(unique('Use cases'!J2:J1000))</f>
        <v>2</v>
      </c>
      <c r="D2" s="128" t="s">
        <v>39</v>
      </c>
    </row>
    <row r="3" ht="15.75" customHeight="1">
      <c r="A3" s="128" t="s">
        <v>250</v>
      </c>
      <c r="B3" s="128" t="s">
        <v>49</v>
      </c>
      <c r="C3" s="125" t="s">
        <v>1384</v>
      </c>
      <c r="D3" s="128" t="s">
        <v>51</v>
      </c>
    </row>
    <row r="4" ht="15.75" customHeight="1">
      <c r="A4" s="128" t="s">
        <v>329</v>
      </c>
      <c r="B4" s="128" t="s">
        <v>96</v>
      </c>
      <c r="C4" s="125" t="s">
        <v>1020</v>
      </c>
      <c r="D4" s="128" t="s">
        <v>1790</v>
      </c>
    </row>
    <row r="5" ht="15.75" customHeight="1">
      <c r="A5" s="128" t="s">
        <v>398</v>
      </c>
      <c r="B5" s="128"/>
      <c r="C5" s="125" t="s">
        <v>1045</v>
      </c>
    </row>
    <row r="6" ht="15.75" customHeight="1">
      <c r="A6" s="128" t="s">
        <v>618</v>
      </c>
      <c r="C6" s="125" t="s">
        <v>1477</v>
      </c>
    </row>
    <row r="7" ht="15.75" customHeight="1">
      <c r="A7" s="128" t="s">
        <v>21</v>
      </c>
      <c r="C7" s="125" t="s">
        <v>1450</v>
      </c>
    </row>
    <row r="8" ht="15.75" customHeight="1">
      <c r="A8" s="128" t="s">
        <v>1486</v>
      </c>
      <c r="C8" s="125" t="s">
        <v>1375</v>
      </c>
    </row>
    <row r="9" ht="15.75" customHeight="1">
      <c r="A9" s="128" t="s">
        <v>700</v>
      </c>
      <c r="C9" s="125" t="s">
        <v>479</v>
      </c>
    </row>
    <row r="10" ht="15.75" customHeight="1">
      <c r="A10" s="128" t="s">
        <v>868</v>
      </c>
      <c r="C10" s="125" t="s">
        <v>408</v>
      </c>
    </row>
    <row r="11" ht="15.75" customHeight="1">
      <c r="A11" s="128" t="s">
        <v>965</v>
      </c>
      <c r="C11" s="125" t="s">
        <v>501</v>
      </c>
    </row>
    <row r="12" ht="15.75" customHeight="1">
      <c r="A12" s="128" t="s">
        <v>368</v>
      </c>
      <c r="C12" s="125" t="s">
        <v>1314</v>
      </c>
    </row>
    <row r="13" ht="15.75" customHeight="1">
      <c r="A13" s="128" t="s">
        <v>641</v>
      </c>
      <c r="C13" s="125" t="s">
        <v>513</v>
      </c>
    </row>
    <row r="14" ht="15.75" customHeight="1">
      <c r="A14" s="128" t="s">
        <v>498</v>
      </c>
      <c r="C14" s="125" t="s">
        <v>473</v>
      </c>
    </row>
    <row r="15" ht="15.75" customHeight="1">
      <c r="A15" s="128"/>
      <c r="C15" s="125" t="s">
        <v>1084</v>
      </c>
    </row>
    <row r="16" ht="15.75" customHeight="1">
      <c r="C16" s="125" t="s">
        <v>1078</v>
      </c>
    </row>
    <row r="17" ht="15.75" customHeight="1">
      <c r="C17" s="125" t="s">
        <v>1095</v>
      </c>
    </row>
    <row r="18" ht="15.75" customHeight="1">
      <c r="C18" s="125" t="s">
        <v>1072</v>
      </c>
    </row>
    <row r="19" ht="15.75" customHeight="1">
      <c r="C19" s="125" t="s">
        <v>1109</v>
      </c>
    </row>
    <row r="20" ht="15.75" customHeight="1">
      <c r="C20" s="125" t="s">
        <v>373</v>
      </c>
    </row>
    <row r="21" ht="15.75" customHeight="1">
      <c r="C21" s="125" t="s">
        <v>615</v>
      </c>
    </row>
    <row r="22" ht="15.75" customHeight="1">
      <c r="C22" s="125" t="s">
        <v>567</v>
      </c>
    </row>
    <row r="23" ht="15.75" customHeight="1">
      <c r="C23" s="125" t="s">
        <v>381</v>
      </c>
    </row>
    <row r="24" ht="15.75" customHeight="1">
      <c r="C24" s="125" t="s">
        <v>993</v>
      </c>
    </row>
    <row r="25" ht="15.75" customHeight="1">
      <c r="C25" s="125" t="s">
        <v>1322</v>
      </c>
    </row>
    <row r="26" ht="15.75" customHeight="1">
      <c r="C26" s="125" t="s">
        <v>1175</v>
      </c>
    </row>
    <row r="27" ht="15.75" customHeight="1">
      <c r="C27" s="125" t="s">
        <v>1215</v>
      </c>
    </row>
    <row r="28" ht="15.75" customHeight="1">
      <c r="C28" s="125" t="s">
        <v>1326</v>
      </c>
    </row>
    <row r="29" ht="15.75" customHeight="1">
      <c r="C29" s="125" t="s">
        <v>1026</v>
      </c>
    </row>
    <row r="30" ht="15.75" customHeight="1">
      <c r="C30" s="125" t="s">
        <v>115</v>
      </c>
    </row>
    <row r="31" ht="15.75" customHeight="1">
      <c r="C31" s="125" t="s">
        <v>40</v>
      </c>
    </row>
    <row r="32" ht="15.75" customHeight="1">
      <c r="C32" s="125" t="s">
        <v>329</v>
      </c>
    </row>
    <row r="33" ht="15.75" customHeight="1">
      <c r="C33" s="125" t="s">
        <v>1114</v>
      </c>
    </row>
    <row r="34" ht="15.75" customHeight="1">
      <c r="C34" s="125" t="s">
        <v>271</v>
      </c>
    </row>
    <row r="35" ht="15.75" customHeight="1">
      <c r="C35" s="125" t="s">
        <v>333</v>
      </c>
    </row>
    <row r="36" ht="15.75" customHeight="1">
      <c r="C36" s="125" t="s">
        <v>1009</v>
      </c>
    </row>
    <row r="37" ht="15.75" customHeight="1">
      <c r="C37" s="125" t="s">
        <v>465</v>
      </c>
    </row>
    <row r="38" ht="15.75" customHeight="1">
      <c r="C38" s="125" t="s">
        <v>98</v>
      </c>
    </row>
    <row r="39" ht="15.75" customHeight="1">
      <c r="C39" s="125" t="s">
        <v>594</v>
      </c>
    </row>
    <row r="40" ht="15.75" customHeight="1">
      <c r="C40" s="125" t="s">
        <v>494</v>
      </c>
    </row>
    <row r="41" ht="15.75" customHeight="1">
      <c r="C41" s="125" t="s">
        <v>618</v>
      </c>
    </row>
    <row r="42" ht="15.75" customHeight="1">
      <c r="C42" s="125" t="s">
        <v>628</v>
      </c>
    </row>
    <row r="43" ht="15.75" customHeight="1">
      <c r="C43" s="125" t="s">
        <v>1001</v>
      </c>
    </row>
    <row r="44" ht="15.75" customHeight="1">
      <c r="C44" s="125" t="s">
        <v>978</v>
      </c>
    </row>
    <row r="45" ht="15.75" customHeight="1">
      <c r="C45" s="125" t="s">
        <v>1061</v>
      </c>
    </row>
    <row r="46" ht="15.75" customHeight="1">
      <c r="C46" s="125" t="s">
        <v>317</v>
      </c>
    </row>
    <row r="47" ht="15.75" customHeight="1">
      <c r="C47" s="125" t="s">
        <v>985</v>
      </c>
    </row>
    <row r="48" ht="15.75" customHeight="1">
      <c r="C48" s="125" t="s">
        <v>1057</v>
      </c>
    </row>
    <row r="49" ht="15.75" customHeight="1">
      <c r="C49" s="125" t="s">
        <v>1457</v>
      </c>
    </row>
    <row r="50" ht="15.75" customHeight="1">
      <c r="C50" s="125" t="s">
        <v>416</v>
      </c>
    </row>
    <row r="51" ht="15.75" customHeight="1">
      <c r="C51" s="125" t="s">
        <v>509</v>
      </c>
    </row>
    <row r="52" ht="15.75" customHeight="1">
      <c r="C52" s="125" t="s">
        <v>488</v>
      </c>
    </row>
    <row r="53" ht="15.75" customHeight="1">
      <c r="C53" s="125" t="s">
        <v>611</v>
      </c>
    </row>
    <row r="54" ht="15.75" customHeight="1">
      <c r="C54" s="125" t="s">
        <v>77</v>
      </c>
    </row>
    <row r="55" ht="15.75" customHeight="1">
      <c r="C55" s="125" t="s">
        <v>208</v>
      </c>
    </row>
    <row r="56" ht="15.75" customHeight="1">
      <c r="C56" s="125" t="s">
        <v>130</v>
      </c>
    </row>
    <row r="57" ht="15.75" customHeight="1">
      <c r="C57" s="125" t="s">
        <v>224</v>
      </c>
    </row>
    <row r="58" ht="15.75" customHeight="1">
      <c r="C58" s="125" t="s">
        <v>873</v>
      </c>
    </row>
    <row r="59" ht="15.75" customHeight="1">
      <c r="C59" s="125" t="s">
        <v>399</v>
      </c>
    </row>
    <row r="60" ht="15.75" customHeight="1">
      <c r="C60" s="125" t="s">
        <v>469</v>
      </c>
    </row>
    <row r="61" ht="15.75" customHeight="1">
      <c r="C61" s="125" t="s">
        <v>361</v>
      </c>
    </row>
    <row r="62" ht="15.75" customHeight="1">
      <c r="C62" s="125" t="s">
        <v>52</v>
      </c>
    </row>
    <row r="63" ht="15.75" customHeight="1">
      <c r="C63" s="125" t="s">
        <v>862</v>
      </c>
    </row>
    <row r="64" ht="15.75" customHeight="1">
      <c r="C64" s="125" t="s">
        <v>836</v>
      </c>
    </row>
    <row r="65" ht="15.75" customHeight="1">
      <c r="C65" s="125" t="s">
        <v>735</v>
      </c>
    </row>
    <row r="66" ht="15.75" customHeight="1">
      <c r="C66" s="125" t="s">
        <v>1560</v>
      </c>
    </row>
    <row r="67" ht="15.75" customHeight="1">
      <c r="C67" s="125" t="s">
        <v>1201</v>
      </c>
    </row>
    <row r="68" ht="15.75" customHeight="1">
      <c r="C68" s="125" t="s">
        <v>970</v>
      </c>
    </row>
    <row r="69" ht="15.75" customHeight="1">
      <c r="C69" s="125" t="s">
        <v>652</v>
      </c>
    </row>
    <row r="70" ht="15.75" customHeight="1">
      <c r="C70" s="125" t="s">
        <v>1549</v>
      </c>
    </row>
    <row r="71" ht="15.75" customHeight="1">
      <c r="C71" s="125" t="s">
        <v>700</v>
      </c>
    </row>
    <row r="72" ht="15.75" customHeight="1">
      <c r="C72" s="125" t="s">
        <v>717</v>
      </c>
    </row>
    <row r="73" ht="15.75" customHeight="1">
      <c r="C73" s="125" t="s">
        <v>139</v>
      </c>
    </row>
    <row r="74" ht="15.75" customHeight="1">
      <c r="C74" s="125" t="s">
        <v>1208</v>
      </c>
    </row>
    <row r="75" ht="15.75" customHeight="1">
      <c r="C75" s="125" t="s">
        <v>1034</v>
      </c>
    </row>
    <row r="76" ht="15.75" customHeight="1">
      <c r="C76" s="125" t="s">
        <v>1472</v>
      </c>
    </row>
    <row r="77" ht="15.75" customHeight="1">
      <c r="C77" s="125" t="s">
        <v>368</v>
      </c>
    </row>
    <row r="78" ht="15.75" customHeight="1">
      <c r="C78" s="125" t="s">
        <v>28</v>
      </c>
    </row>
    <row r="79" ht="15.75" customHeight="1">
      <c r="C79" s="125" t="s">
        <v>906</v>
      </c>
    </row>
    <row r="80" ht="15.75" customHeight="1">
      <c r="C80" s="125" t="s">
        <v>895</v>
      </c>
    </row>
    <row r="81" ht="15.75" customHeight="1">
      <c r="C81" s="125" t="s">
        <v>880</v>
      </c>
    </row>
    <row r="82" ht="15.75" customHeight="1">
      <c r="C82" s="125" t="s">
        <v>524</v>
      </c>
    </row>
    <row r="83" ht="15.75" customHeight="1">
      <c r="C83" s="125" t="s">
        <v>187</v>
      </c>
    </row>
    <row r="84" ht="15.75" customHeight="1">
      <c r="C84" s="125" t="s">
        <v>428</v>
      </c>
    </row>
    <row r="85" ht="15.75" customHeight="1">
      <c r="C85" s="125" t="s">
        <v>511</v>
      </c>
    </row>
    <row r="86" ht="15.75" customHeight="1">
      <c r="C86" s="125" t="s">
        <v>641</v>
      </c>
    </row>
    <row r="87" ht="15.75" customHeight="1">
      <c r="C87" s="125" t="s">
        <v>1299</v>
      </c>
    </row>
    <row r="88" ht="15.75" customHeight="1">
      <c r="C88" s="125" t="s">
        <v>659</v>
      </c>
    </row>
    <row r="89" ht="15.75" customHeight="1">
      <c r="C89" s="125" t="s">
        <v>498</v>
      </c>
    </row>
    <row r="90" ht="15.75" customHeight="1">
      <c r="C90" s="125" t="s">
        <v>1013</v>
      </c>
    </row>
    <row r="91" ht="15.75" customHeight="1">
      <c r="C91" s="125" t="s">
        <v>396</v>
      </c>
    </row>
    <row r="92" ht="15.75" customHeight="1">
      <c r="C92" s="125" t="s">
        <v>667</v>
      </c>
    </row>
    <row r="93" ht="15.75" customHeight="1">
      <c r="C93" s="125" t="s">
        <v>1102</v>
      </c>
    </row>
    <row r="94" ht="15.75" customHeight="1">
      <c r="C94" s="125" t="s">
        <v>86</v>
      </c>
    </row>
    <row r="95" ht="15.75" customHeight="1">
      <c r="C95" s="125" t="s">
        <v>842</v>
      </c>
    </row>
    <row r="96" ht="15.75" customHeight="1">
      <c r="C96" s="125" t="s">
        <v>1481</v>
      </c>
    </row>
    <row r="97" ht="15.75" customHeight="1">
      <c r="C97" s="125" t="s">
        <v>1332</v>
      </c>
    </row>
    <row r="98" ht="15.75" customHeight="1">
      <c r="C98" s="125" t="s">
        <v>741</v>
      </c>
    </row>
    <row r="99" ht="15.75" customHeight="1">
      <c r="C99" s="125" t="s">
        <v>731</v>
      </c>
    </row>
    <row r="100" ht="15.75" customHeight="1">
      <c r="C100" s="125" t="s">
        <v>760</v>
      </c>
    </row>
    <row r="101" ht="15.75" customHeight="1">
      <c r="C101" s="125"/>
    </row>
    <row r="102" ht="15.75" customHeight="1">
      <c r="C102" s="125"/>
    </row>
    <row r="103" ht="15.75" customHeight="1">
      <c r="C103" s="125"/>
    </row>
    <row r="104" ht="15.75" customHeight="1">
      <c r="C104" s="125"/>
    </row>
    <row r="105" ht="15.75" customHeight="1">
      <c r="C105" s="125"/>
    </row>
    <row r="106" ht="15.75" customHeight="1">
      <c r="C106" s="125"/>
    </row>
    <row r="107" ht="15.75" customHeight="1">
      <c r="C107" s="125"/>
    </row>
    <row r="108" ht="15.75" customHeight="1">
      <c r="C108" s="125"/>
    </row>
    <row r="109" ht="15.75" customHeight="1">
      <c r="C109" s="125"/>
    </row>
    <row r="110" ht="15.75" customHeight="1">
      <c r="C110" s="125"/>
    </row>
    <row r="111" ht="15.75" customHeight="1">
      <c r="C111" s="125"/>
    </row>
    <row r="112" ht="15.75" customHeight="1">
      <c r="C112" s="125"/>
    </row>
    <row r="113" ht="15.75" customHeight="1">
      <c r="C113" s="125"/>
    </row>
    <row r="114" ht="15.75" customHeight="1">
      <c r="C114" s="125"/>
    </row>
    <row r="115" ht="15.75" customHeight="1">
      <c r="C115" s="125"/>
    </row>
    <row r="116" ht="15.75" customHeight="1">
      <c r="C116" s="125"/>
    </row>
    <row r="117" ht="15.75" customHeight="1">
      <c r="C117" s="125"/>
    </row>
    <row r="118" ht="15.75" customHeight="1">
      <c r="C118" s="125"/>
    </row>
    <row r="119" ht="15.75" customHeight="1">
      <c r="C119" s="125"/>
    </row>
    <row r="120" ht="15.75" customHeight="1">
      <c r="C120" s="125"/>
    </row>
    <row r="121" ht="15.75" customHeight="1">
      <c r="C121" s="125"/>
    </row>
    <row r="122" ht="15.75" customHeight="1">
      <c r="C122" s="125"/>
    </row>
    <row r="123" ht="15.75" customHeight="1">
      <c r="C123" s="125"/>
    </row>
    <row r="124" ht="15.75" customHeight="1">
      <c r="C124" s="125"/>
    </row>
    <row r="125" ht="15.75" customHeight="1">
      <c r="C125" s="125"/>
    </row>
    <row r="126" ht="15.75" customHeight="1">
      <c r="C126" s="125"/>
    </row>
    <row r="127" ht="15.75" customHeight="1">
      <c r="C127" s="125"/>
    </row>
    <row r="128" ht="15.75" customHeight="1">
      <c r="C128" s="125"/>
    </row>
    <row r="129" ht="15.75" customHeight="1">
      <c r="C129" s="125"/>
    </row>
    <row r="130" ht="15.75" customHeight="1">
      <c r="C130" s="125"/>
    </row>
    <row r="131" ht="15.75" customHeight="1">
      <c r="C131" s="125"/>
    </row>
    <row r="132" ht="15.75" customHeight="1">
      <c r="C132" s="125"/>
    </row>
    <row r="133" ht="15.75" customHeight="1">
      <c r="C133" s="125"/>
    </row>
    <row r="134" ht="15.75" customHeight="1">
      <c r="C134" s="125"/>
    </row>
    <row r="135" ht="15.75" customHeight="1">
      <c r="C135" s="125"/>
    </row>
    <row r="136" ht="15.75" customHeight="1">
      <c r="C136" s="125"/>
    </row>
    <row r="137" ht="15.75" customHeight="1">
      <c r="C137" s="125"/>
    </row>
    <row r="138" ht="15.75" customHeight="1">
      <c r="C138" s="125"/>
    </row>
    <row r="139" ht="15.75" customHeight="1">
      <c r="C139" s="125"/>
    </row>
    <row r="140" ht="15.75" customHeight="1">
      <c r="C140" s="125"/>
    </row>
    <row r="141" ht="15.75" customHeight="1">
      <c r="C141" s="125"/>
    </row>
    <row r="142" ht="15.75" customHeight="1">
      <c r="C142" s="125"/>
    </row>
    <row r="143" ht="15.75" customHeight="1">
      <c r="C143" s="125"/>
    </row>
    <row r="144" ht="15.75" customHeight="1">
      <c r="C144" s="125"/>
    </row>
    <row r="145" ht="15.75" customHeight="1">
      <c r="C145" s="125"/>
    </row>
    <row r="146" ht="15.75" customHeight="1">
      <c r="C146" s="125"/>
    </row>
    <row r="147" ht="15.75" customHeight="1">
      <c r="C147" s="125"/>
    </row>
    <row r="148" ht="15.75" customHeight="1">
      <c r="C148" s="125"/>
    </row>
    <row r="149" ht="15.75" customHeight="1">
      <c r="C149" s="125"/>
    </row>
    <row r="150" ht="15.75" customHeight="1">
      <c r="C150" s="125"/>
    </row>
    <row r="151" ht="15.75" customHeight="1">
      <c r="C151" s="125"/>
    </row>
    <row r="152" ht="15.75" customHeight="1">
      <c r="C152" s="125"/>
    </row>
    <row r="153" ht="15.75" customHeight="1">
      <c r="C153" s="125"/>
    </row>
    <row r="154" ht="15.75" customHeight="1">
      <c r="C154" s="125"/>
    </row>
    <row r="155" ht="15.75" customHeight="1">
      <c r="C155" s="125"/>
    </row>
    <row r="156" ht="15.75" customHeight="1">
      <c r="C156" s="125"/>
    </row>
    <row r="157" ht="15.75" customHeight="1">
      <c r="C157" s="125"/>
    </row>
    <row r="158" ht="15.75" customHeight="1">
      <c r="C158" s="125"/>
    </row>
    <row r="159" ht="15.75" customHeight="1">
      <c r="C159" s="125"/>
    </row>
    <row r="160" ht="15.75" customHeight="1">
      <c r="C160" s="125"/>
    </row>
    <row r="161" ht="15.75" customHeight="1">
      <c r="C161" s="125"/>
    </row>
    <row r="162" ht="15.75" customHeight="1">
      <c r="C162" s="125"/>
    </row>
    <row r="163" ht="15.75" customHeight="1">
      <c r="C163" s="125"/>
    </row>
    <row r="164" ht="15.75" customHeight="1">
      <c r="C164" s="125"/>
    </row>
    <row r="165" ht="15.75" customHeight="1">
      <c r="C165" s="125"/>
    </row>
    <row r="166" ht="15.75" customHeight="1">
      <c r="C166" s="125"/>
    </row>
    <row r="167" ht="15.75" customHeight="1">
      <c r="C167" s="125"/>
    </row>
    <row r="168" ht="15.75" customHeight="1">
      <c r="C168" s="125"/>
    </row>
    <row r="169" ht="15.75" customHeight="1">
      <c r="C169" s="125"/>
    </row>
    <row r="170" ht="15.75" customHeight="1">
      <c r="C170" s="125"/>
    </row>
    <row r="171" ht="15.75" customHeight="1">
      <c r="C171" s="125"/>
    </row>
    <row r="172" ht="15.75" customHeight="1">
      <c r="C172" s="125"/>
    </row>
    <row r="173" ht="15.75" customHeight="1">
      <c r="C173" s="125"/>
    </row>
    <row r="174" ht="15.75" customHeight="1">
      <c r="C174" s="125"/>
    </row>
    <row r="175" ht="15.75" customHeight="1">
      <c r="C175" s="125"/>
    </row>
    <row r="176" ht="15.75" customHeight="1">
      <c r="C176" s="125"/>
    </row>
    <row r="177" ht="15.75" customHeight="1">
      <c r="C177" s="125"/>
    </row>
    <row r="178" ht="15.75" customHeight="1">
      <c r="C178" s="125"/>
    </row>
    <row r="179" ht="15.75" customHeight="1">
      <c r="C179" s="125"/>
    </row>
    <row r="180" ht="15.75" customHeight="1">
      <c r="C180" s="125"/>
    </row>
    <row r="181" ht="15.75" customHeight="1">
      <c r="C181" s="125"/>
    </row>
    <row r="182" ht="15.75" customHeight="1">
      <c r="C182" s="125"/>
    </row>
    <row r="183" ht="15.75" customHeight="1">
      <c r="C183" s="125"/>
    </row>
    <row r="184" ht="15.75" customHeight="1">
      <c r="C184" s="125"/>
    </row>
    <row r="185" ht="15.75" customHeight="1">
      <c r="C185" s="125"/>
    </row>
    <row r="186" ht="15.75" customHeight="1">
      <c r="C186" s="125"/>
    </row>
    <row r="187" ht="15.75" customHeight="1">
      <c r="C187" s="125"/>
    </row>
    <row r="188" ht="15.75" customHeight="1">
      <c r="C188" s="125"/>
    </row>
    <row r="189" ht="15.75" customHeight="1">
      <c r="C189" s="125"/>
    </row>
    <row r="190" ht="15.75" customHeight="1">
      <c r="C190" s="125"/>
    </row>
    <row r="191" ht="15.75" customHeight="1">
      <c r="C191" s="125"/>
    </row>
    <row r="192" ht="15.75" customHeight="1">
      <c r="C192" s="125"/>
    </row>
    <row r="193" ht="15.75" customHeight="1">
      <c r="C193" s="125"/>
    </row>
    <row r="194" ht="15.75" customHeight="1">
      <c r="C194" s="125"/>
    </row>
    <row r="195" ht="15.75" customHeight="1">
      <c r="C195" s="125"/>
    </row>
    <row r="196" ht="15.75" customHeight="1">
      <c r="C196" s="125"/>
    </row>
    <row r="197" ht="15.75" customHeight="1">
      <c r="C197" s="125"/>
    </row>
    <row r="198" ht="15.75" customHeight="1">
      <c r="C198" s="125"/>
    </row>
    <row r="199" ht="15.75" customHeight="1">
      <c r="C199" s="125"/>
    </row>
    <row r="200" ht="15.75" customHeight="1">
      <c r="C200" s="125"/>
    </row>
    <row r="201" ht="15.75" customHeight="1">
      <c r="C201" s="125"/>
    </row>
    <row r="202" ht="15.75" customHeight="1">
      <c r="C202" s="125"/>
    </row>
    <row r="203" ht="15.75" customHeight="1">
      <c r="C203" s="125"/>
    </row>
    <row r="204" ht="15.75" customHeight="1">
      <c r="C204" s="125"/>
    </row>
    <row r="205" ht="15.75" customHeight="1">
      <c r="C205" s="125"/>
    </row>
    <row r="206" ht="15.75" customHeight="1">
      <c r="C206" s="125"/>
    </row>
    <row r="207" ht="15.75" customHeight="1">
      <c r="C207" s="125"/>
    </row>
    <row r="208" ht="15.75" customHeight="1">
      <c r="C208" s="125"/>
    </row>
    <row r="209" ht="15.75" customHeight="1">
      <c r="C209" s="125"/>
    </row>
    <row r="210" ht="15.75" customHeight="1">
      <c r="C210" s="125"/>
    </row>
    <row r="211" ht="15.75" customHeight="1">
      <c r="C211" s="125"/>
    </row>
    <row r="212" ht="15.75" customHeight="1">
      <c r="C212" s="125"/>
    </row>
    <row r="213" ht="15.75" customHeight="1">
      <c r="C213" s="125"/>
    </row>
    <row r="214" ht="15.75" customHeight="1">
      <c r="C214" s="125"/>
    </row>
    <row r="215" ht="15.75" customHeight="1">
      <c r="C215" s="125"/>
    </row>
    <row r="216" ht="15.75" customHeight="1">
      <c r="C216" s="125"/>
    </row>
    <row r="217" ht="15.75" customHeight="1">
      <c r="C217" s="125"/>
    </row>
    <row r="218" ht="15.75" customHeight="1">
      <c r="C218" s="125"/>
    </row>
    <row r="219" ht="15.75" customHeight="1">
      <c r="C219" s="125"/>
    </row>
    <row r="220" ht="15.75" customHeight="1">
      <c r="C220" s="125"/>
    </row>
    <row r="221" ht="15.75" customHeight="1">
      <c r="C221" s="125"/>
    </row>
    <row r="222" ht="15.75" customHeight="1">
      <c r="C222" s="125"/>
    </row>
    <row r="223" ht="15.75" customHeight="1">
      <c r="C223" s="125"/>
    </row>
    <row r="224" ht="15.75" customHeight="1">
      <c r="C224" s="125"/>
    </row>
    <row r="225" ht="15.75" customHeight="1">
      <c r="C225" s="125"/>
    </row>
    <row r="226" ht="15.75" customHeight="1">
      <c r="C226" s="125"/>
    </row>
    <row r="227" ht="15.75" customHeight="1">
      <c r="C227" s="125"/>
    </row>
    <row r="228" ht="15.75" customHeight="1">
      <c r="C228" s="125"/>
    </row>
    <row r="229" ht="15.75" customHeight="1">
      <c r="C229" s="125"/>
    </row>
    <row r="230" ht="15.75" customHeight="1">
      <c r="C230" s="125"/>
    </row>
    <row r="231" ht="15.75" customHeight="1">
      <c r="C231" s="125"/>
    </row>
    <row r="232" ht="15.75" customHeight="1">
      <c r="C232" s="125"/>
    </row>
    <row r="233" ht="15.75" customHeight="1">
      <c r="C233" s="125"/>
    </row>
    <row r="234" ht="15.75" customHeight="1">
      <c r="C234" s="125"/>
    </row>
    <row r="235" ht="15.75" customHeight="1">
      <c r="C235" s="125"/>
    </row>
    <row r="236" ht="15.75" customHeight="1">
      <c r="C236" s="125"/>
    </row>
    <row r="237" ht="15.75" customHeight="1">
      <c r="C237" s="125"/>
    </row>
    <row r="238" ht="15.75" customHeight="1">
      <c r="C238" s="125"/>
    </row>
    <row r="239" ht="15.75" customHeight="1">
      <c r="C239" s="125"/>
    </row>
    <row r="240" ht="15.75" customHeight="1">
      <c r="C240" s="125"/>
    </row>
    <row r="241" ht="15.75" customHeight="1">
      <c r="C241" s="125"/>
    </row>
    <row r="242" ht="15.75" customHeight="1">
      <c r="C242" s="125"/>
    </row>
    <row r="243" ht="15.75" customHeight="1">
      <c r="C243" s="125"/>
    </row>
    <row r="244" ht="15.75" customHeight="1">
      <c r="C244" s="125"/>
    </row>
    <row r="245" ht="15.75" customHeight="1">
      <c r="C245" s="125"/>
    </row>
    <row r="246" ht="15.75" customHeight="1">
      <c r="C246" s="125"/>
    </row>
    <row r="247" ht="15.75" customHeight="1">
      <c r="C247" s="125"/>
    </row>
    <row r="248" ht="15.75" customHeight="1">
      <c r="C248" s="125"/>
    </row>
    <row r="249" ht="15.75" customHeight="1">
      <c r="C249" s="125"/>
    </row>
    <row r="250" ht="15.75" customHeight="1">
      <c r="C250" s="125"/>
    </row>
    <row r="251" ht="15.75" customHeight="1">
      <c r="C251" s="125"/>
    </row>
    <row r="252" ht="15.75" customHeight="1">
      <c r="C252" s="125"/>
    </row>
    <row r="253" ht="15.75" customHeight="1">
      <c r="C253" s="125"/>
    </row>
    <row r="254" ht="15.75" customHeight="1">
      <c r="C254" s="125"/>
    </row>
    <row r="255" ht="15.75" customHeight="1">
      <c r="C255" s="125"/>
    </row>
    <row r="256" ht="15.75" customHeight="1">
      <c r="C256" s="125"/>
    </row>
    <row r="257" ht="15.75" customHeight="1">
      <c r="C257" s="125"/>
    </row>
    <row r="258" ht="15.75" customHeight="1">
      <c r="C258" s="125"/>
    </row>
    <row r="259" ht="15.75" customHeight="1">
      <c r="C259" s="125"/>
    </row>
    <row r="260" ht="15.75" customHeight="1">
      <c r="C260" s="125"/>
    </row>
    <row r="261" ht="15.75" customHeight="1">
      <c r="C261" s="125"/>
    </row>
    <row r="262" ht="15.75" customHeight="1">
      <c r="C262" s="125"/>
    </row>
    <row r="263" ht="15.75" customHeight="1">
      <c r="C263" s="125"/>
    </row>
    <row r="264" ht="15.75" customHeight="1">
      <c r="C264" s="125"/>
    </row>
    <row r="265" ht="15.75" customHeight="1">
      <c r="C265" s="125"/>
    </row>
    <row r="266" ht="15.75" customHeight="1">
      <c r="C266" s="125"/>
    </row>
    <row r="267" ht="15.75" customHeight="1">
      <c r="C267" s="125"/>
    </row>
    <row r="268" ht="15.75" customHeight="1">
      <c r="C268" s="125"/>
    </row>
    <row r="269" ht="15.75" customHeight="1">
      <c r="C269" s="125"/>
    </row>
    <row r="270" ht="15.75" customHeight="1">
      <c r="C270" s="125"/>
    </row>
    <row r="271" ht="15.75" customHeight="1">
      <c r="C271" s="125"/>
    </row>
    <row r="272" ht="15.75" customHeight="1">
      <c r="C272" s="125"/>
    </row>
    <row r="273" ht="15.75" customHeight="1">
      <c r="C273" s="125"/>
    </row>
    <row r="274" ht="15.75" customHeight="1">
      <c r="C274" s="125"/>
    </row>
    <row r="275" ht="15.75" customHeight="1">
      <c r="C275" s="125"/>
    </row>
    <row r="276" ht="15.75" customHeight="1">
      <c r="C276" s="125"/>
    </row>
    <row r="277" ht="15.75" customHeight="1">
      <c r="C277" s="125"/>
    </row>
    <row r="278" ht="15.75" customHeight="1">
      <c r="C278" s="125"/>
    </row>
    <row r="279" ht="15.75" customHeight="1">
      <c r="C279" s="125"/>
    </row>
    <row r="280" ht="15.75" customHeight="1">
      <c r="C280" s="125"/>
    </row>
    <row r="281" ht="15.75" customHeight="1">
      <c r="C281" s="125"/>
    </row>
    <row r="282" ht="15.75" customHeight="1">
      <c r="C282" s="125"/>
    </row>
    <row r="283" ht="15.75" customHeight="1">
      <c r="C283" s="125"/>
    </row>
    <row r="284" ht="15.75" customHeight="1">
      <c r="C284" s="125"/>
    </row>
    <row r="285" ht="15.75" customHeight="1">
      <c r="C285" s="125"/>
    </row>
    <row r="286" ht="15.75" customHeight="1">
      <c r="C286" s="125"/>
    </row>
    <row r="287" ht="15.75" customHeight="1">
      <c r="C287" s="125"/>
    </row>
    <row r="288" ht="15.75" customHeight="1">
      <c r="C288" s="125"/>
    </row>
    <row r="289" ht="15.75" customHeight="1">
      <c r="C289" s="125"/>
    </row>
    <row r="290" ht="15.75" customHeight="1">
      <c r="C290" s="125"/>
    </row>
    <row r="291" ht="15.75" customHeight="1">
      <c r="C291" s="125"/>
    </row>
    <row r="292" ht="15.75" customHeight="1">
      <c r="C292" s="125"/>
    </row>
    <row r="293" ht="15.75" customHeight="1">
      <c r="C293" s="125"/>
    </row>
    <row r="294" ht="15.75" customHeight="1">
      <c r="C294" s="125"/>
    </row>
    <row r="295" ht="15.75" customHeight="1">
      <c r="C295" s="125"/>
    </row>
    <row r="296" ht="15.75" customHeight="1">
      <c r="C296" s="125"/>
    </row>
    <row r="297" ht="15.75" customHeight="1">
      <c r="C297" s="125"/>
    </row>
    <row r="298" ht="15.75" customHeight="1">
      <c r="C298" s="125"/>
    </row>
    <row r="299" ht="15.75" customHeight="1">
      <c r="C299" s="125"/>
    </row>
    <row r="300" ht="15.75" customHeight="1">
      <c r="C300" s="125"/>
    </row>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